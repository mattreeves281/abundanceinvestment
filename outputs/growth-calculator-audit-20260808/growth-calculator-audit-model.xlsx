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1d32d4fe6349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cfd18037cde484f"/>
    <x:sheet xmlns:r="http://schemas.openxmlformats.org/officeDocument/2006/relationships" name="Monthly Model" sheetId="2" r:id="R822b0cc7bda74b61"/>
    <x:sheet xmlns:r="http://schemas.openxmlformats.org/officeDocument/2006/relationships" name="Formula Guide" sheetId="3" r:id="R6e2c6da969944b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£#,##0;[Red](£#,##0);-"/>
    <x:numFmt numFmtId="201" formatCode="0.00%"/>
    <x:numFmt numFmtId="202" formatCode="#,##0"/>
    <x:numFmt numFmtId="203" formatCode="@"/>
    <x:numFmt numFmtId="204" formatCode="#,##0.00"/>
  </x:numFmts>
  <x:fonts count="9">
    <x:font>
      <x:sz val="11"/>
      <x:name val="Carlito"/>
    </x:font>
    <x:font>
      <x:b/>
      <x:sz val="18"/>
      <x:color rgb="FF363635"/>
      <x:name val="Carlito"/>
    </x:font>
    <x:font>
      <x:sz val="11"/>
      <x:color rgb="FF363635"/>
      <x:name val="Carlito"/>
    </x:font>
    <x:font>
      <x:b/>
      <x:sz val="11"/>
      <x:color rgb="FFFFFFFF"/>
      <x:name val="Carlito"/>
    </x:font>
    <x:font>
      <x:b/>
      <x:sz val="11"/>
      <x:color rgb="FF363635"/>
      <x:name val="Carlito"/>
    </x:font>
    <x:font>
      <x:sz val="11"/>
      <x:color rgb="FF0000FF"/>
      <x:name val="Carlito"/>
    </x:font>
    <x:font>
      <x:sz val="11"/>
      <x:color rgb="FF008000"/>
      <x:name val="Carlito"/>
    </x:font>
    <x:font>
      <x:sz val="11"/>
      <x:color rgb="FF000000"/>
      <x:name val="Carlito"/>
    </x:font>
    <x:font>
      <x:i/>
      <x:sz val="11"/>
      <x:color rgb="FF363635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363635"/>
      </x:patternFill>
    </x:fill>
    <x:fill>
      <x:patternFill patternType="solid">
        <x:fgColor rgb="FFE5F7F9"/>
      </x:patternFill>
    </x:fill>
    <x:fill>
      <x:patternFill patternType="solid">
        <x:fgColor rgb="FFDFF3DF"/>
      </x:patternFill>
    </x:fill>
    <x:fill>
      <x:patternFill patternType="solid">
        <x:fgColor rgb="FFF4F1F0"/>
      </x:patternFill>
    </x:fill>
  </x:fills>
  <x:borders count="16">
    <x:border/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8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4" fillId="0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2" xfId="0" applyNumberFormat="1" applyFont="1" applyFill="1" applyBorder="1"/>
    <x:xf numFmtId="0" fontId="5" fillId="4" borderId="3" xfId="0" applyNumberFormat="1" applyFont="1" applyFill="1" applyBorder="1"/>
    <x:xf numFmtId="200" fontId="5" fillId="4" borderId="1" xfId="0" applyNumberFormat="1" applyFont="1" applyFill="1" applyBorder="1"/>
    <x:xf numFmtId="200" fontId="5" fillId="4" borderId="2" xfId="0" applyNumberFormat="1" applyFont="1" applyFill="1" applyBorder="1"/>
    <x:xf numFmtId="201" fontId="5" fillId="4" borderId="2" xfId="0" applyNumberFormat="1" applyFont="1" applyFill="1" applyBorder="1"/>
    <x:xf numFmtId="202" fontId="5" fillId="4" borderId="2" xfId="0" applyNumberFormat="1" applyFont="1" applyFill="1" applyBorder="1"/>
    <x:xf numFmtId="203" fontId="5" fillId="4" borderId="3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2" xfId="0" applyNumberFormat="1" applyFont="1" applyFill="1" applyBorder="1"/>
    <x:xf numFmtId="0" fontId="6" fillId="0" borderId="3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200" fontId="6" fillId="0" borderId="1" xfId="0" applyNumberFormat="1" applyFont="1" applyFill="1" applyBorder="1"/>
    <x:xf numFmtId="200" fontId="6" fillId="0" borderId="2" xfId="0" applyNumberFormat="1" applyFont="1" applyFill="1" applyBorder="1"/>
    <x:xf numFmtId="202" fontId="6" fillId="0" borderId="3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4" borderId="4" xfId="0" applyNumberFormat="1" applyFont="1" applyFill="1" applyBorder="1"/>
    <x:xf numFmtId="0" fontId="6" fillId="0" borderId="4" xfId="0" applyNumberFormat="1" applyFont="1" applyFill="1" applyBorder="1"/>
    <x:xf numFmtId="0" fontId="7" fillId="0" borderId="0" xfId="0" applyNumberFormat="1" applyFont="1" applyFill="1" applyBorder="1"/>
    <x:xf numFmtId="0" fontId="7" fillId="0" borderId="4" xfId="0" applyNumberFormat="1" applyFont="1" applyFill="1" applyBorder="1"/>
    <x:xf numFmtId="202" fontId="5" fillId="4" borderId="1" xfId="0" applyNumberFormat="1" applyFont="1" applyFill="1" applyBorder="1"/>
    <x:xf numFmtId="202" fontId="6" fillId="0" borderId="1" xfId="0" applyNumberFormat="1" applyFont="1" applyFill="1" applyBorder="1"/>
    <x:xf numFmtId="202" fontId="6" fillId="0" borderId="2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5" xfId="0" applyNumberFormat="1" applyFont="1" applyFill="1" applyBorder="1"/>
    <x:xf numFmtId="0" fontId="4" fillId="6" borderId="6" xfId="0" applyNumberFormat="1" applyFont="1" applyFill="1" applyBorder="1"/>
    <x:xf numFmtId="0" fontId="4" fillId="6" borderId="7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7" fillId="0" borderId="8" xfId="0" applyNumberFormat="1" applyFont="1" applyFill="1" applyBorder="1"/>
    <x:xf numFmtId="0" fontId="7" fillId="0" borderId="9" xfId="0" applyNumberFormat="1" applyFont="1" applyFill="1" applyBorder="1"/>
    <x:xf numFmtId="0" fontId="7" fillId="0" borderId="10" xfId="0" applyNumberFormat="1" applyFont="1" applyFill="1" applyBorder="1"/>
    <x:xf numFmtId="0" fontId="7" fillId="0" borderId="11" xfId="0" applyNumberFormat="1" applyFont="1" applyFill="1" applyBorder="1"/>
    <x:xf numFmtId="0" fontId="7" fillId="0" borderId="12" xfId="0" applyNumberFormat="1" applyFont="1" applyFill="1" applyBorder="1"/>
    <x:xf numFmtId="0" fontId="7" fillId="0" borderId="13" xfId="0" applyNumberFormat="1" applyFont="1" applyFill="1" applyBorder="1"/>
    <x:xf numFmtId="0" fontId="7" fillId="0" borderId="14" xfId="0" applyNumberFormat="1" applyFont="1" applyFill="1" applyBorder="1"/>
    <x:xf numFmtId="0" fontId="7" fillId="0" borderId="15" xfId="0" applyNumberFormat="1" applyFont="1" applyFill="1" applyBorder="1"/>
    <x:xf numFmtId="0" fontId="7" fillId="0" borderId="5" xfId="0" applyNumberFormat="1" applyFont="1" applyFill="1" applyBorder="1"/>
    <x:xf numFmtId="0" fontId="7" fillId="0" borderId="6" xfId="0" applyNumberFormat="1" applyFont="1" applyFill="1" applyBorder="1"/>
    <x:xf numFmtId="0" fontId="7" fillId="0" borderId="7" xfId="0" applyNumberFormat="1" applyFont="1" applyFill="1" applyBorder="1"/>
    <x:xf numFmtId="202" fontId="7" fillId="0" borderId="8" xfId="0" applyNumberFormat="1" applyFont="1" applyFill="1" applyBorder="1"/>
    <x:xf numFmtId="202" fontId="7" fillId="0" borderId="11" xfId="0" applyNumberFormat="1" applyFont="1" applyFill="1" applyBorder="1"/>
    <x:xf numFmtId="202" fontId="7" fillId="0" borderId="13" xfId="0" applyNumberFormat="1" applyFont="1" applyFill="1" applyBorder="1"/>
    <x:xf numFmtId="202" fontId="0" fillId="0" borderId="0" xfId="0" applyNumberFormat="1" applyFont="1" applyFill="1" applyBorder="1"/>
    <x:xf numFmtId="202" fontId="3" fillId="3" borderId="0" xfId="0" applyNumberFormat="1" applyFont="1" applyFill="1" applyBorder="1"/>
    <x:xf numFmtId="202" fontId="7" fillId="0" borderId="5" xfId="0" applyNumberFormat="1" applyFont="1" applyFill="1" applyBorder="1"/>
    <x:xf numFmtId="204" fontId="7" fillId="0" borderId="9" xfId="0" applyNumberFormat="1" applyFont="1" applyFill="1" applyBorder="1"/>
    <x:xf numFmtId="204" fontId="7" fillId="0" borderId="10" xfId="0" applyNumberFormat="1" applyFont="1" applyFill="1" applyBorder="1"/>
    <x:xf numFmtId="204" fontId="7" fillId="0" borderId="0" xfId="0" applyNumberFormat="1" applyFont="1" applyFill="1" applyBorder="1"/>
    <x:xf numFmtId="204" fontId="7" fillId="0" borderId="12" xfId="0" applyNumberFormat="1" applyFont="1" applyFill="1" applyBorder="1"/>
    <x:xf numFmtId="204" fontId="7" fillId="0" borderId="14" xfId="0" applyNumberFormat="1" applyFont="1" applyFill="1" applyBorder="1"/>
    <x:xf numFmtId="204" fontId="7" fillId="0" borderId="15" xfId="0" applyNumberFormat="1" applyFont="1" applyFill="1" applyBorder="1"/>
    <x:xf numFmtId="204" fontId="0" fillId="0" borderId="0" xfId="0" applyNumberFormat="1" applyFont="1" applyFill="1" applyBorder="1"/>
    <x:xf numFmtId="204" fontId="3" fillId="3" borderId="0" xfId="0" applyNumberFormat="1" applyFont="1" applyFill="1" applyBorder="1"/>
    <x:xf numFmtId="204" fontId="7" fillId="0" borderId="6" xfId="0" applyNumberFormat="1" applyFont="1" applyFill="1" applyBorder="1"/>
    <x:xf numFmtId="204" fontId="7" fillId="0" borderId="7" xfId="0" applyNumberFormat="1" applyFont="1" applyFill="1" applyBorder="1"/>
    <x:xf numFmtId="203" fontId="7" fillId="0" borderId="9" xfId="0" applyNumberFormat="1" applyFont="1" applyFill="1" applyBorder="1"/>
    <x:xf numFmtId="203" fontId="7" fillId="0" borderId="0" xfId="0" applyNumberFormat="1" applyFont="1" applyFill="1" applyBorder="1"/>
    <x:xf numFmtId="203" fontId="7" fillId="0" borderId="14" xfId="0" applyNumberFormat="1" applyFont="1" applyFill="1" applyBorder="1"/>
    <x:xf numFmtId="203" fontId="0" fillId="0" borderId="0" xfId="0" applyNumberFormat="1" applyFont="1" applyFill="1" applyBorder="1"/>
    <x:xf numFmtId="203" fontId="3" fillId="3" borderId="0" xfId="0" applyNumberFormat="1" applyFont="1" applyFill="1" applyBorder="1"/>
    <x:xf numFmtId="203" fontId="7" fillId="0" borderId="6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8" xfId="0" applyNumberFormat="1" applyFont="1" applyFill="1" applyBorder="1" applyAlignment="1">
      <x:alignment wrapText="1"/>
    </x:xf>
    <x:xf numFmtId="0" fontId="7" fillId="0" borderId="9" xfId="0" applyNumberFormat="1" applyFont="1" applyFill="1" applyBorder="1" applyAlignment="1">
      <x:alignment wrapText="1"/>
    </x:xf>
    <x:xf numFmtId="0" fontId="7" fillId="0" borderId="10" xfId="0" applyNumberFormat="1" applyFont="1" applyFill="1" applyBorder="1" applyAlignment="1">
      <x:alignment wrapText="1"/>
    </x:xf>
    <x:xf numFmtId="0" fontId="7" fillId="0" borderId="11" xfId="0" applyNumberFormat="1" applyFont="1" applyFill="1" applyBorder="1" applyAlignment="1">
      <x:alignment wrapText="1"/>
    </x:xf>
    <x:xf numFmtId="0" fontId="7" fillId="0" borderId="12" xfId="0" applyNumberFormat="1" applyFont="1" applyFill="1" applyBorder="1" applyAlignment="1">
      <x:alignment wrapText="1"/>
    </x:xf>
    <x:xf numFmtId="0" fontId="7" fillId="0" borderId="13" xfId="0" applyNumberFormat="1" applyFont="1" applyFill="1" applyBorder="1" applyAlignment="1">
      <x:alignment wrapText="1"/>
    </x:xf>
    <x:xf numFmtId="0" fontId="7" fillId="0" borderId="14" xfId="0" applyNumberFormat="1" applyFont="1" applyFill="1" applyBorder="1" applyAlignment="1">
      <x:alignment wrapText="1"/>
    </x:xf>
    <x:xf numFmtId="0" fontId="7" fillId="0" borderId="1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b46ae41bc94362" /><Relationship Type="http://schemas.openxmlformats.org/officeDocument/2006/relationships/theme" Target="/xl/theme/theme1.xml" Id="Rfbcf898ee3434b9e" /><Relationship Type="http://schemas.openxmlformats.org/officeDocument/2006/relationships/sharedStrings" Target="/xl/sharedStrings.xml" Id="R7e2edcfde45b4aef" /><Relationship Type="http://schemas.openxmlformats.org/officeDocument/2006/relationships/worksheet" Target="/xl/worksheets/sheet1.xml" Id="Recfd18037cde484f" /><Relationship Type="http://schemas.openxmlformats.org/officeDocument/2006/relationships/worksheet" Target="/xl/worksheets/sheet2.xml" Id="R822b0cc7bda74b61" /><Relationship Type="http://schemas.openxmlformats.org/officeDocument/2006/relationships/worksheet" Target="/xl/worksheets/sheet3.xml" Id="R6e2c6da969944b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4" max="4" width="28" hidden="0" customWidth="1"/>
    <x:col min="5" max="5" width="18" hidden="0" customWidth="1"/>
    <x:col min="3" max="3" width="4" hidden="0" customWidth="1"/>
    <x:col min="6" max="6" width="10" hidden="0" customWidth="1"/>
    <x:col min="7" max="7" width="10" hidden="0" customWidth="1"/>
    <x:col min="8" max="8" width="10" hidden="0" customWidth="1"/>
  </x:cols>
  <x:sheetData>
    <x:row r="1">
      <x:c r="A1" s="2" t="str">
        <x:v>Growth Calculator Audit Model</x:v>
      </x:c>
      <x:c r="B1" s="2"/>
      <x:c r="C1" s="2"/>
      <x:c r="D1" s="2"/>
      <x:c r="E1" s="2"/>
      <x:c r="F1" s="2"/>
      <x:c r="G1" s="2"/>
      <x:c r="H1" s="2"/>
    </x:row>
    <x:row r="3" ht="42" customHeight="1">
      <x:c r="A3" s="4" t="str">
        <x:v>This workbook mirrors the current How it works calculator logic in a simple monthly model. Blue cells are editable assumptions. Green cells link to the detailed model.</x:v>
      </x:c>
    </x:row>
    <x:row r="5">
      <x:c r="A5" s="6" t="str">
        <x:v>Inputs</x:v>
      </x:c>
      <x:c r="B5" s="6" t="str"/>
      <x:c r="C5" s="6" t="str"/>
      <x:c r="D5" s="6" t="str"/>
    </x:row>
    <x:row r="6">
      <x:c r="A6" s="7" t="str">
        <x:v>One-off deposit</x:v>
      </x:c>
      <x:c r="B6" s="33" t="n">
        <x:v>10000</x:v>
      </x:c>
      <x:c r="D6" s="6" t="str">
        <x:v>Summary Outputs</x:v>
      </x:c>
      <x:c r="E6" s="6" t="str"/>
      <x:c r="F6" s="6" t="str"/>
      <x:c r="G6" s="6" t="str"/>
      <x:c r="H6" s="6" t="str"/>
    </x:row>
    <x:row r="7">
      <x:c r="A7" s="7" t="str">
        <x:v>Monthly payment</x:v>
      </x:c>
      <x:c r="B7" s="16" t="n">
        <x:v>100</x:v>
      </x:c>
      <x:c r="D7" s="7" t="str">
        <x:v>Total paid in</x:v>
      </x:c>
      <x:c r="E7" s="34" t="n">
        <x:f>'Monthly Model'!C131</x:f>
        <x:v>22000</x:v>
      </x:c>
    </x:row>
    <x:row r="8">
      <x:c r="A8" s="7" t="str">
        <x:v>Annual interest rate</x:v>
      </x:c>
      <x:c r="B8" s="15" t="n">
        <x:v>0.0372</x:v>
      </x:c>
      <x:c r="D8" s="7" t="str">
        <x:v>Estimated value</x:v>
      </x:c>
      <x:c r="E8" s="35" t="n">
        <x:f>ROUND('Monthly Model'!K131,0)</x:f>
        <x:v>28878</x:v>
      </x:c>
    </x:row>
    <x:row r="9">
      <x:c r="A9" s="7" t="str">
        <x:v>Simulation length (years)</x:v>
      </x:c>
      <x:c r="B9" s="16" t="n">
        <x:v>10</x:v>
      </x:c>
      <x:c r="D9" s="7" t="str">
        <x:v>Estimated growth</x:v>
      </x:c>
      <x:c r="E9" s="35" t="n">
        <x:f>E8-E7</x:f>
        <x:v>6878</x:v>
      </x:c>
    </x:row>
    <x:row r="10">
      <x:c r="A10" s="7" t="str">
        <x:v>Investment term (years)</x:v>
      </x:c>
      <x:c r="B10" s="16" t="n">
        <x:v>5</x:v>
      </x:c>
      <x:c r="D10" s="7" t="str">
        <x:v>Final cash balance</x:v>
      </x:c>
      <x:c r="E10" s="35" t="n">
        <x:f>ROUND('Monthly Model'!J131,0)</x:f>
        <x:v>0</x:v>
      </x:c>
    </x:row>
    <x:row r="11">
      <x:c r="A11" s="7" t="str">
        <x:v>Interest frequency (months)</x:v>
      </x:c>
      <x:c r="B11" s="16" t="n">
        <x:v>6</x:v>
      </x:c>
      <x:c r="D11" s="7" t="str">
        <x:v>Final active principal</x:v>
      </x:c>
      <x:c r="E11" s="35" t="n">
        <x:f>E8-E10</x:f>
        <x:v>28878</x:v>
      </x:c>
    </x:row>
    <x:row r="12">
      <x:c r="A12" s="7" t="str">
        <x:v>Minimum investable balance</x:v>
      </x:c>
      <x:c r="B12" s="16" t="n">
        <x:v>5</x:v>
      </x:c>
      <x:c r="D12" s="7" t="str">
        <x:v>Model month used</x:v>
      </x:c>
      <x:c r="E12" s="27" t="n">
        <x:f>'Monthly Model'!A131</x:f>
        <x:v>120</x:v>
      </x:c>
    </x:row>
    <x:row r="13">
      <x:c r="A13" s="7" t="str">
        <x:v>Monthly payments start at month 0?</x:v>
      </x:c>
      <x:c r="B13" s="17" t="str">
        <x:v>Yes</x:v>
      </x:c>
      <x:c r="D13" s="7" t="str">
        <x:v>Model status</x:v>
      </x:c>
      <x:c r="E13" s="24" t="str">
        <x:f>IF(AND(E8&gt;=0,E7&gt;=0),"OK","Check")</x:f>
        <x:v>OK</x:v>
      </x:c>
    </x:row>
    <x:row r="15">
      <x:c r="A15" s="6" t="str">
        <x:v>How to use</x:v>
      </x:c>
      <x:c r="B15" s="6" t="str"/>
      <x:c r="C15" s="6" t="str"/>
      <x:c r="D15" s="6" t="str"/>
      <x:c r="E15" s="6" t="str"/>
      <x:c r="F15" s="6" t="str"/>
      <x:c r="G15" s="6" t="str"/>
      <x:c r="H15" s="6" t="str"/>
    </x:row>
    <x:row r="16" ht="28" customHeight="1">
      <x:c r="A16" s="28" t="str">
        <x:v>1. Change the blue input cells above.</x:v>
      </x:c>
      <x:c r="B16" s="28" t="str"/>
      <x:c r="C16" s="28" t="str"/>
      <x:c r="D16" s="28" t="str"/>
      <x:c r="E16" s="28" t="str"/>
      <x:c r="F16" s="28" t="str"/>
      <x:c r="G16" s="28" t="str"/>
      <x:c r="H16" s="28" t="str"/>
    </x:row>
    <x:row r="17" ht="28" customHeight="1">
      <x:c r="A17" s="28" t="str">
        <x:v>2. Review the final outputs on the right.</x:v>
      </x:c>
      <x:c r="B17" s="28" t="str"/>
      <x:c r="C17" s="28" t="str"/>
      <x:c r="D17" s="28" t="str"/>
      <x:c r="E17" s="28" t="str"/>
      <x:c r="F17" s="28" t="str"/>
      <x:c r="G17" s="28" t="str"/>
      <x:c r="H17" s="28" t="str"/>
    </x:row>
    <x:row r="18" ht="28" customHeight="1">
      <x:c r="A18" s="28" t="str">
        <x:v>3. Open the Monthly Model sheet to trace every month, interest receipt, capital maturity and reinvestment.</x:v>
      </x:c>
      <x:c r="B18" s="28" t="str"/>
      <x:c r="C18" s="28" t="str"/>
      <x:c r="D18" s="28" t="str"/>
      <x:c r="E18" s="28" t="str"/>
      <x:c r="F18" s="28" t="str"/>
      <x:c r="G18" s="28" t="str"/>
      <x:c r="H18" s="28" t="str"/>
    </x:row>
    <x:row r="19" ht="28" customHeight="1">
      <x:c r="A19" s="28" t="str">
        <x:v>4. The model assumes investments are always available and all investable cash is swept into a new 5-year tranche whenever it reaches £5.</x:v>
      </x:c>
      <x:c r="B19" s="28" t="str"/>
      <x:c r="C19" s="28" t="str"/>
      <x:c r="D19" s="28" t="str"/>
      <x:c r="E19" s="28" t="str"/>
      <x:c r="F19" s="28" t="str"/>
      <x:c r="G19" s="28" t="str"/>
      <x:c r="H19" s="28" t="str"/>
    </x:row>
    <x:row r="20" ht="28" customHeight="1">
      <x:c r="A20" s="28" t="str">
        <x:v>5. This is an audit tool for the calculator method, not investment advice or a forecast.</x:v>
      </x:c>
      <x:c r="B20" s="28" t="str"/>
      <x:c r="C20" s="28" t="str"/>
      <x:c r="D20" s="28" t="str"/>
      <x:c r="E20" s="28" t="str"/>
      <x:c r="F20" s="28" t="str"/>
      <x:c r="G20" s="28" t="str"/>
      <x:c r="H20" s="28" t="str"/>
    </x:row>
    <x:row r="22">
      <x:c r="A22" s="6" t="str">
        <x:v>Formatting legend</x:v>
      </x:c>
      <x:c r="B22" s="6" t="str"/>
      <x:c r="C22" s="6" t="str"/>
      <x:c r="D22" s="6" t="str"/>
    </x:row>
    <x:row r="23">
      <x:c r="A23" s="29" t="str">
        <x:v>Blue text / pale teal fill</x:v>
      </x:c>
      <x:c r="B23" t="str">
        <x:v>Editable assumption</x:v>
      </x:c>
      <x:c r="C23" t="str"/>
      <x:c r="D23" t="str"/>
    </x:row>
    <x:row r="24">
      <x:c r="A24" s="30" t="str">
        <x:v>Green text</x:v>
      </x:c>
      <x:c r="B24" t="str">
        <x:v>Formula linked from model sheet</x:v>
      </x:c>
      <x:c r="C24" t="str"/>
      <x:c r="D24" t="str"/>
    </x:row>
    <x:row r="25">
      <x:c r="A25" s="32" t="str">
        <x:v>Black text</x:v>
      </x:c>
      <x:c r="B25" t="str">
        <x:v>Formula / calculation</x:v>
      </x:c>
      <x:c r="C25" t="str"/>
      <x:c r="D25" t="str"/>
    </x:row>
  </x:sheetData>
  <x:mergeCells>
    <x:mergeCell ref="A1:H1"/>
    <x:mergeCell ref="A3:H3"/>
    <x:mergeCell ref="A5:D5"/>
    <x:mergeCell ref="D6:H6"/>
    <x:mergeCell ref="A15:H15"/>
    <x:mergeCell ref="A16:H16"/>
    <x:mergeCell ref="A17:H17"/>
    <x:mergeCell ref="A18:H18"/>
    <x:mergeCell ref="A19:H19"/>
    <x:mergeCell ref="A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6.77999877929688" hidden="0" customWidth="1"/>
    <x:col min="2" max="2" width="1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>
      <x:c r="A1" s="2" t="str">
        <x:v>Monthly Tranche Model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3">
      <x:c r="A3" s="4" t="str">
        <x:v>Rows 8 to 128 model months 0 to 120. The selected output row is copied into row 131 based on the simulation length.</x:v>
      </x:c>
    </x:row>
    <x:row r="5">
      <x:c r="A5" s="38" t="str">
        <x:v>Month</x:v>
      </x:c>
      <x:c r="B5" s="39" t="str">
        <x:v>In simulation?</x:v>
      </x:c>
      <x:c r="C5" s="39" t="str">
        <x:v>Total paid in</x:v>
      </x:c>
      <x:c r="D5" s="39" t="str">
        <x:v>New contribution</x:v>
      </x:c>
      <x:c r="E5" s="39" t="str">
        <x:v>Opening cash</x:v>
      </x:c>
      <x:c r="F5" s="39" t="str">
        <x:v>Interest received</x:v>
      </x:c>
      <x:c r="G5" s="39" t="str">
        <x:v>Capital matured</x:v>
      </x:c>
      <x:c r="H5" s="39" t="str">
        <x:v>Cash before reinvest</x:v>
      </x:c>
      <x:c r="I5" s="39" t="str">
        <x:v>New investment made</x:v>
      </x:c>
      <x:c r="J5" s="39" t="str">
        <x:v>Cash closing</x:v>
      </x:c>
      <x:c r="K5" s="40" t="str">
        <x:v>Estimated value</x:v>
      </x:c>
    </x:row>
    <x:row r="6" ht="54" customHeight="1">
      <x:c r="A6" s="42" t="str"/>
      <x:c r="B6" s="42" t="str"/>
      <x:c r="C6" s="42" t="str">
        <x:v>Cumulative user cash paid in</x:v>
      </x:c>
      <x:c r="D6" s="42" t="str">
        <x:v>Lump sum in month 0 plus monthly payments through the selected period</x:v>
      </x:c>
      <x:c r="E6" s="42" t="str">
        <x:v>Prior month leftover cash</x:v>
      </x:c>
      <x:c r="F6" s="42" t="str">
        <x:v>6-month coupon on prior active tranches</x:v>
      </x:c>
      <x:c r="G6" s="42" t="str">
        <x:v>Principal returned from tranches reaching 60 months</x:v>
      </x:c>
      <x:c r="H6" s="42" t="str">
        <x:v>Cash available before sweep</x:v>
      </x:c>
      <x:c r="I6" s="42" t="str">
        <x:v>Full cash swept into a new tranche if at least £5</x:v>
      </x:c>
      <x:c r="J6" s="42" t="str">
        <x:v>Leftover cash below £5</x:v>
      </x:c>
      <x:c r="K6" s="42" t="str">
        <x:v>Cash closing plus active principal</x:v>
      </x:c>
    </x:row>
    <x:row r="8">
      <x:c r="A8" s="54" t="n">
        <x:v>0</x:v>
      </x:c>
      <x:c r="B8" s="70" t="b">
        <x:f>A8&lt;='Summary'!$B$9*12</x:f>
        <x:v>1</x:v>
      </x:c>
      <x:c r="C8" s="60" t="n">
        <x:f>IF(A8=0,IF('Summary'!$B$6&gt;=5,'Summary'!$B$6,0),C7)+IF(A8&lt;'Summary'!$B$9*12,IF('Summary'!$B$7&gt;=5,'Summary'!$B$7,0),0)</x:f>
        <x:v>10100</x:v>
      </x:c>
      <x:c r="D8" s="60" t="n">
        <x:f>IF(A8=0,IF('Summary'!$B$6&gt;=5,'Summary'!$B$6,0),0)+IF(A8&lt;'Summary'!$B$9*12,IF('Summary'!$B$7&gt;=5,'Summary'!$B$7,0),0)</x:f>
        <x:v>10100</x:v>
      </x:c>
      <x:c r="E8" s="60" t="n">
        <x:f>0</x:f>
        <x:v>0</x:v>
      </x:c>
      <x:c r="F8" s="60" t="n">
        <x:f>0</x:f>
        <x:v>0</x:v>
      </x:c>
      <x:c r="G8" s="60" t="n">
        <x:f>0</x:f>
        <x:v>0</x:v>
      </x:c>
      <x:c r="H8" s="60" t="n">
        <x:f>E8+D8+F8+G8</x:f>
        <x:v>10100</x:v>
      </x:c>
      <x:c r="I8" s="60" t="n">
        <x:f>IF(B8,IF(H8&gt;='Summary'!$B$12,H8,0),0)</x:f>
        <x:v>10100</x:v>
      </x:c>
      <x:c r="J8" s="60" t="n">
        <x:f>H8-I8</x:f>
        <x:v>0</x:v>
      </x:c>
      <x:c r="K8" s="61" t="n">
        <x:f>J8+IF(A8+'Summary'!$B$10*12&gt;A8,I8,0)</x:f>
        <x:v>10100</x:v>
      </x:c>
    </x:row>
    <x:row r="9">
      <x:c r="A9" s="55" t="n">
        <x:v>1</x:v>
      </x:c>
      <x:c r="B9" s="71" t="b">
        <x:f>A9&lt;='Summary'!$B$9*12</x:f>
        <x:v>1</x:v>
      </x:c>
      <x:c r="C9" s="62" t="n">
        <x:f>IF(A9=0,IF('Summary'!$B$6&gt;=5,'Summary'!$B$6,0),C8)+IF(A9&lt;'Summary'!$B$9*12,IF('Summary'!$B$7&gt;=5,'Summary'!$B$7,0),0)</x:f>
        <x:v>10200</x:v>
      </x:c>
      <x:c r="D9" s="62" t="n">
        <x:f>IF(A9=0,IF('Summary'!$B$6&gt;=5,'Summary'!$B$6,0),0)+IF(A9&lt;'Summary'!$B$9*12,IF('Summary'!$B$7&gt;=5,'Summary'!$B$7,0),0)</x:f>
        <x:v>100</x:v>
      </x:c>
      <x:c r="E9" s="62" t="n">
        <x:f>J8</x:f>
        <x:v>0</x:v>
      </x:c>
      <x:c r="F9" s="62" t="n">
        <x:f>(IF(AND(A9&gt;A8,A9&lt;=A8+'Summary'!$B$10*12,MOD(A9-A8,'Summary'!$B$11)=0),I8,0))*'Summary'!$B$8/2</x:f>
        <x:v>0</x:v>
      </x:c>
      <x:c r="G9" s="62" t="n">
        <x:f>IF(A9=A8+'Summary'!$B$10*12,I8,0)</x:f>
        <x:v>0</x:v>
      </x:c>
      <x:c r="H9" s="62" t="n">
        <x:f>E9+D9+F9+G9</x:f>
        <x:v>100</x:v>
      </x:c>
      <x:c r="I9" s="62" t="n">
        <x:f>IF(B9,IF(H9&gt;='Summary'!$B$12,H9,0),0)</x:f>
        <x:v>100</x:v>
      </x:c>
      <x:c r="J9" s="62" t="n">
        <x:f>H9-I9</x:f>
        <x:v>0</x:v>
      </x:c>
      <x:c r="K9" s="63" t="n">
        <x:f>J9+IF(A8+'Summary'!$B$10*12&gt;A9,I8,0)+IF(A9+'Summary'!$B$10*12&gt;A9,I9,0)</x:f>
        <x:v>10200</x:v>
      </x:c>
    </x:row>
    <x:row r="10">
      <x:c r="A10" s="55" t="n">
        <x:v>2</x:v>
      </x:c>
      <x:c r="B10" s="71" t="b">
        <x:f>A10&lt;='Summary'!$B$9*12</x:f>
        <x:v>1</x:v>
      </x:c>
      <x:c r="C10" s="62" t="n">
        <x:f>IF(A10=0,IF('Summary'!$B$6&gt;=5,'Summary'!$B$6,0),C9)+IF(A10&lt;'Summary'!$B$9*12,IF('Summary'!$B$7&gt;=5,'Summary'!$B$7,0),0)</x:f>
        <x:v>10300</x:v>
      </x:c>
      <x:c r="D10" s="62" t="n">
        <x:f>IF(A10=0,IF('Summary'!$B$6&gt;=5,'Summary'!$B$6,0),0)+IF(A10&lt;'Summary'!$B$9*12,IF('Summary'!$B$7&gt;=5,'Summary'!$B$7,0),0)</x:f>
        <x:v>100</x:v>
      </x:c>
      <x:c r="E10" s="62" t="n">
        <x:f>J9</x:f>
        <x:v>0</x:v>
      </x:c>
      <x:c r="F10" s="62" t="n">
        <x:f>(IF(AND(A10&gt;A8,A10&lt;=A8+'Summary'!$B$10*12,MOD(A10-A8,'Summary'!$B$11)=0),I8,0)+IF(AND(A10&gt;A9,A10&lt;=A9+'Summary'!$B$10*12,MOD(A10-A9,'Summary'!$B$11)=0),I9,0))*'Summary'!$B$8/2</x:f>
        <x:v>0</x:v>
      </x:c>
      <x:c r="G10" s="62" t="n">
        <x:f>IF(A10=A8+'Summary'!$B$10*12,I8,0)+IF(A10=A9+'Summary'!$B$10*12,I9,0)</x:f>
        <x:v>0</x:v>
      </x:c>
      <x:c r="H10" s="62" t="n">
        <x:f>E10+D10+F10+G10</x:f>
        <x:v>100</x:v>
      </x:c>
      <x:c r="I10" s="62" t="n">
        <x:f>IF(B10,IF(H10&gt;='Summary'!$B$12,H10,0),0)</x:f>
        <x:v>100</x:v>
      </x:c>
      <x:c r="J10" s="62" t="n">
        <x:f>H10-I10</x:f>
        <x:v>0</x:v>
      </x:c>
      <x:c r="K10" s="63" t="n">
        <x:f>J10+IF(A8+'Summary'!$B$10*12&gt;A10,I8,0)+IF(A9+'Summary'!$B$10*12&gt;A10,I9,0)+IF(A10+'Summary'!$B$10*12&gt;A10,I10,0)</x:f>
        <x:v>10300</x:v>
      </x:c>
    </x:row>
    <x:row r="11">
      <x:c r="A11" s="55" t="n">
        <x:v>3</x:v>
      </x:c>
      <x:c r="B11" s="71" t="b">
        <x:f>A11&lt;='Summary'!$B$9*12</x:f>
        <x:v>1</x:v>
      </x:c>
      <x:c r="C11" s="62" t="n">
        <x:f>IF(A11=0,IF('Summary'!$B$6&gt;=5,'Summary'!$B$6,0),C10)+IF(A11&lt;'Summary'!$B$9*12,IF('Summary'!$B$7&gt;=5,'Summary'!$B$7,0),0)</x:f>
        <x:v>10400</x:v>
      </x:c>
      <x:c r="D11" s="62" t="n">
        <x:f>IF(A11=0,IF('Summary'!$B$6&gt;=5,'Summary'!$B$6,0),0)+IF(A11&lt;'Summary'!$B$9*12,IF('Summary'!$B$7&gt;=5,'Summary'!$B$7,0),0)</x:f>
        <x:v>100</x:v>
      </x:c>
      <x:c r="E11" s="62" t="n">
        <x:f>J10</x:f>
        <x:v>0</x:v>
      </x:c>
      <x:c r="F11" s="62" t="n">
        <x:f>(IF(AND(A11&gt;A8,A11&lt;=A8+'Summary'!$B$10*12,MOD(A11-A8,'Summary'!$B$11)=0),I8,0)+IF(AND(A11&gt;A9,A11&lt;=A9+'Summary'!$B$10*12,MOD(A11-A9,'Summary'!$B$11)=0),I9,0)+IF(AND(A11&gt;A10,A11&lt;=A10+'Summary'!$B$10*12,MOD(A11-A10,'Summary'!$B$11)=0),I10,0))*'Summary'!$B$8/2</x:f>
        <x:v>0</x:v>
      </x:c>
      <x:c r="G11" s="62" t="n">
        <x:f>IF(A11=A8+'Summary'!$B$10*12,I8,0)+IF(A11=A9+'Summary'!$B$10*12,I9,0)+IF(A11=A10+'Summary'!$B$10*12,I10,0)</x:f>
        <x:v>0</x:v>
      </x:c>
      <x:c r="H11" s="62" t="n">
        <x:f>E11+D11+F11+G11</x:f>
        <x:v>100</x:v>
      </x:c>
      <x:c r="I11" s="62" t="n">
        <x:f>IF(B11,IF(H11&gt;='Summary'!$B$12,H11,0),0)</x:f>
        <x:v>100</x:v>
      </x:c>
      <x:c r="J11" s="62" t="n">
        <x:f>H11-I11</x:f>
        <x:v>0</x:v>
      </x:c>
      <x:c r="K11" s="63" t="n">
        <x:f>J11+IF(A8+'Summary'!$B$10*12&gt;A11,I8,0)+IF(A9+'Summary'!$B$10*12&gt;A11,I9,0)+IF(A10+'Summary'!$B$10*12&gt;A11,I10,0)+IF(A11+'Summary'!$B$10*12&gt;A11,I11,0)</x:f>
        <x:v>10400</x:v>
      </x:c>
    </x:row>
    <x:row r="12">
      <x:c r="A12" s="55" t="n">
        <x:v>4</x:v>
      </x:c>
      <x:c r="B12" s="71" t="b">
        <x:f>A12&lt;='Summary'!$B$9*12</x:f>
        <x:v>1</x:v>
      </x:c>
      <x:c r="C12" s="62" t="n">
        <x:f>IF(A12=0,IF('Summary'!$B$6&gt;=5,'Summary'!$B$6,0),C11)+IF(A12&lt;'Summary'!$B$9*12,IF('Summary'!$B$7&gt;=5,'Summary'!$B$7,0),0)</x:f>
        <x:v>10500</x:v>
      </x:c>
      <x:c r="D12" s="62" t="n">
        <x:f>IF(A12=0,IF('Summary'!$B$6&gt;=5,'Summary'!$B$6,0),0)+IF(A12&lt;'Summary'!$B$9*12,IF('Summary'!$B$7&gt;=5,'Summary'!$B$7,0),0)</x:f>
        <x:v>100</x:v>
      </x:c>
      <x:c r="E12" s="62" t="n">
        <x:f>J11</x:f>
        <x:v>0</x:v>
      </x:c>
      <x:c r="F12" s="62" t="n">
        <x:f>(IF(AND(A12&gt;A8,A12&lt;=A8+'Summary'!$B$10*12,MOD(A12-A8,'Summary'!$B$11)=0),I8,0)+IF(AND(A12&gt;A9,A12&lt;=A9+'Summary'!$B$10*12,MOD(A12-A9,'Summary'!$B$11)=0),I9,0)+IF(AND(A12&gt;A10,A12&lt;=A10+'Summary'!$B$10*12,MOD(A12-A10,'Summary'!$B$11)=0),I10,0)+IF(AND(A12&gt;A11,A12&lt;=A11+'Summary'!$B$10*12,MOD(A12-A11,'Summary'!$B$11)=0),I11,0))*'Summary'!$B$8/2</x:f>
        <x:v>0</x:v>
      </x:c>
      <x:c r="G12" s="62" t="n">
        <x:f>IF(A12=A8+'Summary'!$B$10*12,I8,0)+IF(A12=A9+'Summary'!$B$10*12,I9,0)+IF(A12=A10+'Summary'!$B$10*12,I10,0)+IF(A12=A11+'Summary'!$B$10*12,I11,0)</x:f>
        <x:v>0</x:v>
      </x:c>
      <x:c r="H12" s="62" t="n">
        <x:f>E12+D12+F12+G12</x:f>
        <x:v>100</x:v>
      </x:c>
      <x:c r="I12" s="62" t="n">
        <x:f>IF(B12,IF(H12&gt;='Summary'!$B$12,H12,0),0)</x:f>
        <x:v>100</x:v>
      </x:c>
      <x:c r="J12" s="62" t="n">
        <x:f>H12-I12</x:f>
        <x:v>0</x:v>
      </x:c>
      <x:c r="K12" s="63" t="n">
        <x:f>J12+IF(A8+'Summary'!$B$10*12&gt;A12,I8,0)+IF(A9+'Summary'!$B$10*12&gt;A12,I9,0)+IF(A10+'Summary'!$B$10*12&gt;A12,I10,0)+IF(A11+'Summary'!$B$10*12&gt;A12,I11,0)+IF(A12+'Summary'!$B$10*12&gt;A12,I12,0)</x:f>
        <x:v>10500</x:v>
      </x:c>
    </x:row>
    <x:row r="13">
      <x:c r="A13" s="55" t="n">
        <x:v>5</x:v>
      </x:c>
      <x:c r="B13" s="71" t="b">
        <x:f>A13&lt;='Summary'!$B$9*12</x:f>
        <x:v>1</x:v>
      </x:c>
      <x:c r="C13" s="62" t="n">
        <x:f>IF(A13=0,IF('Summary'!$B$6&gt;=5,'Summary'!$B$6,0),C12)+IF(A13&lt;'Summary'!$B$9*12,IF('Summary'!$B$7&gt;=5,'Summary'!$B$7,0),0)</x:f>
        <x:v>10600</x:v>
      </x:c>
      <x:c r="D13" s="62" t="n">
        <x:f>IF(A13=0,IF('Summary'!$B$6&gt;=5,'Summary'!$B$6,0),0)+IF(A13&lt;'Summary'!$B$9*12,IF('Summary'!$B$7&gt;=5,'Summary'!$B$7,0),0)</x:f>
        <x:v>100</x:v>
      </x:c>
      <x:c r="E13" s="62" t="n">
        <x:f>J12</x:f>
        <x:v>0</x:v>
      </x:c>
      <x:c r="F13" s="62" t="n">
        <x:f>(IF(AND(A13&gt;A8,A13&lt;=A8+'Summary'!$B$10*12,MOD(A13-A8,'Summary'!$B$11)=0),I8,0)+IF(AND(A13&gt;A9,A13&lt;=A9+'Summary'!$B$10*12,MOD(A13-A9,'Summary'!$B$11)=0),I9,0)+IF(AND(A13&gt;A10,A13&lt;=A10+'Summary'!$B$10*12,MOD(A13-A10,'Summary'!$B$11)=0),I10,0)+IF(AND(A13&gt;A11,A13&lt;=A11+'Summary'!$B$10*12,MOD(A13-A11,'Summary'!$B$11)=0),I11,0)+IF(AND(A13&gt;A12,A13&lt;=A12+'Summary'!$B$10*12,MOD(A13-A12,'Summary'!$B$11)=0),I12,0))*'Summary'!$B$8/2</x:f>
        <x:v>0</x:v>
      </x:c>
      <x:c r="G13" s="62" t="n">
        <x:f>IF(A13=A8+'Summary'!$B$10*12,I8,0)+IF(A13=A9+'Summary'!$B$10*12,I9,0)+IF(A13=A10+'Summary'!$B$10*12,I10,0)+IF(A13=A11+'Summary'!$B$10*12,I11,0)+IF(A13=A12+'Summary'!$B$10*12,I12,0)</x:f>
        <x:v>0</x:v>
      </x:c>
      <x:c r="H13" s="62" t="n">
        <x:f>E13+D13+F13+G13</x:f>
        <x:v>100</x:v>
      </x:c>
      <x:c r="I13" s="62" t="n">
        <x:f>IF(B13,IF(H13&gt;='Summary'!$B$12,H13,0),0)</x:f>
        <x:v>100</x:v>
      </x:c>
      <x:c r="J13" s="62" t="n">
        <x:f>H13-I13</x:f>
        <x:v>0</x:v>
      </x:c>
      <x:c r="K13" s="63" t="n">
        <x:f>J13+IF(A8+'Summary'!$B$10*12&gt;A13,I8,0)+IF(A9+'Summary'!$B$10*12&gt;A13,I9,0)+IF(A10+'Summary'!$B$10*12&gt;A13,I10,0)+IF(A11+'Summary'!$B$10*12&gt;A13,I11,0)+IF(A12+'Summary'!$B$10*12&gt;A13,I12,0)+IF(A13+'Summary'!$B$10*12&gt;A13,I13,0)</x:f>
        <x:v>10600</x:v>
      </x:c>
    </x:row>
    <x:row r="14">
      <x:c r="A14" s="55" t="n">
        <x:v>6</x:v>
      </x:c>
      <x:c r="B14" s="71" t="b">
        <x:f>A14&lt;='Summary'!$B$9*12</x:f>
        <x:v>1</x:v>
      </x:c>
      <x:c r="C14" s="62" t="n">
        <x:f>IF(A14=0,IF('Summary'!$B$6&gt;=5,'Summary'!$B$6,0),C13)+IF(A14&lt;'Summary'!$B$9*12,IF('Summary'!$B$7&gt;=5,'Summary'!$B$7,0),0)</x:f>
        <x:v>10700</x:v>
      </x:c>
      <x:c r="D14" s="62" t="n">
        <x:f>IF(A14=0,IF('Summary'!$B$6&gt;=5,'Summary'!$B$6,0),0)+IF(A14&lt;'Summary'!$B$9*12,IF('Summary'!$B$7&gt;=5,'Summary'!$B$7,0),0)</x:f>
        <x:v>100</x:v>
      </x:c>
      <x:c r="E14" s="62" t="n">
        <x:f>J13</x:f>
        <x:v>0</x:v>
      </x:c>
      <x:c r="F14" s="62" t="n">
        <x:f>(IF(AND(A14&gt;A8,A14&lt;=A8+'Summary'!$B$10*12,MOD(A14-A8,'Summary'!$B$11)=0),I8,0)+IF(AND(A14&gt;A9,A14&lt;=A9+'Summary'!$B$10*12,MOD(A14-A9,'Summary'!$B$11)=0),I9,0)+IF(AND(A14&gt;A10,A14&lt;=A10+'Summary'!$B$10*12,MOD(A14-A10,'Summary'!$B$11)=0),I10,0)+IF(AND(A14&gt;A11,A14&lt;=A11+'Summary'!$B$10*12,MOD(A14-A11,'Summary'!$B$11)=0),I11,0)+IF(AND(A14&gt;A12,A14&lt;=A12+'Summary'!$B$10*12,MOD(A14-A12,'Summary'!$B$11)=0),I12,0)+IF(AND(A14&gt;A13,A14&lt;=A13+'Summary'!$B$10*12,MOD(A14-A13,'Summary'!$B$11)=0),I13,0))*'Summary'!$B$8/2</x:f>
        <x:v>187.85999999999999</x:v>
      </x:c>
      <x:c r="G14" s="62" t="n">
        <x:f>IF(A14=A8+'Summary'!$B$10*12,I8,0)+IF(A14=A9+'Summary'!$B$10*12,I9,0)+IF(A14=A10+'Summary'!$B$10*12,I10,0)+IF(A14=A11+'Summary'!$B$10*12,I11,0)+IF(A14=A12+'Summary'!$B$10*12,I12,0)+IF(A14=A13+'Summary'!$B$10*12,I13,0)</x:f>
        <x:v>0</x:v>
      </x:c>
      <x:c r="H14" s="62" t="n">
        <x:f>E14+D14+F14+G14</x:f>
        <x:v>287.86</x:v>
      </x:c>
      <x:c r="I14" s="62" t="n">
        <x:f>IF(B14,IF(H14&gt;='Summary'!$B$12,H14,0),0)</x:f>
        <x:v>287.86</x:v>
      </x:c>
      <x:c r="J14" s="62" t="n">
        <x:f>H14-I14</x:f>
        <x:v>0</x:v>
      </x:c>
      <x:c r="K14" s="63" t="n">
        <x:f>J14+IF(A8+'Summary'!$B$10*12&gt;A14,I8,0)+IF(A9+'Summary'!$B$10*12&gt;A14,I9,0)+IF(A10+'Summary'!$B$10*12&gt;A14,I10,0)+IF(A11+'Summary'!$B$10*12&gt;A14,I11,0)+IF(A12+'Summary'!$B$10*12&gt;A14,I12,0)+IF(A13+'Summary'!$B$10*12&gt;A14,I13,0)+IF(A14+'Summary'!$B$10*12&gt;A14,I14,0)</x:f>
        <x:v>10887.86</x:v>
      </x:c>
    </x:row>
    <x:row r="15">
      <x:c r="A15" s="55" t="n">
        <x:v>7</x:v>
      </x:c>
      <x:c r="B15" s="71" t="b">
        <x:f>A15&lt;='Summary'!$B$9*12</x:f>
        <x:v>1</x:v>
      </x:c>
      <x:c r="C15" s="62" t="n">
        <x:f>IF(A15=0,IF('Summary'!$B$6&gt;=5,'Summary'!$B$6,0),C14)+IF(A15&lt;'Summary'!$B$9*12,IF('Summary'!$B$7&gt;=5,'Summary'!$B$7,0),0)</x:f>
        <x:v>10800</x:v>
      </x:c>
      <x:c r="D15" s="62" t="n">
        <x:f>IF(A15=0,IF('Summary'!$B$6&gt;=5,'Summary'!$B$6,0),0)+IF(A15&lt;'Summary'!$B$9*12,IF('Summary'!$B$7&gt;=5,'Summary'!$B$7,0),0)</x:f>
        <x:v>100</x:v>
      </x:c>
      <x:c r="E15" s="62" t="n">
        <x:f>J14</x:f>
        <x:v>0</x:v>
      </x:c>
      <x:c r="F15" s="62" t="n">
        <x:f>(IF(AND(A15&gt;A8,A15&lt;=A8+'Summary'!$B$10*12,MOD(A15-A8,'Summary'!$B$11)=0),I8,0)+IF(AND(A15&gt;A9,A15&lt;=A9+'Summary'!$B$10*12,MOD(A15-A9,'Summary'!$B$11)=0),I9,0)+IF(AND(A15&gt;A10,A15&lt;=A10+'Summary'!$B$10*12,MOD(A15-A10,'Summary'!$B$11)=0),I10,0)+IF(AND(A15&gt;A11,A15&lt;=A11+'Summary'!$B$10*12,MOD(A15-A11,'Summary'!$B$11)=0),I11,0)+IF(AND(A15&gt;A12,A15&lt;=A12+'Summary'!$B$10*12,MOD(A15-A12,'Summary'!$B$11)=0),I12,0)+IF(AND(A15&gt;A13,A15&lt;=A13+'Summary'!$B$10*12,MOD(A15-A13,'Summary'!$B$11)=0),I13,0)+IF(AND(A15&gt;A14,A15&lt;=A14+'Summary'!$B$10*12,MOD(A15-A14,'Summary'!$B$11)=0),I14,0))*'Summary'!$B$8/2</x:f>
        <x:v>1.8599999999999999</x:v>
      </x:c>
      <x:c r="G15" s="62" t="n">
        <x:f>IF(A15=A8+'Summary'!$B$10*12,I8,0)+IF(A15=A9+'Summary'!$B$10*12,I9,0)+IF(A15=A10+'Summary'!$B$10*12,I10,0)+IF(A15=A11+'Summary'!$B$10*12,I11,0)+IF(A15=A12+'Summary'!$B$10*12,I12,0)+IF(A15=A13+'Summary'!$B$10*12,I13,0)+IF(A15=A14+'Summary'!$B$10*12,I14,0)</x:f>
        <x:v>0</x:v>
      </x:c>
      <x:c r="H15" s="62" t="n">
        <x:f>E15+D15+F15+G15</x:f>
        <x:v>101.86</x:v>
      </x:c>
      <x:c r="I15" s="62" t="n">
        <x:f>IF(B15,IF(H15&gt;='Summary'!$B$12,H15,0),0)</x:f>
        <x:v>101.86</x:v>
      </x:c>
      <x:c r="J15" s="62" t="n">
        <x:f>H15-I15</x:f>
        <x:v>0</x:v>
      </x:c>
      <x:c r="K15" s="63" t="n">
        <x:f>J15+IF(A8+'Summary'!$B$10*12&gt;A15,I8,0)+IF(A9+'Summary'!$B$10*12&gt;A15,I9,0)+IF(A10+'Summary'!$B$10*12&gt;A15,I10,0)+IF(A11+'Summary'!$B$10*12&gt;A15,I11,0)+IF(A12+'Summary'!$B$10*12&gt;A15,I12,0)+IF(A13+'Summary'!$B$10*12&gt;A15,I13,0)+IF(A14+'Summary'!$B$10*12&gt;A15,I14,0)+IF(A15+'Summary'!$B$10*12&gt;A15,I15,0)</x:f>
        <x:v>10989.720000000001</x:v>
      </x:c>
    </x:row>
    <x:row r="16">
      <x:c r="A16" s="55" t="n">
        <x:v>8</x:v>
      </x:c>
      <x:c r="B16" s="71" t="b">
        <x:f>A16&lt;='Summary'!$B$9*12</x:f>
        <x:v>1</x:v>
      </x:c>
      <x:c r="C16" s="62" t="n">
        <x:f>IF(A16=0,IF('Summary'!$B$6&gt;=5,'Summary'!$B$6,0),C15)+IF(A16&lt;'Summary'!$B$9*12,IF('Summary'!$B$7&gt;=5,'Summary'!$B$7,0),0)</x:f>
        <x:v>10900</x:v>
      </x:c>
      <x:c r="D16" s="62" t="n">
        <x:f>IF(A16=0,IF('Summary'!$B$6&gt;=5,'Summary'!$B$6,0),0)+IF(A16&lt;'Summary'!$B$9*12,IF('Summary'!$B$7&gt;=5,'Summary'!$B$7,0),0)</x:f>
        <x:v>100</x:v>
      </x:c>
      <x:c r="E16" s="62" t="n">
        <x:f>J15</x:f>
        <x:v>0</x:v>
      </x:c>
      <x:c r="F16" s="62" t="n">
        <x:f>(IF(AND(A16&gt;A8,A16&lt;=A8+'Summary'!$B$10*12,MOD(A16-A8,'Summary'!$B$11)=0),I8,0)+IF(AND(A16&gt;A9,A16&lt;=A9+'Summary'!$B$10*12,MOD(A16-A9,'Summary'!$B$11)=0),I9,0)+IF(AND(A16&gt;A10,A16&lt;=A10+'Summary'!$B$10*12,MOD(A16-A10,'Summary'!$B$11)=0),I10,0)+IF(AND(A16&gt;A11,A16&lt;=A11+'Summary'!$B$10*12,MOD(A16-A11,'Summary'!$B$11)=0),I11,0)+IF(AND(A16&gt;A12,A16&lt;=A12+'Summary'!$B$10*12,MOD(A16-A12,'Summary'!$B$11)=0),I12,0)+IF(AND(A16&gt;A13,A16&lt;=A13+'Summary'!$B$10*12,MOD(A16-A13,'Summary'!$B$11)=0),I13,0)+IF(AND(A16&gt;A14,A16&lt;=A14+'Summary'!$B$10*12,MOD(A16-A14,'Summary'!$B$11)=0),I14,0)+IF(AND(A16&gt;A15,A16&lt;=A15+'Summary'!$B$10*12,MOD(A16-A15,'Summary'!$B$11)=0),I15,0))*'Summary'!$B$8/2</x:f>
        <x:v>1.8599999999999999</x:v>
      </x:c>
      <x:c r="G16" s="62" t="n">
        <x:f>IF(A16=A8+'Summary'!$B$10*12,I8,0)+IF(A16=A9+'Summary'!$B$10*12,I9,0)+IF(A16=A10+'Summary'!$B$10*12,I10,0)+IF(A16=A11+'Summary'!$B$10*12,I11,0)+IF(A16=A12+'Summary'!$B$10*12,I12,0)+IF(A16=A13+'Summary'!$B$10*12,I13,0)+IF(A16=A14+'Summary'!$B$10*12,I14,0)+IF(A16=A15+'Summary'!$B$10*12,I15,0)</x:f>
        <x:v>0</x:v>
      </x:c>
      <x:c r="H16" s="62" t="n">
        <x:f>E16+D16+F16+G16</x:f>
        <x:v>101.86</x:v>
      </x:c>
      <x:c r="I16" s="62" t="n">
        <x:f>IF(B16,IF(H16&gt;='Summary'!$B$12,H16,0),0)</x:f>
        <x:v>101.86</x:v>
      </x:c>
      <x:c r="J16" s="62" t="n">
        <x:f>H16-I16</x:f>
        <x:v>0</x:v>
      </x:c>
      <x:c r="K16" s="63" t="n">
        <x:f>J16+IF(A8+'Summary'!$B$10*12&gt;A16,I8,0)+IF(A9+'Summary'!$B$10*12&gt;A16,I9,0)+IF(A10+'Summary'!$B$10*12&gt;A16,I10,0)+IF(A11+'Summary'!$B$10*12&gt;A16,I11,0)+IF(A12+'Summary'!$B$10*12&gt;A16,I12,0)+IF(A13+'Summary'!$B$10*12&gt;A16,I13,0)+IF(A14+'Summary'!$B$10*12&gt;A16,I14,0)+IF(A15+'Summary'!$B$10*12&gt;A16,I15,0)+IF(A16+'Summary'!$B$10*12&gt;A16,I16,0)</x:f>
        <x:v>11091.580000000002</x:v>
      </x:c>
    </x:row>
    <x:row r="17">
      <x:c r="A17" s="55" t="n">
        <x:v>9</x:v>
      </x:c>
      <x:c r="B17" s="71" t="b">
        <x:f>A17&lt;='Summary'!$B$9*12</x:f>
        <x:v>1</x:v>
      </x:c>
      <x:c r="C17" s="62" t="n">
        <x:f>IF(A17=0,IF('Summary'!$B$6&gt;=5,'Summary'!$B$6,0),C16)+IF(A17&lt;'Summary'!$B$9*12,IF('Summary'!$B$7&gt;=5,'Summary'!$B$7,0),0)</x:f>
        <x:v>11000</x:v>
      </x:c>
      <x:c r="D17" s="62" t="n">
        <x:f>IF(A17=0,IF('Summary'!$B$6&gt;=5,'Summary'!$B$6,0),0)+IF(A17&lt;'Summary'!$B$9*12,IF('Summary'!$B$7&gt;=5,'Summary'!$B$7,0),0)</x:f>
        <x:v>100</x:v>
      </x:c>
      <x:c r="E17" s="62" t="n">
        <x:f>J16</x:f>
        <x:v>0</x:v>
      </x:c>
      <x:c r="F17" s="62" t="n">
        <x:f>(IF(AND(A17&gt;A8,A17&lt;=A8+'Summary'!$B$10*12,MOD(A17-A8,'Summary'!$B$11)=0),I8,0)+IF(AND(A17&gt;A9,A17&lt;=A9+'Summary'!$B$10*12,MOD(A17-A9,'Summary'!$B$11)=0),I9,0)+IF(AND(A17&gt;A10,A17&lt;=A10+'Summary'!$B$10*12,MOD(A17-A10,'Summary'!$B$11)=0),I10,0)+IF(AND(A17&gt;A11,A17&lt;=A11+'Summary'!$B$10*12,MOD(A17-A11,'Summary'!$B$11)=0),I11,0)+IF(AND(A17&gt;A12,A17&lt;=A12+'Summary'!$B$10*12,MOD(A17-A12,'Summary'!$B$11)=0),I12,0)+IF(AND(A17&gt;A13,A17&lt;=A13+'Summary'!$B$10*12,MOD(A17-A13,'Summary'!$B$11)=0),I13,0)+IF(AND(A17&gt;A14,A17&lt;=A14+'Summary'!$B$10*12,MOD(A17-A14,'Summary'!$B$11)=0),I14,0)+IF(AND(A17&gt;A15,A17&lt;=A15+'Summary'!$B$10*12,MOD(A17-A15,'Summary'!$B$11)=0),I15,0)+IF(AND(A17&gt;A16,A17&lt;=A16+'Summary'!$B$10*12,MOD(A17-A16,'Summary'!$B$11)=0),I16,0))*'Summary'!$B$8/2</x:f>
        <x:v>1.8599999999999999</x:v>
      </x:c>
      <x:c r="G17" s="62" t="n">
        <x:f>IF(A17=A8+'Summary'!$B$10*12,I8,0)+IF(A17=A9+'Summary'!$B$10*12,I9,0)+IF(A17=A10+'Summary'!$B$10*12,I10,0)+IF(A17=A11+'Summary'!$B$10*12,I11,0)+IF(A17=A12+'Summary'!$B$10*12,I12,0)+IF(A17=A13+'Summary'!$B$10*12,I13,0)+IF(A17=A14+'Summary'!$B$10*12,I14,0)+IF(A17=A15+'Summary'!$B$10*12,I15,0)+IF(A17=A16+'Summary'!$B$10*12,I16,0)</x:f>
        <x:v>0</x:v>
      </x:c>
      <x:c r="H17" s="62" t="n">
        <x:f>E17+D17+F17+G17</x:f>
        <x:v>101.86</x:v>
      </x:c>
      <x:c r="I17" s="62" t="n">
        <x:f>IF(B17,IF(H17&gt;='Summary'!$B$12,H17,0),0)</x:f>
        <x:v>101.86</x:v>
      </x:c>
      <x:c r="J17" s="62" t="n">
        <x:f>H17-I17</x:f>
        <x:v>0</x:v>
      </x:c>
      <x:c r="K17" s="63" t="n">
        <x:f>J17+IF(A8+'Summary'!$B$10*12&gt;A17,I8,0)+IF(A9+'Summary'!$B$10*12&gt;A17,I9,0)+IF(A10+'Summary'!$B$10*12&gt;A17,I10,0)+IF(A11+'Summary'!$B$10*12&gt;A17,I11,0)+IF(A12+'Summary'!$B$10*12&gt;A17,I12,0)+IF(A13+'Summary'!$B$10*12&gt;A17,I13,0)+IF(A14+'Summary'!$B$10*12&gt;A17,I14,0)+IF(A15+'Summary'!$B$10*12&gt;A17,I15,0)+IF(A16+'Summary'!$B$10*12&gt;A17,I16,0)+IF(A17+'Summary'!$B$10*12&gt;A17,I17,0)</x:f>
        <x:v>11193.440000000002</x:v>
      </x:c>
    </x:row>
    <x:row r="18">
      <x:c r="A18" s="55" t="n">
        <x:v>10</x:v>
      </x:c>
      <x:c r="B18" s="71" t="b">
        <x:f>A18&lt;='Summary'!$B$9*12</x:f>
        <x:v>1</x:v>
      </x:c>
      <x:c r="C18" s="62" t="n">
        <x:f>IF(A18=0,IF('Summary'!$B$6&gt;=5,'Summary'!$B$6,0),C17)+IF(A18&lt;'Summary'!$B$9*12,IF('Summary'!$B$7&gt;=5,'Summary'!$B$7,0),0)</x:f>
        <x:v>11100</x:v>
      </x:c>
      <x:c r="D18" s="62" t="n">
        <x:f>IF(A18=0,IF('Summary'!$B$6&gt;=5,'Summary'!$B$6,0),0)+IF(A18&lt;'Summary'!$B$9*12,IF('Summary'!$B$7&gt;=5,'Summary'!$B$7,0),0)</x:f>
        <x:v>100</x:v>
      </x:c>
      <x:c r="E18" s="62" t="n">
        <x:f>J17</x:f>
        <x:v>0</x:v>
      </x:c>
      <x:c r="F18" s="62" t="n">
        <x:f>(IF(AND(A18&gt;A8,A18&lt;=A8+'Summary'!$B$10*12,MOD(A18-A8,'Summary'!$B$11)=0),I8,0)+IF(AND(A18&gt;A9,A18&lt;=A9+'Summary'!$B$10*12,MOD(A18-A9,'Summary'!$B$11)=0),I9,0)+IF(AND(A18&gt;A10,A18&lt;=A10+'Summary'!$B$10*12,MOD(A18-A10,'Summary'!$B$11)=0),I10,0)+IF(AND(A18&gt;A11,A18&lt;=A11+'Summary'!$B$10*12,MOD(A18-A11,'Summary'!$B$11)=0),I11,0)+IF(AND(A18&gt;A12,A18&lt;=A12+'Summary'!$B$10*12,MOD(A18-A12,'Summary'!$B$11)=0),I12,0)+IF(AND(A18&gt;A13,A18&lt;=A13+'Summary'!$B$10*12,MOD(A18-A13,'Summary'!$B$11)=0),I13,0)+IF(AND(A18&gt;A14,A18&lt;=A14+'Summary'!$B$10*12,MOD(A18-A14,'Summary'!$B$11)=0),I14,0)+IF(AND(A18&gt;A15,A18&lt;=A15+'Summary'!$B$10*12,MOD(A18-A15,'Summary'!$B$11)=0),I15,0)+IF(AND(A18&gt;A16,A18&lt;=A16+'Summary'!$B$10*12,MOD(A18-A16,'Summary'!$B$11)=0),I16,0)+IF(AND(A18&gt;A17,A18&lt;=A17+'Summary'!$B$10*12,MOD(A18-A17,'Summary'!$B$11)=0),I17,0))*'Summary'!$B$8/2</x:f>
        <x:v>1.8599999999999999</x:v>
      </x:c>
      <x:c r="G18" s="62" t="n">
        <x:f>IF(A18=A8+'Summary'!$B$10*12,I8,0)+IF(A18=A9+'Summary'!$B$10*12,I9,0)+IF(A18=A10+'Summary'!$B$10*12,I10,0)+IF(A18=A11+'Summary'!$B$10*12,I11,0)+IF(A18=A12+'Summary'!$B$10*12,I12,0)+IF(A18=A13+'Summary'!$B$10*12,I13,0)+IF(A18=A14+'Summary'!$B$10*12,I14,0)+IF(A18=A15+'Summary'!$B$10*12,I15,0)+IF(A18=A16+'Summary'!$B$10*12,I16,0)+IF(A18=A17+'Summary'!$B$10*12,I17,0)</x:f>
        <x:v>0</x:v>
      </x:c>
      <x:c r="H18" s="62" t="n">
        <x:f>E18+D18+F18+G18</x:f>
        <x:v>101.86</x:v>
      </x:c>
      <x:c r="I18" s="62" t="n">
        <x:f>IF(B18,IF(H18&gt;='Summary'!$B$12,H18,0),0)</x:f>
        <x:v>101.86</x:v>
      </x:c>
      <x:c r="J18" s="62" t="n">
        <x:f>H18-I18</x:f>
        <x:v>0</x:v>
      </x:c>
      <x:c r="K18" s="63" t="n">
        <x:f>J18+IF(A8+'Summary'!$B$10*12&gt;A18,I8,0)+IF(A9+'Summary'!$B$10*12&gt;A18,I9,0)+IF(A10+'Summary'!$B$10*12&gt;A18,I10,0)+IF(A11+'Summary'!$B$10*12&gt;A18,I11,0)+IF(A12+'Summary'!$B$10*12&gt;A18,I12,0)+IF(A13+'Summary'!$B$10*12&gt;A18,I13,0)+IF(A14+'Summary'!$B$10*12&gt;A18,I14,0)+IF(A15+'Summary'!$B$10*12&gt;A18,I15,0)+IF(A16+'Summary'!$B$10*12&gt;A18,I16,0)+IF(A17+'Summary'!$B$10*12&gt;A18,I17,0)+IF(A18+'Summary'!$B$10*12&gt;A18,I18,0)</x:f>
        <x:v>11295.300000000003</x:v>
      </x:c>
    </x:row>
    <x:row r="19">
      <x:c r="A19" s="55" t="n">
        <x:v>11</x:v>
      </x:c>
      <x:c r="B19" s="71" t="b">
        <x:f>A19&lt;='Summary'!$B$9*12</x:f>
        <x:v>1</x:v>
      </x:c>
      <x:c r="C19" s="62" t="n">
        <x:f>IF(A19=0,IF('Summary'!$B$6&gt;=5,'Summary'!$B$6,0),C18)+IF(A19&lt;'Summary'!$B$9*12,IF('Summary'!$B$7&gt;=5,'Summary'!$B$7,0),0)</x:f>
        <x:v>11200</x:v>
      </x:c>
      <x:c r="D19" s="62" t="n">
        <x:f>IF(A19=0,IF('Summary'!$B$6&gt;=5,'Summary'!$B$6,0),0)+IF(A19&lt;'Summary'!$B$9*12,IF('Summary'!$B$7&gt;=5,'Summary'!$B$7,0),0)</x:f>
        <x:v>100</x:v>
      </x:c>
      <x:c r="E19" s="62" t="n">
        <x:f>J18</x:f>
        <x:v>0</x:v>
      </x:c>
      <x:c r="F19" s="62" t="n">
        <x:f>(IF(AND(A19&gt;A8,A19&lt;=A8+'Summary'!$B$10*12,MOD(A19-A8,'Summary'!$B$11)=0),I8,0)+IF(AND(A19&gt;A9,A19&lt;=A9+'Summary'!$B$10*12,MOD(A19-A9,'Summary'!$B$11)=0),I9,0)+IF(AND(A19&gt;A10,A19&lt;=A10+'Summary'!$B$10*12,MOD(A19-A10,'Summary'!$B$11)=0),I10,0)+IF(AND(A19&gt;A11,A19&lt;=A11+'Summary'!$B$10*12,MOD(A19-A11,'Summary'!$B$11)=0),I11,0)+IF(AND(A19&gt;A12,A19&lt;=A12+'Summary'!$B$10*12,MOD(A19-A12,'Summary'!$B$11)=0),I12,0)+IF(AND(A19&gt;A13,A19&lt;=A13+'Summary'!$B$10*12,MOD(A19-A13,'Summary'!$B$11)=0),I13,0)+IF(AND(A19&gt;A14,A19&lt;=A14+'Summary'!$B$10*12,MOD(A19-A14,'Summary'!$B$11)=0),I14,0)+IF(AND(A19&gt;A15,A19&lt;=A15+'Summary'!$B$10*12,MOD(A19-A15,'Summary'!$B$11)=0),I15,0)+IF(AND(A19&gt;A16,A19&lt;=A16+'Summary'!$B$10*12,MOD(A19-A16,'Summary'!$B$11)=0),I16,0)+IF(AND(A19&gt;A17,A19&lt;=A17+'Summary'!$B$10*12,MOD(A19-A17,'Summary'!$B$11)=0),I17,0)+IF(AND(A19&gt;A18,A19&lt;=A18+'Summary'!$B$10*12,MOD(A19-A18,'Summary'!$B$11)=0),I18,0))*'Summary'!$B$8/2</x:f>
        <x:v>1.8599999999999999</x:v>
      </x:c>
      <x:c r="G19" s="62" t="n">
        <x:f>IF(A19=A8+'Summary'!$B$10*12,I8,0)+IF(A19=A9+'Summary'!$B$10*12,I9,0)+IF(A19=A10+'Summary'!$B$10*12,I10,0)+IF(A19=A11+'Summary'!$B$10*12,I11,0)+IF(A19=A12+'Summary'!$B$10*12,I12,0)+IF(A19=A13+'Summary'!$B$10*12,I13,0)+IF(A19=A14+'Summary'!$B$10*12,I14,0)+IF(A19=A15+'Summary'!$B$10*12,I15,0)+IF(A19=A16+'Summary'!$B$10*12,I16,0)+IF(A19=A17+'Summary'!$B$10*12,I17,0)+IF(A19=A18+'Summary'!$B$10*12,I18,0)</x:f>
        <x:v>0</x:v>
      </x:c>
      <x:c r="H19" s="62" t="n">
        <x:f>E19+D19+F19+G19</x:f>
        <x:v>101.86</x:v>
      </x:c>
      <x:c r="I19" s="62" t="n">
        <x:f>IF(B19,IF(H19&gt;='Summary'!$B$12,H19,0),0)</x:f>
        <x:v>101.86</x:v>
      </x:c>
      <x:c r="J19" s="62" t="n">
        <x:f>H19-I19</x:f>
        <x:v>0</x:v>
      </x:c>
      <x:c r="K19" s="63" t="n">
        <x:f>J19+IF(A8+'Summary'!$B$10*12&gt;A19,I8,0)+IF(A9+'Summary'!$B$10*12&gt;A19,I9,0)+IF(A10+'Summary'!$B$10*12&gt;A19,I10,0)+IF(A11+'Summary'!$B$10*12&gt;A19,I11,0)+IF(A12+'Summary'!$B$10*12&gt;A19,I12,0)+IF(A13+'Summary'!$B$10*12&gt;A19,I13,0)+IF(A14+'Summary'!$B$10*12&gt;A19,I14,0)+IF(A15+'Summary'!$B$10*12&gt;A19,I15,0)+IF(A16+'Summary'!$B$10*12&gt;A19,I16,0)+IF(A17+'Summary'!$B$10*12&gt;A19,I17,0)+IF(A18+'Summary'!$B$10*12&gt;A19,I18,0)+IF(A19+'Summary'!$B$10*12&gt;A19,I19,0)</x:f>
        <x:v>11397.160000000003</x:v>
      </x:c>
    </x:row>
    <x:row r="20">
      <x:c r="A20" s="55" t="n">
        <x:v>12</x:v>
      </x:c>
      <x:c r="B20" s="71" t="b">
        <x:f>A20&lt;='Summary'!$B$9*12</x:f>
        <x:v>1</x:v>
      </x:c>
      <x:c r="C20" s="62" t="n">
        <x:f>IF(A20=0,IF('Summary'!$B$6&gt;=5,'Summary'!$B$6,0),C19)+IF(A20&lt;'Summary'!$B$9*12,IF('Summary'!$B$7&gt;=5,'Summary'!$B$7,0),0)</x:f>
        <x:v>11300</x:v>
      </x:c>
      <x:c r="D20" s="62" t="n">
        <x:f>IF(A20=0,IF('Summary'!$B$6&gt;=5,'Summary'!$B$6,0),0)+IF(A20&lt;'Summary'!$B$9*12,IF('Summary'!$B$7&gt;=5,'Summary'!$B$7,0),0)</x:f>
        <x:v>100</x:v>
      </x:c>
      <x:c r="E20" s="62" t="n">
        <x:f>J19</x:f>
        <x:v>0</x:v>
      </x:c>
      <x:c r="F20" s="62" t="n">
        <x:f>(IF(AND(A20&gt;A8,A20&lt;=A8+'Summary'!$B$10*12,MOD(A20-A8,'Summary'!$B$11)=0),I8,0)+IF(AND(A20&gt;A9,A20&lt;=A9+'Summary'!$B$10*12,MOD(A20-A9,'Summary'!$B$11)=0),I9,0)+IF(AND(A20&gt;A10,A20&lt;=A10+'Summary'!$B$10*12,MOD(A20-A10,'Summary'!$B$11)=0),I10,0)+IF(AND(A20&gt;A11,A20&lt;=A11+'Summary'!$B$10*12,MOD(A20-A11,'Summary'!$B$11)=0),I11,0)+IF(AND(A20&gt;A12,A20&lt;=A12+'Summary'!$B$10*12,MOD(A20-A12,'Summary'!$B$11)=0),I12,0)+IF(AND(A20&gt;A13,A20&lt;=A13+'Summary'!$B$10*12,MOD(A20-A13,'Summary'!$B$11)=0),I13,0)+IF(AND(A20&gt;A14,A20&lt;=A14+'Summary'!$B$10*12,MOD(A20-A14,'Summary'!$B$11)=0),I14,0)+IF(AND(A20&gt;A15,A20&lt;=A15+'Summary'!$B$10*12,MOD(A20-A15,'Summary'!$B$11)=0),I15,0)+IF(AND(A20&gt;A16,A20&lt;=A16+'Summary'!$B$10*12,MOD(A20-A16,'Summary'!$B$11)=0),I16,0)+IF(AND(A20&gt;A17,A20&lt;=A17+'Summary'!$B$10*12,MOD(A20-A17,'Summary'!$B$11)=0),I17,0)+IF(AND(A20&gt;A18,A20&lt;=A18+'Summary'!$B$10*12,MOD(A20-A18,'Summary'!$B$11)=0),I18,0)+IF(AND(A20&gt;A19,A20&lt;=A19+'Summary'!$B$10*12,MOD(A20-A19,'Summary'!$B$11)=0),I19,0))*'Summary'!$B$8/2</x:f>
        <x:v>193.214196</x:v>
      </x:c>
      <x:c r="G20" s="62" t="n">
        <x:f>IF(A20=A8+'Summary'!$B$10*12,I8,0)+IF(A20=A9+'Summary'!$B$10*12,I9,0)+IF(A20=A10+'Summary'!$B$10*12,I10,0)+IF(A20=A11+'Summary'!$B$10*12,I11,0)+IF(A20=A12+'Summary'!$B$10*12,I12,0)+IF(A20=A13+'Summary'!$B$10*12,I13,0)+IF(A20=A14+'Summary'!$B$10*12,I14,0)+IF(A20=A15+'Summary'!$B$10*12,I15,0)+IF(A20=A16+'Summary'!$B$10*12,I16,0)+IF(A20=A17+'Summary'!$B$10*12,I17,0)+IF(A20=A18+'Summary'!$B$10*12,I18,0)+IF(A20=A19+'Summary'!$B$10*12,I19,0)</x:f>
        <x:v>0</x:v>
      </x:c>
      <x:c r="H20" s="62" t="n">
        <x:f>E20+D20+F20+G20</x:f>
        <x:v>293.214196</x:v>
      </x:c>
      <x:c r="I20" s="62" t="n">
        <x:f>IF(B20,IF(H20&gt;='Summary'!$B$12,H20,0),0)</x:f>
        <x:v>293.214196</x:v>
      </x:c>
      <x:c r="J20" s="62" t="n">
        <x:f>H20-I20</x:f>
        <x:v>0</x:v>
      </x:c>
      <x:c r="K20" s="63" t="n">
        <x:f>J20+IF(A8+'Summary'!$B$10*12&gt;A20,I8,0)+IF(A9+'Summary'!$B$10*12&gt;A20,I9,0)+IF(A10+'Summary'!$B$10*12&gt;A20,I10,0)+IF(A11+'Summary'!$B$10*12&gt;A20,I11,0)+IF(A12+'Summary'!$B$10*12&gt;A20,I12,0)+IF(A13+'Summary'!$B$10*12&gt;A20,I13,0)+IF(A14+'Summary'!$B$10*12&gt;A20,I14,0)+IF(A15+'Summary'!$B$10*12&gt;A20,I15,0)+IF(A16+'Summary'!$B$10*12&gt;A20,I16,0)+IF(A17+'Summary'!$B$10*12&gt;A20,I17,0)+IF(A18+'Summary'!$B$10*12&gt;A20,I18,0)+IF(A19+'Summary'!$B$10*12&gt;A20,I19,0)+IF(A20+'Summary'!$B$10*12&gt;A20,I20,0)</x:f>
        <x:v>11690.374196000004</x:v>
      </x:c>
    </x:row>
    <x:row r="21">
      <x:c r="A21" s="55" t="n">
        <x:v>13</x:v>
      </x:c>
      <x:c r="B21" s="71" t="b">
        <x:f>A21&lt;='Summary'!$B$9*12</x:f>
        <x:v>1</x:v>
      </x:c>
      <x:c r="C21" s="62" t="n">
        <x:f>IF(A21=0,IF('Summary'!$B$6&gt;=5,'Summary'!$B$6,0),C20)+IF(A21&lt;'Summary'!$B$9*12,IF('Summary'!$B$7&gt;=5,'Summary'!$B$7,0),0)</x:f>
        <x:v>11400</x:v>
      </x:c>
      <x:c r="D21" s="62" t="n">
        <x:f>IF(A21=0,IF('Summary'!$B$6&gt;=5,'Summary'!$B$6,0),0)+IF(A21&lt;'Summary'!$B$9*12,IF('Summary'!$B$7&gt;=5,'Summary'!$B$7,0),0)</x:f>
        <x:v>100</x:v>
      </x:c>
      <x:c r="E21" s="62" t="n">
        <x:f>J20</x:f>
        <x:v>0</x:v>
      </x:c>
      <x:c r="F21" s="62" t="n">
        <x:f>(IF(AND(A21&gt;A8,A21&lt;=A8+'Summary'!$B$10*12,MOD(A21-A8,'Summary'!$B$11)=0),I8,0)+IF(AND(A21&gt;A9,A21&lt;=A9+'Summary'!$B$10*12,MOD(A21-A9,'Summary'!$B$11)=0),I9,0)+IF(AND(A21&gt;A10,A21&lt;=A10+'Summary'!$B$10*12,MOD(A21-A10,'Summary'!$B$11)=0),I10,0)+IF(AND(A21&gt;A11,A21&lt;=A11+'Summary'!$B$10*12,MOD(A21-A11,'Summary'!$B$11)=0),I11,0)+IF(AND(A21&gt;A12,A21&lt;=A12+'Summary'!$B$10*12,MOD(A21-A12,'Summary'!$B$11)=0),I12,0)+IF(AND(A21&gt;A13,A21&lt;=A13+'Summary'!$B$10*12,MOD(A21-A13,'Summary'!$B$11)=0),I13,0)+IF(AND(A21&gt;A14,A21&lt;=A14+'Summary'!$B$10*12,MOD(A21-A14,'Summary'!$B$11)=0),I14,0)+IF(AND(A21&gt;A15,A21&lt;=A15+'Summary'!$B$10*12,MOD(A21-A15,'Summary'!$B$11)=0),I15,0)+IF(AND(A21&gt;A16,A21&lt;=A16+'Summary'!$B$10*12,MOD(A21-A16,'Summary'!$B$11)=0),I16,0)+IF(AND(A21&gt;A17,A21&lt;=A17+'Summary'!$B$10*12,MOD(A21-A17,'Summary'!$B$11)=0),I17,0)+IF(AND(A21&gt;A18,A21&lt;=A18+'Summary'!$B$10*12,MOD(A21-A18,'Summary'!$B$11)=0),I18,0)+IF(AND(A21&gt;A19,A21&lt;=A19+'Summary'!$B$10*12,MOD(A21-A19,'Summary'!$B$11)=0),I19,0)+IF(AND(A21&gt;A20,A21&lt;=A20+'Summary'!$B$10*12,MOD(A21-A20,'Summary'!$B$11)=0),I20,0))*'Summary'!$B$8/2</x:f>
        <x:v>3.754596</x:v>
      </x:c>
      <x:c r="G21" s="62" t="n">
        <x:f>IF(A21=A8+'Summary'!$B$10*12,I8,0)+IF(A21=A9+'Summary'!$B$10*12,I9,0)+IF(A21=A10+'Summary'!$B$10*12,I10,0)+IF(A21=A11+'Summary'!$B$10*12,I11,0)+IF(A21=A12+'Summary'!$B$10*12,I12,0)+IF(A21=A13+'Summary'!$B$10*12,I13,0)+IF(A21=A14+'Summary'!$B$10*12,I14,0)+IF(A21=A15+'Summary'!$B$10*12,I15,0)+IF(A21=A16+'Summary'!$B$10*12,I16,0)+IF(A21=A17+'Summary'!$B$10*12,I17,0)+IF(A21=A18+'Summary'!$B$10*12,I18,0)+IF(A21=A19+'Summary'!$B$10*12,I19,0)+IF(A21=A20+'Summary'!$B$10*12,I20,0)</x:f>
        <x:v>0</x:v>
      </x:c>
      <x:c r="H21" s="62" t="n">
        <x:f>E21+D21+F21+G21</x:f>
        <x:v>103.754596</x:v>
      </x:c>
      <x:c r="I21" s="62" t="n">
        <x:f>IF(B21,IF(H21&gt;='Summary'!$B$12,H21,0),0)</x:f>
        <x:v>103.754596</x:v>
      </x:c>
      <x:c r="J21" s="62" t="n">
        <x:f>H21-I21</x:f>
        <x:v>0</x:v>
      </x:c>
      <x:c r="K21" s="63" t="n">
        <x:f>J21+IF(A8+'Summary'!$B$10*12&gt;A21,I8,0)+IF(A9+'Summary'!$B$10*12&gt;A21,I9,0)+IF(A10+'Summary'!$B$10*12&gt;A21,I10,0)+IF(A11+'Summary'!$B$10*12&gt;A21,I11,0)+IF(A12+'Summary'!$B$10*12&gt;A21,I12,0)+IF(A13+'Summary'!$B$10*12&gt;A21,I13,0)+IF(A14+'Summary'!$B$10*12&gt;A21,I14,0)+IF(A15+'Summary'!$B$10*12&gt;A21,I15,0)+IF(A16+'Summary'!$B$10*12&gt;A21,I16,0)+IF(A17+'Summary'!$B$10*12&gt;A21,I17,0)+IF(A18+'Summary'!$B$10*12&gt;A21,I18,0)+IF(A19+'Summary'!$B$10*12&gt;A21,I19,0)+IF(A20+'Summary'!$B$10*12&gt;A21,I20,0)+IF(A21+'Summary'!$B$10*12&gt;A21,I21,0)</x:f>
        <x:v>11794.128792000005</x:v>
      </x:c>
    </x:row>
    <x:row r="22">
      <x:c r="A22" s="55" t="n">
        <x:v>14</x:v>
      </x:c>
      <x:c r="B22" s="71" t="b">
        <x:f>A22&lt;='Summary'!$B$9*12</x:f>
        <x:v>1</x:v>
      </x:c>
      <x:c r="C22" s="62" t="n">
        <x:f>IF(A22=0,IF('Summary'!$B$6&gt;=5,'Summary'!$B$6,0),C21)+IF(A22&lt;'Summary'!$B$9*12,IF('Summary'!$B$7&gt;=5,'Summary'!$B$7,0),0)</x:f>
        <x:v>11500</x:v>
      </x:c>
      <x:c r="D22" s="62" t="n">
        <x:f>IF(A22=0,IF('Summary'!$B$6&gt;=5,'Summary'!$B$6,0),0)+IF(A22&lt;'Summary'!$B$9*12,IF('Summary'!$B$7&gt;=5,'Summary'!$B$7,0),0)</x:f>
        <x:v>100</x:v>
      </x:c>
      <x:c r="E22" s="62" t="n">
        <x:f>J21</x:f>
        <x:v>0</x:v>
      </x:c>
      <x:c r="F22" s="62" t="n">
        <x:f>(IF(AND(A22&gt;A8,A22&lt;=A8+'Summary'!$B$10*12,MOD(A22-A8,'Summary'!$B$11)=0),I8,0)+IF(AND(A22&gt;A9,A22&lt;=A9+'Summary'!$B$10*12,MOD(A22-A9,'Summary'!$B$11)=0),I9,0)+IF(AND(A22&gt;A10,A22&lt;=A10+'Summary'!$B$10*12,MOD(A22-A10,'Summary'!$B$11)=0),I10,0)+IF(AND(A22&gt;A11,A22&lt;=A11+'Summary'!$B$10*12,MOD(A22-A11,'Summary'!$B$11)=0),I11,0)+IF(AND(A22&gt;A12,A22&lt;=A12+'Summary'!$B$10*12,MOD(A22-A12,'Summary'!$B$11)=0),I12,0)+IF(AND(A22&gt;A13,A22&lt;=A13+'Summary'!$B$10*12,MOD(A22-A13,'Summary'!$B$11)=0),I13,0)+IF(AND(A22&gt;A14,A22&lt;=A14+'Summary'!$B$10*12,MOD(A22-A14,'Summary'!$B$11)=0),I14,0)+IF(AND(A22&gt;A15,A22&lt;=A15+'Summary'!$B$10*12,MOD(A22-A15,'Summary'!$B$11)=0),I15,0)+IF(AND(A22&gt;A16,A22&lt;=A16+'Summary'!$B$10*12,MOD(A22-A16,'Summary'!$B$11)=0),I16,0)+IF(AND(A22&gt;A17,A22&lt;=A17+'Summary'!$B$10*12,MOD(A22-A17,'Summary'!$B$11)=0),I17,0)+IF(AND(A22&gt;A18,A22&lt;=A18+'Summary'!$B$10*12,MOD(A22-A18,'Summary'!$B$11)=0),I18,0)+IF(AND(A22&gt;A19,A22&lt;=A19+'Summary'!$B$10*12,MOD(A22-A19,'Summary'!$B$11)=0),I19,0)+IF(AND(A22&gt;A20,A22&lt;=A20+'Summary'!$B$10*12,MOD(A22-A20,'Summary'!$B$11)=0),I20,0)+IF(AND(A22&gt;A21,A22&lt;=A21+'Summary'!$B$10*12,MOD(A22-A21,'Summary'!$B$11)=0),I21,0))*'Summary'!$B$8/2</x:f>
        <x:v>3.754596</x:v>
      </x:c>
      <x:c r="G22" s="62" t="n">
        <x:f>IF(A22=A8+'Summary'!$B$10*12,I8,0)+IF(A22=A9+'Summary'!$B$10*12,I9,0)+IF(A22=A10+'Summary'!$B$10*12,I10,0)+IF(A22=A11+'Summary'!$B$10*12,I11,0)+IF(A22=A12+'Summary'!$B$10*12,I12,0)+IF(A22=A13+'Summary'!$B$10*12,I13,0)+IF(A22=A14+'Summary'!$B$10*12,I14,0)+IF(A22=A15+'Summary'!$B$10*12,I15,0)+IF(A22=A16+'Summary'!$B$10*12,I16,0)+IF(A22=A17+'Summary'!$B$10*12,I17,0)+IF(A22=A18+'Summary'!$B$10*12,I18,0)+IF(A22=A19+'Summary'!$B$10*12,I19,0)+IF(A22=A20+'Summary'!$B$10*12,I20,0)+IF(A22=A21+'Summary'!$B$10*12,I21,0)</x:f>
        <x:v>0</x:v>
      </x:c>
      <x:c r="H22" s="62" t="n">
        <x:f>E22+D22+F22+G22</x:f>
        <x:v>103.754596</x:v>
      </x:c>
      <x:c r="I22" s="62" t="n">
        <x:f>IF(B22,IF(H22&gt;='Summary'!$B$12,H22,0),0)</x:f>
        <x:v>103.754596</x:v>
      </x:c>
      <x:c r="J22" s="62" t="n">
        <x:f>H22-I22</x:f>
        <x:v>0</x:v>
      </x:c>
      <x:c r="K22" s="63" t="n">
        <x:f>J22+IF(A8+'Summary'!$B$10*12&gt;A22,I8,0)+IF(A9+'Summary'!$B$10*12&gt;A22,I9,0)+IF(A10+'Summary'!$B$10*12&gt;A22,I10,0)+IF(A11+'Summary'!$B$10*12&gt;A22,I11,0)+IF(A12+'Summary'!$B$10*12&gt;A22,I12,0)+IF(A13+'Summary'!$B$10*12&gt;A22,I13,0)+IF(A14+'Summary'!$B$10*12&gt;A22,I14,0)+IF(A15+'Summary'!$B$10*12&gt;A22,I15,0)+IF(A16+'Summary'!$B$10*12&gt;A22,I16,0)+IF(A17+'Summary'!$B$10*12&gt;A22,I17,0)+IF(A18+'Summary'!$B$10*12&gt;A22,I18,0)+IF(A19+'Summary'!$B$10*12&gt;A22,I19,0)+IF(A20+'Summary'!$B$10*12&gt;A22,I20,0)+IF(A21+'Summary'!$B$10*12&gt;A22,I21,0)+IF(A22+'Summary'!$B$10*12&gt;A22,I22,0)</x:f>
        <x:v>11897.883388000006</x:v>
      </x:c>
    </x:row>
    <x:row r="23">
      <x:c r="A23" s="55" t="n">
        <x:v>15</x:v>
      </x:c>
      <x:c r="B23" s="71" t="b">
        <x:f>A23&lt;='Summary'!$B$9*12</x:f>
        <x:v>1</x:v>
      </x:c>
      <x:c r="C23" s="62" t="n">
        <x:f>IF(A23=0,IF('Summary'!$B$6&gt;=5,'Summary'!$B$6,0),C22)+IF(A23&lt;'Summary'!$B$9*12,IF('Summary'!$B$7&gt;=5,'Summary'!$B$7,0),0)</x:f>
        <x:v>11600</x:v>
      </x:c>
      <x:c r="D23" s="62" t="n">
        <x:f>IF(A23=0,IF('Summary'!$B$6&gt;=5,'Summary'!$B$6,0),0)+IF(A23&lt;'Summary'!$B$9*12,IF('Summary'!$B$7&gt;=5,'Summary'!$B$7,0),0)</x:f>
        <x:v>100</x:v>
      </x:c>
      <x:c r="E23" s="62" t="n">
        <x:f>J22</x:f>
        <x:v>0</x:v>
      </x:c>
      <x:c r="F23" s="62" t="n">
        <x:f>(IF(AND(A23&gt;A8,A23&lt;=A8+'Summary'!$B$10*12,MOD(A23-A8,'Summary'!$B$11)=0),I8,0)+IF(AND(A23&gt;A9,A23&lt;=A9+'Summary'!$B$10*12,MOD(A23-A9,'Summary'!$B$11)=0),I9,0)+IF(AND(A23&gt;A10,A23&lt;=A10+'Summary'!$B$10*12,MOD(A23-A10,'Summary'!$B$11)=0),I10,0)+IF(AND(A23&gt;A11,A23&lt;=A11+'Summary'!$B$10*12,MOD(A23-A11,'Summary'!$B$11)=0),I11,0)+IF(AND(A23&gt;A12,A23&lt;=A12+'Summary'!$B$10*12,MOD(A23-A12,'Summary'!$B$11)=0),I12,0)+IF(AND(A23&gt;A13,A23&lt;=A13+'Summary'!$B$10*12,MOD(A23-A13,'Summary'!$B$11)=0),I13,0)+IF(AND(A23&gt;A14,A23&lt;=A14+'Summary'!$B$10*12,MOD(A23-A14,'Summary'!$B$11)=0),I14,0)+IF(AND(A23&gt;A15,A23&lt;=A15+'Summary'!$B$10*12,MOD(A23-A15,'Summary'!$B$11)=0),I15,0)+IF(AND(A23&gt;A16,A23&lt;=A16+'Summary'!$B$10*12,MOD(A23-A16,'Summary'!$B$11)=0),I16,0)+IF(AND(A23&gt;A17,A23&lt;=A17+'Summary'!$B$10*12,MOD(A23-A17,'Summary'!$B$11)=0),I17,0)+IF(AND(A23&gt;A18,A23&lt;=A18+'Summary'!$B$10*12,MOD(A23-A18,'Summary'!$B$11)=0),I18,0)+IF(AND(A23&gt;A19,A23&lt;=A19+'Summary'!$B$10*12,MOD(A23-A19,'Summary'!$B$11)=0),I19,0)+IF(AND(A23&gt;A20,A23&lt;=A20+'Summary'!$B$10*12,MOD(A23-A20,'Summary'!$B$11)=0),I20,0)+IF(AND(A23&gt;A21,A23&lt;=A21+'Summary'!$B$10*12,MOD(A23-A21,'Summary'!$B$11)=0),I21,0)+IF(AND(A23&gt;A22,A23&lt;=A22+'Summary'!$B$10*12,MOD(A23-A22,'Summary'!$B$11)=0),I22,0))*'Summary'!$B$8/2</x:f>
        <x:v>3.754596</x:v>
      </x:c>
      <x:c r="G23" s="62" t="n">
        <x:f>IF(A23=A8+'Summary'!$B$10*12,I8,0)+IF(A23=A9+'Summary'!$B$10*12,I9,0)+IF(A23=A10+'Summary'!$B$10*12,I10,0)+IF(A23=A11+'Summary'!$B$10*12,I11,0)+IF(A23=A12+'Summary'!$B$10*12,I12,0)+IF(A23=A13+'Summary'!$B$10*12,I13,0)+IF(A23=A14+'Summary'!$B$10*12,I14,0)+IF(A23=A15+'Summary'!$B$10*12,I15,0)+IF(A23=A16+'Summary'!$B$10*12,I16,0)+IF(A23=A17+'Summary'!$B$10*12,I17,0)+IF(A23=A18+'Summary'!$B$10*12,I18,0)+IF(A23=A19+'Summary'!$B$10*12,I19,0)+IF(A23=A20+'Summary'!$B$10*12,I20,0)+IF(A23=A21+'Summary'!$B$10*12,I21,0)+IF(A23=A22+'Summary'!$B$10*12,I22,0)</x:f>
        <x:v>0</x:v>
      </x:c>
      <x:c r="H23" s="62" t="n">
        <x:f>E23+D23+F23+G23</x:f>
        <x:v>103.754596</x:v>
      </x:c>
      <x:c r="I23" s="62" t="n">
        <x:f>IF(B23,IF(H23&gt;='Summary'!$B$12,H23,0),0)</x:f>
        <x:v>103.754596</x:v>
      </x:c>
      <x:c r="J23" s="62" t="n">
        <x:f>H23-I23</x:f>
        <x:v>0</x:v>
      </x:c>
      <x:c r="K23" s="63" t="n">
        <x:f>J23+IF(A8+'Summary'!$B$10*12&gt;A23,I8,0)+IF(A9+'Summary'!$B$10*12&gt;A23,I9,0)+IF(A10+'Summary'!$B$10*12&gt;A23,I10,0)+IF(A11+'Summary'!$B$10*12&gt;A23,I11,0)+IF(A12+'Summary'!$B$10*12&gt;A23,I12,0)+IF(A13+'Summary'!$B$10*12&gt;A23,I13,0)+IF(A14+'Summary'!$B$10*12&gt;A23,I14,0)+IF(A15+'Summary'!$B$10*12&gt;A23,I15,0)+IF(A16+'Summary'!$B$10*12&gt;A23,I16,0)+IF(A17+'Summary'!$B$10*12&gt;A23,I17,0)+IF(A18+'Summary'!$B$10*12&gt;A23,I18,0)+IF(A19+'Summary'!$B$10*12&gt;A23,I19,0)+IF(A20+'Summary'!$B$10*12&gt;A23,I20,0)+IF(A21+'Summary'!$B$10*12&gt;A23,I21,0)+IF(A22+'Summary'!$B$10*12&gt;A23,I22,0)+IF(A23+'Summary'!$B$10*12&gt;A23,I23,0)</x:f>
        <x:v>12001.637984000006</x:v>
      </x:c>
    </x:row>
    <x:row r="24">
      <x:c r="A24" s="55" t="n">
        <x:v>16</x:v>
      </x:c>
      <x:c r="B24" s="71" t="b">
        <x:f>A24&lt;='Summary'!$B$9*12</x:f>
        <x:v>1</x:v>
      </x:c>
      <x:c r="C24" s="62" t="n">
        <x:f>IF(A24=0,IF('Summary'!$B$6&gt;=5,'Summary'!$B$6,0),C23)+IF(A24&lt;'Summary'!$B$9*12,IF('Summary'!$B$7&gt;=5,'Summary'!$B$7,0),0)</x:f>
        <x:v>11700</x:v>
      </x:c>
      <x:c r="D24" s="62" t="n">
        <x:f>IF(A24=0,IF('Summary'!$B$6&gt;=5,'Summary'!$B$6,0),0)+IF(A24&lt;'Summary'!$B$9*12,IF('Summary'!$B$7&gt;=5,'Summary'!$B$7,0),0)</x:f>
        <x:v>100</x:v>
      </x:c>
      <x:c r="E24" s="62" t="n">
        <x:f>J23</x:f>
        <x:v>0</x:v>
      </x:c>
      <x:c r="F24" s="62" t="n">
        <x:f>(IF(AND(A24&gt;A8,A24&lt;=A8+'Summary'!$B$10*12,MOD(A24-A8,'Summary'!$B$11)=0),I8,0)+IF(AND(A24&gt;A9,A24&lt;=A9+'Summary'!$B$10*12,MOD(A24-A9,'Summary'!$B$11)=0),I9,0)+IF(AND(A24&gt;A10,A24&lt;=A10+'Summary'!$B$10*12,MOD(A24-A10,'Summary'!$B$11)=0),I10,0)+IF(AND(A24&gt;A11,A24&lt;=A11+'Summary'!$B$10*12,MOD(A24-A11,'Summary'!$B$11)=0),I11,0)+IF(AND(A24&gt;A12,A24&lt;=A12+'Summary'!$B$10*12,MOD(A24-A12,'Summary'!$B$11)=0),I12,0)+IF(AND(A24&gt;A13,A24&lt;=A13+'Summary'!$B$10*12,MOD(A24-A13,'Summary'!$B$11)=0),I13,0)+IF(AND(A24&gt;A14,A24&lt;=A14+'Summary'!$B$10*12,MOD(A24-A14,'Summary'!$B$11)=0),I14,0)+IF(AND(A24&gt;A15,A24&lt;=A15+'Summary'!$B$10*12,MOD(A24-A15,'Summary'!$B$11)=0),I15,0)+IF(AND(A24&gt;A16,A24&lt;=A16+'Summary'!$B$10*12,MOD(A24-A16,'Summary'!$B$11)=0),I16,0)+IF(AND(A24&gt;A17,A24&lt;=A17+'Summary'!$B$10*12,MOD(A24-A17,'Summary'!$B$11)=0),I17,0)+IF(AND(A24&gt;A18,A24&lt;=A18+'Summary'!$B$10*12,MOD(A24-A18,'Summary'!$B$11)=0),I18,0)+IF(AND(A24&gt;A19,A24&lt;=A19+'Summary'!$B$10*12,MOD(A24-A19,'Summary'!$B$11)=0),I19,0)+IF(AND(A24&gt;A20,A24&lt;=A20+'Summary'!$B$10*12,MOD(A24-A20,'Summary'!$B$11)=0),I20,0)+IF(AND(A24&gt;A21,A24&lt;=A21+'Summary'!$B$10*12,MOD(A24-A21,'Summary'!$B$11)=0),I21,0)+IF(AND(A24&gt;A22,A24&lt;=A22+'Summary'!$B$10*12,MOD(A24-A22,'Summary'!$B$11)=0),I22,0)+IF(AND(A24&gt;A23,A24&lt;=A23+'Summary'!$B$10*12,MOD(A24-A23,'Summary'!$B$11)=0),I23,0))*'Summary'!$B$8/2</x:f>
        <x:v>3.754596</x:v>
      </x:c>
      <x:c r="G24" s="62" t="n">
        <x:f>IF(A24=A8+'Summary'!$B$10*12,I8,0)+IF(A24=A9+'Summary'!$B$10*12,I9,0)+IF(A24=A10+'Summary'!$B$10*12,I10,0)+IF(A24=A11+'Summary'!$B$10*12,I11,0)+IF(A24=A12+'Summary'!$B$10*12,I12,0)+IF(A24=A13+'Summary'!$B$10*12,I13,0)+IF(A24=A14+'Summary'!$B$10*12,I14,0)+IF(A24=A15+'Summary'!$B$10*12,I15,0)+IF(A24=A16+'Summary'!$B$10*12,I16,0)+IF(A24=A17+'Summary'!$B$10*12,I17,0)+IF(A24=A18+'Summary'!$B$10*12,I18,0)+IF(A24=A19+'Summary'!$B$10*12,I19,0)+IF(A24=A20+'Summary'!$B$10*12,I20,0)+IF(A24=A21+'Summary'!$B$10*12,I21,0)+IF(A24=A22+'Summary'!$B$10*12,I22,0)+IF(A24=A23+'Summary'!$B$10*12,I23,0)</x:f>
        <x:v>0</x:v>
      </x:c>
      <x:c r="H24" s="62" t="n">
        <x:f>E24+D24+F24+G24</x:f>
        <x:v>103.754596</x:v>
      </x:c>
      <x:c r="I24" s="62" t="n">
        <x:f>IF(B24,IF(H24&gt;='Summary'!$B$12,H24,0),0)</x:f>
        <x:v>103.754596</x:v>
      </x:c>
      <x:c r="J24" s="62" t="n">
        <x:f>H24-I24</x:f>
        <x:v>0</x:v>
      </x:c>
      <x:c r="K24" s="63" t="n">
        <x:f>J24+IF(A8+'Summary'!$B$10*12&gt;A24,I8,0)+IF(A9+'Summary'!$B$10*12&gt;A24,I9,0)+IF(A10+'Summary'!$B$10*12&gt;A24,I10,0)+IF(A11+'Summary'!$B$10*12&gt;A24,I11,0)+IF(A12+'Summary'!$B$10*12&gt;A24,I12,0)+IF(A13+'Summary'!$B$10*12&gt;A24,I13,0)+IF(A14+'Summary'!$B$10*12&gt;A24,I14,0)+IF(A15+'Summary'!$B$10*12&gt;A24,I15,0)+IF(A16+'Summary'!$B$10*12&gt;A24,I16,0)+IF(A17+'Summary'!$B$10*12&gt;A24,I17,0)+IF(A18+'Summary'!$B$10*12&gt;A24,I18,0)+IF(A19+'Summary'!$B$10*12&gt;A24,I19,0)+IF(A20+'Summary'!$B$10*12&gt;A24,I20,0)+IF(A21+'Summary'!$B$10*12&gt;A24,I21,0)+IF(A22+'Summary'!$B$10*12&gt;A24,I22,0)+IF(A23+'Summary'!$B$10*12&gt;A24,I23,0)+IF(A24+'Summary'!$B$10*12&gt;A24,I24,0)</x:f>
        <x:v>12105.392580000007</x:v>
      </x:c>
    </x:row>
    <x:row r="25">
      <x:c r="A25" s="55" t="n">
        <x:v>17</x:v>
      </x:c>
      <x:c r="B25" s="71" t="b">
        <x:f>A25&lt;='Summary'!$B$9*12</x:f>
        <x:v>1</x:v>
      </x:c>
      <x:c r="C25" s="62" t="n">
        <x:f>IF(A25=0,IF('Summary'!$B$6&gt;=5,'Summary'!$B$6,0),C24)+IF(A25&lt;'Summary'!$B$9*12,IF('Summary'!$B$7&gt;=5,'Summary'!$B$7,0),0)</x:f>
        <x:v>11800</x:v>
      </x:c>
      <x:c r="D25" s="62" t="n">
        <x:f>IF(A25=0,IF('Summary'!$B$6&gt;=5,'Summary'!$B$6,0),0)+IF(A25&lt;'Summary'!$B$9*12,IF('Summary'!$B$7&gt;=5,'Summary'!$B$7,0),0)</x:f>
        <x:v>100</x:v>
      </x:c>
      <x:c r="E25" s="62" t="n">
        <x:f>J24</x:f>
        <x:v>0</x:v>
      </x:c>
      <x:c r="F25" s="62" t="n">
        <x:f>(IF(AND(A25&gt;A8,A25&lt;=A8+'Summary'!$B$10*12,MOD(A25-A8,'Summary'!$B$11)=0),I8,0)+IF(AND(A25&gt;A9,A25&lt;=A9+'Summary'!$B$10*12,MOD(A25-A9,'Summary'!$B$11)=0),I9,0)+IF(AND(A25&gt;A10,A25&lt;=A10+'Summary'!$B$10*12,MOD(A25-A10,'Summary'!$B$11)=0),I10,0)+IF(AND(A25&gt;A11,A25&lt;=A11+'Summary'!$B$10*12,MOD(A25-A11,'Summary'!$B$11)=0),I11,0)+IF(AND(A25&gt;A12,A25&lt;=A12+'Summary'!$B$10*12,MOD(A25-A12,'Summary'!$B$11)=0),I12,0)+IF(AND(A25&gt;A13,A25&lt;=A13+'Summary'!$B$10*12,MOD(A25-A13,'Summary'!$B$11)=0),I13,0)+IF(AND(A25&gt;A14,A25&lt;=A14+'Summary'!$B$10*12,MOD(A25-A14,'Summary'!$B$11)=0),I14,0)+IF(AND(A25&gt;A15,A25&lt;=A15+'Summary'!$B$10*12,MOD(A25-A15,'Summary'!$B$11)=0),I15,0)+IF(AND(A25&gt;A16,A25&lt;=A16+'Summary'!$B$10*12,MOD(A25-A16,'Summary'!$B$11)=0),I16,0)+IF(AND(A25&gt;A17,A25&lt;=A17+'Summary'!$B$10*12,MOD(A25-A17,'Summary'!$B$11)=0),I17,0)+IF(AND(A25&gt;A18,A25&lt;=A18+'Summary'!$B$10*12,MOD(A25-A18,'Summary'!$B$11)=0),I18,0)+IF(AND(A25&gt;A19,A25&lt;=A19+'Summary'!$B$10*12,MOD(A25-A19,'Summary'!$B$11)=0),I19,0)+IF(AND(A25&gt;A20,A25&lt;=A20+'Summary'!$B$10*12,MOD(A25-A20,'Summary'!$B$11)=0),I20,0)+IF(AND(A25&gt;A21,A25&lt;=A21+'Summary'!$B$10*12,MOD(A25-A21,'Summary'!$B$11)=0),I21,0)+IF(AND(A25&gt;A22,A25&lt;=A22+'Summary'!$B$10*12,MOD(A25-A22,'Summary'!$B$11)=0),I22,0)+IF(AND(A25&gt;A23,A25&lt;=A23+'Summary'!$B$10*12,MOD(A25-A23,'Summary'!$B$11)=0),I23,0)+IF(AND(A25&gt;A24,A25&lt;=A24+'Summary'!$B$10*12,MOD(A25-A24,'Summary'!$B$11)=0),I24,0))*'Summary'!$B$8/2</x:f>
        <x:v>3.754596</x:v>
      </x:c>
      <x:c r="G25" s="62" t="n">
        <x:f>IF(A25=A8+'Summary'!$B$10*12,I8,0)+IF(A25=A9+'Summary'!$B$10*12,I9,0)+IF(A25=A10+'Summary'!$B$10*12,I10,0)+IF(A25=A11+'Summary'!$B$10*12,I11,0)+IF(A25=A12+'Summary'!$B$10*12,I12,0)+IF(A25=A13+'Summary'!$B$10*12,I13,0)+IF(A25=A14+'Summary'!$B$10*12,I14,0)+IF(A25=A15+'Summary'!$B$10*12,I15,0)+IF(A25=A16+'Summary'!$B$10*12,I16,0)+IF(A25=A17+'Summary'!$B$10*12,I17,0)+IF(A25=A18+'Summary'!$B$10*12,I18,0)+IF(A25=A19+'Summary'!$B$10*12,I19,0)+IF(A25=A20+'Summary'!$B$10*12,I20,0)+IF(A25=A21+'Summary'!$B$10*12,I21,0)+IF(A25=A22+'Summary'!$B$10*12,I22,0)+IF(A25=A23+'Summary'!$B$10*12,I23,0)+IF(A25=A24+'Summary'!$B$10*12,I24,0)</x:f>
        <x:v>0</x:v>
      </x:c>
      <x:c r="H25" s="62" t="n">
        <x:f>E25+D25+F25+G25</x:f>
        <x:v>103.754596</x:v>
      </x:c>
      <x:c r="I25" s="62" t="n">
        <x:f>IF(B25,IF(H25&gt;='Summary'!$B$12,H25,0),0)</x:f>
        <x:v>103.754596</x:v>
      </x:c>
      <x:c r="J25" s="62" t="n">
        <x:f>H25-I25</x:f>
        <x:v>0</x:v>
      </x:c>
      <x:c r="K25" s="63" t="n">
        <x:f>J25+IF(A8+'Summary'!$B$10*12&gt;A25,I8,0)+IF(A9+'Summary'!$B$10*12&gt;A25,I9,0)+IF(A10+'Summary'!$B$10*12&gt;A25,I10,0)+IF(A11+'Summary'!$B$10*12&gt;A25,I11,0)+IF(A12+'Summary'!$B$10*12&gt;A25,I12,0)+IF(A13+'Summary'!$B$10*12&gt;A25,I13,0)+IF(A14+'Summary'!$B$10*12&gt;A25,I14,0)+IF(A15+'Summary'!$B$10*12&gt;A25,I15,0)+IF(A16+'Summary'!$B$10*12&gt;A25,I16,0)+IF(A17+'Summary'!$B$10*12&gt;A25,I17,0)+IF(A18+'Summary'!$B$10*12&gt;A25,I18,0)+IF(A19+'Summary'!$B$10*12&gt;A25,I19,0)+IF(A20+'Summary'!$B$10*12&gt;A25,I20,0)+IF(A21+'Summary'!$B$10*12&gt;A25,I21,0)+IF(A22+'Summary'!$B$10*12&gt;A25,I22,0)+IF(A23+'Summary'!$B$10*12&gt;A25,I23,0)+IF(A24+'Summary'!$B$10*12&gt;A25,I24,0)+IF(A25+'Summary'!$B$10*12&gt;A25,I25,0)</x:f>
        <x:v>12209.147176000008</x:v>
      </x:c>
    </x:row>
    <x:row r="26">
      <x:c r="A26" s="55" t="n">
        <x:v>18</x:v>
      </x:c>
      <x:c r="B26" s="71" t="b">
        <x:f>A26&lt;='Summary'!$B$9*12</x:f>
        <x:v>1</x:v>
      </x:c>
      <x:c r="C26" s="62" t="n">
        <x:f>IF(A26=0,IF('Summary'!$B$6&gt;=5,'Summary'!$B$6,0),C25)+IF(A26&lt;'Summary'!$B$9*12,IF('Summary'!$B$7&gt;=5,'Summary'!$B$7,0),0)</x:f>
        <x:v>11900</x:v>
      </x:c>
      <x:c r="D26" s="62" t="n">
        <x:f>IF(A26=0,IF('Summary'!$B$6&gt;=5,'Summary'!$B$6,0),0)+IF(A26&lt;'Summary'!$B$9*12,IF('Summary'!$B$7&gt;=5,'Summary'!$B$7,0),0)</x:f>
        <x:v>100</x:v>
      </x:c>
      <x:c r="E26" s="62" t="n">
        <x:f>J25</x:f>
        <x:v>0</x:v>
      </x:c>
      <x:c r="F26" s="62" t="n">
        <x:f>(IF(AND(A26&gt;A8,A26&lt;=A8+'Summary'!$B$10*12,MOD(A26-A8,'Summary'!$B$11)=0),I8,0)+IF(AND(A26&gt;A9,A26&lt;=A9+'Summary'!$B$10*12,MOD(A26-A9,'Summary'!$B$11)=0),I9,0)+IF(AND(A26&gt;A10,A26&lt;=A10+'Summary'!$B$10*12,MOD(A26-A10,'Summary'!$B$11)=0),I10,0)+IF(AND(A26&gt;A11,A26&lt;=A11+'Summary'!$B$10*12,MOD(A26-A11,'Summary'!$B$11)=0),I11,0)+IF(AND(A26&gt;A12,A26&lt;=A12+'Summary'!$B$10*12,MOD(A26-A12,'Summary'!$B$11)=0),I12,0)+IF(AND(A26&gt;A13,A26&lt;=A13+'Summary'!$B$10*12,MOD(A26-A13,'Summary'!$B$11)=0),I13,0)+IF(AND(A26&gt;A14,A26&lt;=A14+'Summary'!$B$10*12,MOD(A26-A14,'Summary'!$B$11)=0),I14,0)+IF(AND(A26&gt;A15,A26&lt;=A15+'Summary'!$B$10*12,MOD(A26-A15,'Summary'!$B$11)=0),I15,0)+IF(AND(A26&gt;A16,A26&lt;=A16+'Summary'!$B$10*12,MOD(A26-A16,'Summary'!$B$11)=0),I16,0)+IF(AND(A26&gt;A17,A26&lt;=A17+'Summary'!$B$10*12,MOD(A26-A17,'Summary'!$B$11)=0),I17,0)+IF(AND(A26&gt;A18,A26&lt;=A18+'Summary'!$B$10*12,MOD(A26-A18,'Summary'!$B$11)=0),I18,0)+IF(AND(A26&gt;A19,A26&lt;=A19+'Summary'!$B$10*12,MOD(A26-A19,'Summary'!$B$11)=0),I19,0)+IF(AND(A26&gt;A20,A26&lt;=A20+'Summary'!$B$10*12,MOD(A26-A20,'Summary'!$B$11)=0),I20,0)+IF(AND(A26&gt;A21,A26&lt;=A21+'Summary'!$B$10*12,MOD(A26-A21,'Summary'!$B$11)=0),I21,0)+IF(AND(A26&gt;A22,A26&lt;=A22+'Summary'!$B$10*12,MOD(A26-A22,'Summary'!$B$11)=0),I22,0)+IF(AND(A26&gt;A23,A26&lt;=A23+'Summary'!$B$10*12,MOD(A26-A23,'Summary'!$B$11)=0),I23,0)+IF(AND(A26&gt;A24,A26&lt;=A24+'Summary'!$B$10*12,MOD(A26-A24,'Summary'!$B$11)=0),I24,0)+IF(AND(A26&gt;A25,A26&lt;=A25+'Summary'!$B$10*12,MOD(A26-A25,'Summary'!$B$11)=0),I25,0))*'Summary'!$B$8/2</x:f>
        <x:v>198.66798004560002</x:v>
      </x:c>
      <x:c r="G26" s="62" t="n">
        <x:f>IF(A26=A8+'Summary'!$B$10*12,I8,0)+IF(A26=A9+'Summary'!$B$10*12,I9,0)+IF(A26=A10+'Summary'!$B$10*12,I10,0)+IF(A26=A11+'Summary'!$B$10*12,I11,0)+IF(A26=A12+'Summary'!$B$10*12,I12,0)+IF(A26=A13+'Summary'!$B$10*12,I13,0)+IF(A26=A14+'Summary'!$B$10*12,I14,0)+IF(A26=A15+'Summary'!$B$10*12,I15,0)+IF(A26=A16+'Summary'!$B$10*12,I16,0)+IF(A26=A17+'Summary'!$B$10*12,I17,0)+IF(A26=A18+'Summary'!$B$10*12,I18,0)+IF(A26=A19+'Summary'!$B$10*12,I19,0)+IF(A26=A20+'Summary'!$B$10*12,I20,0)+IF(A26=A21+'Summary'!$B$10*12,I21,0)+IF(A26=A22+'Summary'!$B$10*12,I22,0)+IF(A26=A23+'Summary'!$B$10*12,I23,0)+IF(A26=A24+'Summary'!$B$10*12,I24,0)+IF(A26=A25+'Summary'!$B$10*12,I25,0)</x:f>
        <x:v>0</x:v>
      </x:c>
      <x:c r="H26" s="62" t="n">
        <x:f>E26+D26+F26+G26</x:f>
        <x:v>298.6679800456</x:v>
      </x:c>
      <x:c r="I26" s="62" t="n">
        <x:f>IF(B26,IF(H26&gt;='Summary'!$B$12,H26,0),0)</x:f>
        <x:v>298.6679800456</x:v>
      </x:c>
      <x:c r="J26" s="62" t="n">
        <x:f>H26-I26</x:f>
        <x:v>0</x:v>
      </x:c>
      <x:c r="K26" s="63" t="n">
        <x:f>J26+IF(A8+'Summary'!$B$10*12&gt;A26,I8,0)+IF(A9+'Summary'!$B$10*12&gt;A26,I9,0)+IF(A10+'Summary'!$B$10*12&gt;A26,I10,0)+IF(A11+'Summary'!$B$10*12&gt;A26,I11,0)+IF(A12+'Summary'!$B$10*12&gt;A26,I12,0)+IF(A13+'Summary'!$B$10*12&gt;A26,I13,0)+IF(A14+'Summary'!$B$10*12&gt;A26,I14,0)+IF(A15+'Summary'!$B$10*12&gt;A26,I15,0)+IF(A16+'Summary'!$B$10*12&gt;A26,I16,0)+IF(A17+'Summary'!$B$10*12&gt;A26,I17,0)+IF(A18+'Summary'!$B$10*12&gt;A26,I18,0)+IF(A19+'Summary'!$B$10*12&gt;A26,I19,0)+IF(A20+'Summary'!$B$10*12&gt;A26,I20,0)+IF(A21+'Summary'!$B$10*12&gt;A26,I21,0)+IF(A22+'Summary'!$B$10*12&gt;A26,I22,0)+IF(A23+'Summary'!$B$10*12&gt;A26,I23,0)+IF(A24+'Summary'!$B$10*12&gt;A26,I24,0)+IF(A25+'Summary'!$B$10*12&gt;A26,I25,0)+IF(A26+'Summary'!$B$10*12&gt;A26,I26,0)</x:f>
        <x:v>12507.815156045608</x:v>
      </x:c>
    </x:row>
    <x:row r="27">
      <x:c r="A27" s="55" t="n">
        <x:v>19</x:v>
      </x:c>
      <x:c r="B27" s="71" t="b">
        <x:f>A27&lt;='Summary'!$B$9*12</x:f>
        <x:v>1</x:v>
      </x:c>
      <x:c r="C27" s="62" t="n">
        <x:f>IF(A27=0,IF('Summary'!$B$6&gt;=5,'Summary'!$B$6,0),C26)+IF(A27&lt;'Summary'!$B$9*12,IF('Summary'!$B$7&gt;=5,'Summary'!$B$7,0),0)</x:f>
        <x:v>12000</x:v>
      </x:c>
      <x:c r="D27" s="62" t="n">
        <x:f>IF(A27=0,IF('Summary'!$B$6&gt;=5,'Summary'!$B$6,0),0)+IF(A27&lt;'Summary'!$B$9*12,IF('Summary'!$B$7&gt;=5,'Summary'!$B$7,0),0)</x:f>
        <x:v>100</x:v>
      </x:c>
      <x:c r="E27" s="62" t="n">
        <x:f>J26</x:f>
        <x:v>0</x:v>
      </x:c>
      <x:c r="F27" s="62" t="n">
        <x:f>(IF(AND(A27&gt;A8,A27&lt;=A8+'Summary'!$B$10*12,MOD(A27-A8,'Summary'!$B$11)=0),I8,0)+IF(AND(A27&gt;A9,A27&lt;=A9+'Summary'!$B$10*12,MOD(A27-A9,'Summary'!$B$11)=0),I9,0)+IF(AND(A27&gt;A10,A27&lt;=A10+'Summary'!$B$10*12,MOD(A27-A10,'Summary'!$B$11)=0),I10,0)+IF(AND(A27&gt;A11,A27&lt;=A11+'Summary'!$B$10*12,MOD(A27-A11,'Summary'!$B$11)=0),I11,0)+IF(AND(A27&gt;A12,A27&lt;=A12+'Summary'!$B$10*12,MOD(A27-A12,'Summary'!$B$11)=0),I12,0)+IF(AND(A27&gt;A13,A27&lt;=A13+'Summary'!$B$10*12,MOD(A27-A13,'Summary'!$B$11)=0),I13,0)+IF(AND(A27&gt;A14,A27&lt;=A14+'Summary'!$B$10*12,MOD(A27-A14,'Summary'!$B$11)=0),I14,0)+IF(AND(A27&gt;A15,A27&lt;=A15+'Summary'!$B$10*12,MOD(A27-A15,'Summary'!$B$11)=0),I15,0)+IF(AND(A27&gt;A16,A27&lt;=A16+'Summary'!$B$10*12,MOD(A27-A16,'Summary'!$B$11)=0),I16,0)+IF(AND(A27&gt;A17,A27&lt;=A17+'Summary'!$B$10*12,MOD(A27-A17,'Summary'!$B$11)=0),I17,0)+IF(AND(A27&gt;A18,A27&lt;=A18+'Summary'!$B$10*12,MOD(A27-A18,'Summary'!$B$11)=0),I18,0)+IF(AND(A27&gt;A19,A27&lt;=A19+'Summary'!$B$10*12,MOD(A27-A19,'Summary'!$B$11)=0),I19,0)+IF(AND(A27&gt;A20,A27&lt;=A20+'Summary'!$B$10*12,MOD(A27-A20,'Summary'!$B$11)=0),I20,0)+IF(AND(A27&gt;A21,A27&lt;=A21+'Summary'!$B$10*12,MOD(A27-A21,'Summary'!$B$11)=0),I21,0)+IF(AND(A27&gt;A22,A27&lt;=A22+'Summary'!$B$10*12,MOD(A27-A22,'Summary'!$B$11)=0),I22,0)+IF(AND(A27&gt;A23,A27&lt;=A23+'Summary'!$B$10*12,MOD(A27-A23,'Summary'!$B$11)=0),I23,0)+IF(AND(A27&gt;A24,A27&lt;=A24+'Summary'!$B$10*12,MOD(A27-A24,'Summary'!$B$11)=0),I24,0)+IF(AND(A27&gt;A25,A27&lt;=A25+'Summary'!$B$10*12,MOD(A27-A25,'Summary'!$B$11)=0),I25,0)+IF(AND(A27&gt;A26,A27&lt;=A26+'Summary'!$B$10*12,MOD(A27-A26,'Summary'!$B$11)=0),I26,0))*'Summary'!$B$8/2</x:f>
        <x:v>5.684431485599999</x:v>
      </x:c>
      <x:c r="G27" s="62" t="n">
        <x:f>IF(A27=A8+'Summary'!$B$10*12,I8,0)+IF(A27=A9+'Summary'!$B$10*12,I9,0)+IF(A27=A10+'Summary'!$B$10*12,I10,0)+IF(A27=A11+'Summary'!$B$10*12,I11,0)+IF(A27=A12+'Summary'!$B$10*12,I12,0)+IF(A27=A13+'Summary'!$B$10*12,I13,0)+IF(A27=A14+'Summary'!$B$10*12,I14,0)+IF(A27=A15+'Summary'!$B$10*12,I15,0)+IF(A27=A16+'Summary'!$B$10*12,I16,0)+IF(A27=A17+'Summary'!$B$10*12,I17,0)+IF(A27=A18+'Summary'!$B$10*12,I18,0)+IF(A27=A19+'Summary'!$B$10*12,I19,0)+IF(A27=A20+'Summary'!$B$10*12,I20,0)+IF(A27=A21+'Summary'!$B$10*12,I21,0)+IF(A27=A22+'Summary'!$B$10*12,I22,0)+IF(A27=A23+'Summary'!$B$10*12,I23,0)+IF(A27=A24+'Summary'!$B$10*12,I24,0)+IF(A27=A25+'Summary'!$B$10*12,I25,0)+IF(A27=A26+'Summary'!$B$10*12,I26,0)</x:f>
        <x:v>0</x:v>
      </x:c>
      <x:c r="H27" s="62" t="n">
        <x:f>E27+D27+F27+G27</x:f>
        <x:v>105.6844314856</x:v>
      </x:c>
      <x:c r="I27" s="62" t="n">
        <x:f>IF(B27,IF(H27&gt;='Summary'!$B$12,H27,0),0)</x:f>
        <x:v>105.6844314856</x:v>
      </x:c>
      <x:c r="J27" s="62" t="n">
        <x:f>H27-I27</x:f>
        <x:v>0</x:v>
      </x:c>
      <x:c r="K27" s="63" t="n">
        <x:f>J27+IF(A8+'Summary'!$B$10*12&gt;A27,I8,0)+IF(A9+'Summary'!$B$10*12&gt;A27,I9,0)+IF(A10+'Summary'!$B$10*12&gt;A27,I10,0)+IF(A11+'Summary'!$B$10*12&gt;A27,I11,0)+IF(A12+'Summary'!$B$10*12&gt;A27,I12,0)+IF(A13+'Summary'!$B$10*12&gt;A27,I13,0)+IF(A14+'Summary'!$B$10*12&gt;A27,I14,0)+IF(A15+'Summary'!$B$10*12&gt;A27,I15,0)+IF(A16+'Summary'!$B$10*12&gt;A27,I16,0)+IF(A17+'Summary'!$B$10*12&gt;A27,I17,0)+IF(A18+'Summary'!$B$10*12&gt;A27,I18,0)+IF(A19+'Summary'!$B$10*12&gt;A27,I19,0)+IF(A20+'Summary'!$B$10*12&gt;A27,I20,0)+IF(A21+'Summary'!$B$10*12&gt;A27,I21,0)+IF(A22+'Summary'!$B$10*12&gt;A27,I22,0)+IF(A23+'Summary'!$B$10*12&gt;A27,I23,0)+IF(A24+'Summary'!$B$10*12&gt;A27,I24,0)+IF(A25+'Summary'!$B$10*12&gt;A27,I25,0)+IF(A26+'Summary'!$B$10*12&gt;A27,I26,0)+IF(A27+'Summary'!$B$10*12&gt;A27,I27,0)</x:f>
        <x:v>12613.499587531209</x:v>
      </x:c>
    </x:row>
    <x:row r="28">
      <x:c r="A28" s="55" t="n">
        <x:v>20</x:v>
      </x:c>
      <x:c r="B28" s="71" t="b">
        <x:f>A28&lt;='Summary'!$B$9*12</x:f>
        <x:v>1</x:v>
      </x:c>
      <x:c r="C28" s="62" t="n">
        <x:f>IF(A28=0,IF('Summary'!$B$6&gt;=5,'Summary'!$B$6,0),C27)+IF(A28&lt;'Summary'!$B$9*12,IF('Summary'!$B$7&gt;=5,'Summary'!$B$7,0),0)</x:f>
        <x:v>12100</x:v>
      </x:c>
      <x:c r="D28" s="62" t="n">
        <x:f>IF(A28=0,IF('Summary'!$B$6&gt;=5,'Summary'!$B$6,0),0)+IF(A28&lt;'Summary'!$B$9*12,IF('Summary'!$B$7&gt;=5,'Summary'!$B$7,0),0)</x:f>
        <x:v>100</x:v>
      </x:c>
      <x:c r="E28" s="62" t="n">
        <x:f>J27</x:f>
        <x:v>0</x:v>
      </x:c>
      <x:c r="F28" s="62" t="n">
        <x:f>(IF(AND(A28&gt;A8,A28&lt;=A8+'Summary'!$B$10*12,MOD(A28-A8,'Summary'!$B$11)=0),I8,0)+IF(AND(A28&gt;A9,A28&lt;=A9+'Summary'!$B$10*12,MOD(A28-A9,'Summary'!$B$11)=0),I9,0)+IF(AND(A28&gt;A10,A28&lt;=A10+'Summary'!$B$10*12,MOD(A28-A10,'Summary'!$B$11)=0),I10,0)+IF(AND(A28&gt;A11,A28&lt;=A11+'Summary'!$B$10*12,MOD(A28-A11,'Summary'!$B$11)=0),I11,0)+IF(AND(A28&gt;A12,A28&lt;=A12+'Summary'!$B$10*12,MOD(A28-A12,'Summary'!$B$11)=0),I12,0)+IF(AND(A28&gt;A13,A28&lt;=A13+'Summary'!$B$10*12,MOD(A28-A13,'Summary'!$B$11)=0),I13,0)+IF(AND(A28&gt;A14,A28&lt;=A14+'Summary'!$B$10*12,MOD(A28-A14,'Summary'!$B$11)=0),I14,0)+IF(AND(A28&gt;A15,A28&lt;=A15+'Summary'!$B$10*12,MOD(A28-A15,'Summary'!$B$11)=0),I15,0)+IF(AND(A28&gt;A16,A28&lt;=A16+'Summary'!$B$10*12,MOD(A28-A16,'Summary'!$B$11)=0),I16,0)+IF(AND(A28&gt;A17,A28&lt;=A17+'Summary'!$B$10*12,MOD(A28-A17,'Summary'!$B$11)=0),I17,0)+IF(AND(A28&gt;A18,A28&lt;=A18+'Summary'!$B$10*12,MOD(A28-A18,'Summary'!$B$11)=0),I18,0)+IF(AND(A28&gt;A19,A28&lt;=A19+'Summary'!$B$10*12,MOD(A28-A19,'Summary'!$B$11)=0),I19,0)+IF(AND(A28&gt;A20,A28&lt;=A20+'Summary'!$B$10*12,MOD(A28-A20,'Summary'!$B$11)=0),I20,0)+IF(AND(A28&gt;A21,A28&lt;=A21+'Summary'!$B$10*12,MOD(A28-A21,'Summary'!$B$11)=0),I21,0)+IF(AND(A28&gt;A22,A28&lt;=A22+'Summary'!$B$10*12,MOD(A28-A22,'Summary'!$B$11)=0),I22,0)+IF(AND(A28&gt;A23,A28&lt;=A23+'Summary'!$B$10*12,MOD(A28-A23,'Summary'!$B$11)=0),I23,0)+IF(AND(A28&gt;A24,A28&lt;=A24+'Summary'!$B$10*12,MOD(A28-A24,'Summary'!$B$11)=0),I24,0)+IF(AND(A28&gt;A25,A28&lt;=A25+'Summary'!$B$10*12,MOD(A28-A25,'Summary'!$B$11)=0),I25,0)+IF(AND(A28&gt;A26,A28&lt;=A26+'Summary'!$B$10*12,MOD(A28-A26,'Summary'!$B$11)=0),I26,0)+IF(AND(A28&gt;A27,A28&lt;=A27+'Summary'!$B$10*12,MOD(A28-A27,'Summary'!$B$11)=0),I27,0))*'Summary'!$B$8/2</x:f>
        <x:v>5.684431485599999</x:v>
      </x:c>
      <x:c r="G28" s="62" t="n">
        <x:f>IF(A28=A8+'Summary'!$B$10*12,I8,0)+IF(A28=A9+'Summary'!$B$10*12,I9,0)+IF(A28=A10+'Summary'!$B$10*12,I10,0)+IF(A28=A11+'Summary'!$B$10*12,I11,0)+IF(A28=A12+'Summary'!$B$10*12,I12,0)+IF(A28=A13+'Summary'!$B$10*12,I13,0)+IF(A28=A14+'Summary'!$B$10*12,I14,0)+IF(A28=A15+'Summary'!$B$10*12,I15,0)+IF(A28=A16+'Summary'!$B$10*12,I16,0)+IF(A28=A17+'Summary'!$B$10*12,I17,0)+IF(A28=A18+'Summary'!$B$10*12,I18,0)+IF(A28=A19+'Summary'!$B$10*12,I19,0)+IF(A28=A20+'Summary'!$B$10*12,I20,0)+IF(A28=A21+'Summary'!$B$10*12,I21,0)+IF(A28=A22+'Summary'!$B$10*12,I22,0)+IF(A28=A23+'Summary'!$B$10*12,I23,0)+IF(A28=A24+'Summary'!$B$10*12,I24,0)+IF(A28=A25+'Summary'!$B$10*12,I25,0)+IF(A28=A26+'Summary'!$B$10*12,I26,0)+IF(A28=A27+'Summary'!$B$10*12,I27,0)</x:f>
        <x:v>0</x:v>
      </x:c>
      <x:c r="H28" s="62" t="n">
        <x:f>E28+D28+F28+G28</x:f>
        <x:v>105.6844314856</x:v>
      </x:c>
      <x:c r="I28" s="62" t="n">
        <x:f>IF(B28,IF(H28&gt;='Summary'!$B$12,H28,0),0)</x:f>
        <x:v>105.6844314856</x:v>
      </x:c>
      <x:c r="J28" s="62" t="n">
        <x:f>H28-I28</x:f>
        <x:v>0</x:v>
      </x:c>
      <x:c r="K28" s="63" t="n">
        <x:f>J28+IF(A8+'Summary'!$B$10*12&gt;A28,I8,0)+IF(A9+'Summary'!$B$10*12&gt;A28,I9,0)+IF(A10+'Summary'!$B$10*12&gt;A28,I10,0)+IF(A11+'Summary'!$B$10*12&gt;A28,I11,0)+IF(A12+'Summary'!$B$10*12&gt;A28,I12,0)+IF(A13+'Summary'!$B$10*12&gt;A28,I13,0)+IF(A14+'Summary'!$B$10*12&gt;A28,I14,0)+IF(A15+'Summary'!$B$10*12&gt;A28,I15,0)+IF(A16+'Summary'!$B$10*12&gt;A28,I16,0)+IF(A17+'Summary'!$B$10*12&gt;A28,I17,0)+IF(A18+'Summary'!$B$10*12&gt;A28,I18,0)+IF(A19+'Summary'!$B$10*12&gt;A28,I19,0)+IF(A20+'Summary'!$B$10*12&gt;A28,I20,0)+IF(A21+'Summary'!$B$10*12&gt;A28,I21,0)+IF(A22+'Summary'!$B$10*12&gt;A28,I22,0)+IF(A23+'Summary'!$B$10*12&gt;A28,I23,0)+IF(A24+'Summary'!$B$10*12&gt;A28,I24,0)+IF(A25+'Summary'!$B$10*12&gt;A28,I25,0)+IF(A26+'Summary'!$B$10*12&gt;A28,I26,0)+IF(A27+'Summary'!$B$10*12&gt;A28,I27,0)+IF(A28+'Summary'!$B$10*12&gt;A28,I28,0)</x:f>
        <x:v>12719.18401901681</x:v>
      </x:c>
    </x:row>
    <x:row r="29">
      <x:c r="A29" s="55" t="n">
        <x:v>21</x:v>
      </x:c>
      <x:c r="B29" s="71" t="b">
        <x:f>A29&lt;='Summary'!$B$9*12</x:f>
        <x:v>1</x:v>
      </x:c>
      <x:c r="C29" s="62" t="n">
        <x:f>IF(A29=0,IF('Summary'!$B$6&gt;=5,'Summary'!$B$6,0),C28)+IF(A29&lt;'Summary'!$B$9*12,IF('Summary'!$B$7&gt;=5,'Summary'!$B$7,0),0)</x:f>
        <x:v>12200</x:v>
      </x:c>
      <x:c r="D29" s="62" t="n">
        <x:f>IF(A29=0,IF('Summary'!$B$6&gt;=5,'Summary'!$B$6,0),0)+IF(A29&lt;'Summary'!$B$9*12,IF('Summary'!$B$7&gt;=5,'Summary'!$B$7,0),0)</x:f>
        <x:v>100</x:v>
      </x:c>
      <x:c r="E29" s="62" t="n">
        <x:f>J28</x:f>
        <x:v>0</x:v>
      </x:c>
      <x:c r="F29" s="62" t="n">
        <x:f>(IF(AND(A29&gt;A8,A29&lt;=A8+'Summary'!$B$10*12,MOD(A29-A8,'Summary'!$B$11)=0),I8,0)+IF(AND(A29&gt;A9,A29&lt;=A9+'Summary'!$B$10*12,MOD(A29-A9,'Summary'!$B$11)=0),I9,0)+IF(AND(A29&gt;A10,A29&lt;=A10+'Summary'!$B$10*12,MOD(A29-A10,'Summary'!$B$11)=0),I10,0)+IF(AND(A29&gt;A11,A29&lt;=A11+'Summary'!$B$10*12,MOD(A29-A11,'Summary'!$B$11)=0),I11,0)+IF(AND(A29&gt;A12,A29&lt;=A12+'Summary'!$B$10*12,MOD(A29-A12,'Summary'!$B$11)=0),I12,0)+IF(AND(A29&gt;A13,A29&lt;=A13+'Summary'!$B$10*12,MOD(A29-A13,'Summary'!$B$11)=0),I13,0)+IF(AND(A29&gt;A14,A29&lt;=A14+'Summary'!$B$10*12,MOD(A29-A14,'Summary'!$B$11)=0),I14,0)+IF(AND(A29&gt;A15,A29&lt;=A15+'Summary'!$B$10*12,MOD(A29-A15,'Summary'!$B$11)=0),I15,0)+IF(AND(A29&gt;A16,A29&lt;=A16+'Summary'!$B$10*12,MOD(A29-A16,'Summary'!$B$11)=0),I16,0)+IF(AND(A29&gt;A17,A29&lt;=A17+'Summary'!$B$10*12,MOD(A29-A17,'Summary'!$B$11)=0),I17,0)+IF(AND(A29&gt;A18,A29&lt;=A18+'Summary'!$B$10*12,MOD(A29-A18,'Summary'!$B$11)=0),I18,0)+IF(AND(A29&gt;A19,A29&lt;=A19+'Summary'!$B$10*12,MOD(A29-A19,'Summary'!$B$11)=0),I19,0)+IF(AND(A29&gt;A20,A29&lt;=A20+'Summary'!$B$10*12,MOD(A29-A20,'Summary'!$B$11)=0),I20,0)+IF(AND(A29&gt;A21,A29&lt;=A21+'Summary'!$B$10*12,MOD(A29-A21,'Summary'!$B$11)=0),I21,0)+IF(AND(A29&gt;A22,A29&lt;=A22+'Summary'!$B$10*12,MOD(A29-A22,'Summary'!$B$11)=0),I22,0)+IF(AND(A29&gt;A23,A29&lt;=A23+'Summary'!$B$10*12,MOD(A29-A23,'Summary'!$B$11)=0),I23,0)+IF(AND(A29&gt;A24,A29&lt;=A24+'Summary'!$B$10*12,MOD(A29-A24,'Summary'!$B$11)=0),I24,0)+IF(AND(A29&gt;A25,A29&lt;=A25+'Summary'!$B$10*12,MOD(A29-A25,'Summary'!$B$11)=0),I25,0)+IF(AND(A29&gt;A26,A29&lt;=A26+'Summary'!$B$10*12,MOD(A29-A26,'Summary'!$B$11)=0),I26,0)+IF(AND(A29&gt;A27,A29&lt;=A27+'Summary'!$B$10*12,MOD(A29-A27,'Summary'!$B$11)=0),I27,0)+IF(AND(A29&gt;A28,A29&lt;=A28+'Summary'!$B$10*12,MOD(A29-A28,'Summary'!$B$11)=0),I28,0))*'Summary'!$B$8/2</x:f>
        <x:v>5.684431485599999</x:v>
      </x:c>
      <x:c r="G29" s="62" t="n">
        <x:f>IF(A29=A8+'Summary'!$B$10*12,I8,0)+IF(A29=A9+'Summary'!$B$10*12,I9,0)+IF(A29=A10+'Summary'!$B$10*12,I10,0)+IF(A29=A11+'Summary'!$B$10*12,I11,0)+IF(A29=A12+'Summary'!$B$10*12,I12,0)+IF(A29=A13+'Summary'!$B$10*12,I13,0)+IF(A29=A14+'Summary'!$B$10*12,I14,0)+IF(A29=A15+'Summary'!$B$10*12,I15,0)+IF(A29=A16+'Summary'!$B$10*12,I16,0)+IF(A29=A17+'Summary'!$B$10*12,I17,0)+IF(A29=A18+'Summary'!$B$10*12,I18,0)+IF(A29=A19+'Summary'!$B$10*12,I19,0)+IF(A29=A20+'Summary'!$B$10*12,I20,0)+IF(A29=A21+'Summary'!$B$10*12,I21,0)+IF(A29=A22+'Summary'!$B$10*12,I22,0)+IF(A29=A23+'Summary'!$B$10*12,I23,0)+IF(A29=A24+'Summary'!$B$10*12,I24,0)+IF(A29=A25+'Summary'!$B$10*12,I25,0)+IF(A29=A26+'Summary'!$B$10*12,I26,0)+IF(A29=A27+'Summary'!$B$10*12,I27,0)+IF(A29=A28+'Summary'!$B$10*12,I28,0)</x:f>
        <x:v>0</x:v>
      </x:c>
      <x:c r="H29" s="62" t="n">
        <x:f>E29+D29+F29+G29</x:f>
        <x:v>105.6844314856</x:v>
      </x:c>
      <x:c r="I29" s="62" t="n">
        <x:f>IF(B29,IF(H29&gt;='Summary'!$B$12,H29,0),0)</x:f>
        <x:v>105.6844314856</x:v>
      </x:c>
      <x:c r="J29" s="62" t="n">
        <x:f>H29-I29</x:f>
        <x:v>0</x:v>
      </x:c>
      <x:c r="K29" s="63" t="n">
        <x:f>J29+IF(A8+'Summary'!$B$10*12&gt;A29,I8,0)+IF(A9+'Summary'!$B$10*12&gt;A29,I9,0)+IF(A10+'Summary'!$B$10*12&gt;A29,I10,0)+IF(A11+'Summary'!$B$10*12&gt;A29,I11,0)+IF(A12+'Summary'!$B$10*12&gt;A29,I12,0)+IF(A13+'Summary'!$B$10*12&gt;A29,I13,0)+IF(A14+'Summary'!$B$10*12&gt;A29,I14,0)+IF(A15+'Summary'!$B$10*12&gt;A29,I15,0)+IF(A16+'Summary'!$B$10*12&gt;A29,I16,0)+IF(A17+'Summary'!$B$10*12&gt;A29,I17,0)+IF(A18+'Summary'!$B$10*12&gt;A29,I18,0)+IF(A19+'Summary'!$B$10*12&gt;A29,I19,0)+IF(A20+'Summary'!$B$10*12&gt;A29,I20,0)+IF(A21+'Summary'!$B$10*12&gt;A29,I21,0)+IF(A22+'Summary'!$B$10*12&gt;A29,I22,0)+IF(A23+'Summary'!$B$10*12&gt;A29,I23,0)+IF(A24+'Summary'!$B$10*12&gt;A29,I24,0)+IF(A25+'Summary'!$B$10*12&gt;A29,I25,0)+IF(A26+'Summary'!$B$10*12&gt;A29,I26,0)+IF(A27+'Summary'!$B$10*12&gt;A29,I27,0)+IF(A28+'Summary'!$B$10*12&gt;A29,I28,0)+IF(A29+'Summary'!$B$10*12&gt;A29,I29,0)</x:f>
        <x:v>12824.86845050241</x:v>
      </x:c>
    </x:row>
    <x:row r="30">
      <x:c r="A30" s="55" t="n">
        <x:v>22</x:v>
      </x:c>
      <x:c r="B30" s="71" t="b">
        <x:f>A30&lt;='Summary'!$B$9*12</x:f>
        <x:v>1</x:v>
      </x:c>
      <x:c r="C30" s="62" t="n">
        <x:f>IF(A30=0,IF('Summary'!$B$6&gt;=5,'Summary'!$B$6,0),C29)+IF(A30&lt;'Summary'!$B$9*12,IF('Summary'!$B$7&gt;=5,'Summary'!$B$7,0),0)</x:f>
        <x:v>12300</x:v>
      </x:c>
      <x:c r="D30" s="62" t="n">
        <x:f>IF(A30=0,IF('Summary'!$B$6&gt;=5,'Summary'!$B$6,0),0)+IF(A30&lt;'Summary'!$B$9*12,IF('Summary'!$B$7&gt;=5,'Summary'!$B$7,0),0)</x:f>
        <x:v>100</x:v>
      </x:c>
      <x:c r="E30" s="62" t="n">
        <x:f>J29</x:f>
        <x:v>0</x:v>
      </x:c>
      <x:c r="F30" s="62" t="n">
        <x:f>(IF(AND(A30&gt;A8,A30&lt;=A8+'Summary'!$B$10*12,MOD(A30-A8,'Summary'!$B$11)=0),I8,0)+IF(AND(A30&gt;A9,A30&lt;=A9+'Summary'!$B$10*12,MOD(A30-A9,'Summary'!$B$11)=0),I9,0)+IF(AND(A30&gt;A10,A30&lt;=A10+'Summary'!$B$10*12,MOD(A30-A10,'Summary'!$B$11)=0),I10,0)+IF(AND(A30&gt;A11,A30&lt;=A11+'Summary'!$B$10*12,MOD(A30-A11,'Summary'!$B$11)=0),I11,0)+IF(AND(A30&gt;A12,A30&lt;=A12+'Summary'!$B$10*12,MOD(A30-A12,'Summary'!$B$11)=0),I12,0)+IF(AND(A30&gt;A13,A30&lt;=A13+'Summary'!$B$10*12,MOD(A30-A13,'Summary'!$B$11)=0),I13,0)+IF(AND(A30&gt;A14,A30&lt;=A14+'Summary'!$B$10*12,MOD(A30-A14,'Summary'!$B$11)=0),I14,0)+IF(AND(A30&gt;A15,A30&lt;=A15+'Summary'!$B$10*12,MOD(A30-A15,'Summary'!$B$11)=0),I15,0)+IF(AND(A30&gt;A16,A30&lt;=A16+'Summary'!$B$10*12,MOD(A30-A16,'Summary'!$B$11)=0),I16,0)+IF(AND(A30&gt;A17,A30&lt;=A17+'Summary'!$B$10*12,MOD(A30-A17,'Summary'!$B$11)=0),I17,0)+IF(AND(A30&gt;A18,A30&lt;=A18+'Summary'!$B$10*12,MOD(A30-A18,'Summary'!$B$11)=0),I18,0)+IF(AND(A30&gt;A19,A30&lt;=A19+'Summary'!$B$10*12,MOD(A30-A19,'Summary'!$B$11)=0),I19,0)+IF(AND(A30&gt;A20,A30&lt;=A20+'Summary'!$B$10*12,MOD(A30-A20,'Summary'!$B$11)=0),I20,0)+IF(AND(A30&gt;A21,A30&lt;=A21+'Summary'!$B$10*12,MOD(A30-A21,'Summary'!$B$11)=0),I21,0)+IF(AND(A30&gt;A22,A30&lt;=A22+'Summary'!$B$10*12,MOD(A30-A22,'Summary'!$B$11)=0),I22,0)+IF(AND(A30&gt;A23,A30&lt;=A23+'Summary'!$B$10*12,MOD(A30-A23,'Summary'!$B$11)=0),I23,0)+IF(AND(A30&gt;A24,A30&lt;=A24+'Summary'!$B$10*12,MOD(A30-A24,'Summary'!$B$11)=0),I24,0)+IF(AND(A30&gt;A25,A30&lt;=A25+'Summary'!$B$10*12,MOD(A30-A25,'Summary'!$B$11)=0),I25,0)+IF(AND(A30&gt;A26,A30&lt;=A26+'Summary'!$B$10*12,MOD(A30-A26,'Summary'!$B$11)=0),I26,0)+IF(AND(A30&gt;A27,A30&lt;=A27+'Summary'!$B$10*12,MOD(A30-A27,'Summary'!$B$11)=0),I27,0)+IF(AND(A30&gt;A28,A30&lt;=A28+'Summary'!$B$10*12,MOD(A30-A28,'Summary'!$B$11)=0),I28,0)+IF(AND(A30&gt;A29,A30&lt;=A29+'Summary'!$B$10*12,MOD(A30-A29,'Summary'!$B$11)=0),I29,0))*'Summary'!$B$8/2</x:f>
        <x:v>5.684431485599999</x:v>
      </x:c>
      <x:c r="G30" s="62" t="n">
        <x:f>IF(A30=A8+'Summary'!$B$10*12,I8,0)+IF(A30=A9+'Summary'!$B$10*12,I9,0)+IF(A30=A10+'Summary'!$B$10*12,I10,0)+IF(A30=A11+'Summary'!$B$10*12,I11,0)+IF(A30=A12+'Summary'!$B$10*12,I12,0)+IF(A30=A13+'Summary'!$B$10*12,I13,0)+IF(A30=A14+'Summary'!$B$10*12,I14,0)+IF(A30=A15+'Summary'!$B$10*12,I15,0)+IF(A30=A16+'Summary'!$B$10*12,I16,0)+IF(A30=A17+'Summary'!$B$10*12,I17,0)+IF(A30=A18+'Summary'!$B$10*12,I18,0)+IF(A30=A19+'Summary'!$B$10*12,I19,0)+IF(A30=A20+'Summary'!$B$10*12,I20,0)+IF(A30=A21+'Summary'!$B$10*12,I21,0)+IF(A30=A22+'Summary'!$B$10*12,I22,0)+IF(A30=A23+'Summary'!$B$10*12,I23,0)+IF(A30=A24+'Summary'!$B$10*12,I24,0)+IF(A30=A25+'Summary'!$B$10*12,I25,0)+IF(A30=A26+'Summary'!$B$10*12,I26,0)+IF(A30=A27+'Summary'!$B$10*12,I27,0)+IF(A30=A28+'Summary'!$B$10*12,I28,0)+IF(A30=A29+'Summary'!$B$10*12,I29,0)</x:f>
        <x:v>0</x:v>
      </x:c>
      <x:c r="H30" s="62" t="n">
        <x:f>E30+D30+F30+G30</x:f>
        <x:v>105.6844314856</x:v>
      </x:c>
      <x:c r="I30" s="62" t="n">
        <x:f>IF(B30,IF(H30&gt;='Summary'!$B$12,H30,0),0)</x:f>
        <x:v>105.6844314856</x:v>
      </x:c>
      <x:c r="J30" s="62" t="n">
        <x:f>H30-I30</x:f>
        <x:v>0</x:v>
      </x:c>
      <x:c r="K30" s="63" t="n">
        <x:f>J30+IF(A8+'Summary'!$B$10*12&gt;A30,I8,0)+IF(A9+'Summary'!$B$10*12&gt;A30,I9,0)+IF(A10+'Summary'!$B$10*12&gt;A30,I10,0)+IF(A11+'Summary'!$B$10*12&gt;A30,I11,0)+IF(A12+'Summary'!$B$10*12&gt;A30,I12,0)+IF(A13+'Summary'!$B$10*12&gt;A30,I13,0)+IF(A14+'Summary'!$B$10*12&gt;A30,I14,0)+IF(A15+'Summary'!$B$10*12&gt;A30,I15,0)+IF(A16+'Summary'!$B$10*12&gt;A30,I16,0)+IF(A17+'Summary'!$B$10*12&gt;A30,I17,0)+IF(A18+'Summary'!$B$10*12&gt;A30,I18,0)+IF(A19+'Summary'!$B$10*12&gt;A30,I19,0)+IF(A20+'Summary'!$B$10*12&gt;A30,I20,0)+IF(A21+'Summary'!$B$10*12&gt;A30,I21,0)+IF(A22+'Summary'!$B$10*12&gt;A30,I22,0)+IF(A23+'Summary'!$B$10*12&gt;A30,I23,0)+IF(A24+'Summary'!$B$10*12&gt;A30,I24,0)+IF(A25+'Summary'!$B$10*12&gt;A30,I25,0)+IF(A26+'Summary'!$B$10*12&gt;A30,I26,0)+IF(A27+'Summary'!$B$10*12&gt;A30,I27,0)+IF(A28+'Summary'!$B$10*12&gt;A30,I28,0)+IF(A29+'Summary'!$B$10*12&gt;A30,I29,0)+IF(A30+'Summary'!$B$10*12&gt;A30,I30,0)</x:f>
        <x:v>12930.552881988011</x:v>
      </x:c>
    </x:row>
    <x:row r="31">
      <x:c r="A31" s="55" t="n">
        <x:v>23</x:v>
      </x:c>
      <x:c r="B31" s="71" t="b">
        <x:f>A31&lt;='Summary'!$B$9*12</x:f>
        <x:v>1</x:v>
      </x:c>
      <x:c r="C31" s="62" t="n">
        <x:f>IF(A31=0,IF('Summary'!$B$6&gt;=5,'Summary'!$B$6,0),C30)+IF(A31&lt;'Summary'!$B$9*12,IF('Summary'!$B$7&gt;=5,'Summary'!$B$7,0),0)</x:f>
        <x:v>12400</x:v>
      </x:c>
      <x:c r="D31" s="62" t="n">
        <x:f>IF(A31=0,IF('Summary'!$B$6&gt;=5,'Summary'!$B$6,0),0)+IF(A31&lt;'Summary'!$B$9*12,IF('Summary'!$B$7&gt;=5,'Summary'!$B$7,0),0)</x:f>
        <x:v>100</x:v>
      </x:c>
      <x:c r="E31" s="62" t="n">
        <x:f>J30</x:f>
        <x:v>0</x:v>
      </x:c>
      <x:c r="F31" s="62" t="n">
        <x:f>(IF(AND(A31&gt;A8,A31&lt;=A8+'Summary'!$B$10*12,MOD(A31-A8,'Summary'!$B$11)=0),I8,0)+IF(AND(A31&gt;A9,A31&lt;=A9+'Summary'!$B$10*12,MOD(A31-A9,'Summary'!$B$11)=0),I9,0)+IF(AND(A31&gt;A10,A31&lt;=A10+'Summary'!$B$10*12,MOD(A31-A10,'Summary'!$B$11)=0),I10,0)+IF(AND(A31&gt;A11,A31&lt;=A11+'Summary'!$B$10*12,MOD(A31-A11,'Summary'!$B$11)=0),I11,0)+IF(AND(A31&gt;A12,A31&lt;=A12+'Summary'!$B$10*12,MOD(A31-A12,'Summary'!$B$11)=0),I12,0)+IF(AND(A31&gt;A13,A31&lt;=A13+'Summary'!$B$10*12,MOD(A31-A13,'Summary'!$B$11)=0),I13,0)+IF(AND(A31&gt;A14,A31&lt;=A14+'Summary'!$B$10*12,MOD(A31-A14,'Summary'!$B$11)=0),I14,0)+IF(AND(A31&gt;A15,A31&lt;=A15+'Summary'!$B$10*12,MOD(A31-A15,'Summary'!$B$11)=0),I15,0)+IF(AND(A31&gt;A16,A31&lt;=A16+'Summary'!$B$10*12,MOD(A31-A16,'Summary'!$B$11)=0),I16,0)+IF(AND(A31&gt;A17,A31&lt;=A17+'Summary'!$B$10*12,MOD(A31-A17,'Summary'!$B$11)=0),I17,0)+IF(AND(A31&gt;A18,A31&lt;=A18+'Summary'!$B$10*12,MOD(A31-A18,'Summary'!$B$11)=0),I18,0)+IF(AND(A31&gt;A19,A31&lt;=A19+'Summary'!$B$10*12,MOD(A31-A19,'Summary'!$B$11)=0),I19,0)+IF(AND(A31&gt;A20,A31&lt;=A20+'Summary'!$B$10*12,MOD(A31-A20,'Summary'!$B$11)=0),I20,0)+IF(AND(A31&gt;A21,A31&lt;=A21+'Summary'!$B$10*12,MOD(A31-A21,'Summary'!$B$11)=0),I21,0)+IF(AND(A31&gt;A22,A31&lt;=A22+'Summary'!$B$10*12,MOD(A31-A22,'Summary'!$B$11)=0),I22,0)+IF(AND(A31&gt;A23,A31&lt;=A23+'Summary'!$B$10*12,MOD(A31-A23,'Summary'!$B$11)=0),I23,0)+IF(AND(A31&gt;A24,A31&lt;=A24+'Summary'!$B$10*12,MOD(A31-A24,'Summary'!$B$11)=0),I24,0)+IF(AND(A31&gt;A25,A31&lt;=A25+'Summary'!$B$10*12,MOD(A31-A25,'Summary'!$B$11)=0),I25,0)+IF(AND(A31&gt;A26,A31&lt;=A26+'Summary'!$B$10*12,MOD(A31-A26,'Summary'!$B$11)=0),I26,0)+IF(AND(A31&gt;A27,A31&lt;=A27+'Summary'!$B$10*12,MOD(A31-A27,'Summary'!$B$11)=0),I27,0)+IF(AND(A31&gt;A28,A31&lt;=A28+'Summary'!$B$10*12,MOD(A31-A28,'Summary'!$B$11)=0),I28,0)+IF(AND(A31&gt;A29,A31&lt;=A29+'Summary'!$B$10*12,MOD(A31-A29,'Summary'!$B$11)=0),I29,0)+IF(AND(A31&gt;A30,A31&lt;=A30+'Summary'!$B$10*12,MOD(A31-A30,'Summary'!$B$11)=0),I30,0))*'Summary'!$B$8/2</x:f>
        <x:v>5.684431485599999</x:v>
      </x:c>
      <x:c r="G31" s="62" t="n">
        <x:f>IF(A31=A8+'Summary'!$B$10*12,I8,0)+IF(A31=A9+'Summary'!$B$10*12,I9,0)+IF(A31=A10+'Summary'!$B$10*12,I10,0)+IF(A31=A11+'Summary'!$B$10*12,I11,0)+IF(A31=A12+'Summary'!$B$10*12,I12,0)+IF(A31=A13+'Summary'!$B$10*12,I13,0)+IF(A31=A14+'Summary'!$B$10*12,I14,0)+IF(A31=A15+'Summary'!$B$10*12,I15,0)+IF(A31=A16+'Summary'!$B$10*12,I16,0)+IF(A31=A17+'Summary'!$B$10*12,I17,0)+IF(A31=A18+'Summary'!$B$10*12,I18,0)+IF(A31=A19+'Summary'!$B$10*12,I19,0)+IF(A31=A20+'Summary'!$B$10*12,I20,0)+IF(A31=A21+'Summary'!$B$10*12,I21,0)+IF(A31=A22+'Summary'!$B$10*12,I22,0)+IF(A31=A23+'Summary'!$B$10*12,I23,0)+IF(A31=A24+'Summary'!$B$10*12,I24,0)+IF(A31=A25+'Summary'!$B$10*12,I25,0)+IF(A31=A26+'Summary'!$B$10*12,I26,0)+IF(A31=A27+'Summary'!$B$10*12,I27,0)+IF(A31=A28+'Summary'!$B$10*12,I28,0)+IF(A31=A29+'Summary'!$B$10*12,I29,0)+IF(A31=A30+'Summary'!$B$10*12,I30,0)</x:f>
        <x:v>0</x:v>
      </x:c>
      <x:c r="H31" s="62" t="n">
        <x:f>E31+D31+F31+G31</x:f>
        <x:v>105.6844314856</x:v>
      </x:c>
      <x:c r="I31" s="62" t="n">
        <x:f>IF(B31,IF(H31&gt;='Summary'!$B$12,H31,0),0)</x:f>
        <x:v>105.6844314856</x:v>
      </x:c>
      <x:c r="J31" s="62" t="n">
        <x:f>H31-I31</x:f>
        <x:v>0</x:v>
      </x:c>
      <x:c r="K31" s="63" t="n">
        <x:f>J31+IF(A8+'Summary'!$B$10*12&gt;A31,I8,0)+IF(A9+'Summary'!$B$10*12&gt;A31,I9,0)+IF(A10+'Summary'!$B$10*12&gt;A31,I10,0)+IF(A11+'Summary'!$B$10*12&gt;A31,I11,0)+IF(A12+'Summary'!$B$10*12&gt;A31,I12,0)+IF(A13+'Summary'!$B$10*12&gt;A31,I13,0)+IF(A14+'Summary'!$B$10*12&gt;A31,I14,0)+IF(A15+'Summary'!$B$10*12&gt;A31,I15,0)+IF(A16+'Summary'!$B$10*12&gt;A31,I16,0)+IF(A17+'Summary'!$B$10*12&gt;A31,I17,0)+IF(A18+'Summary'!$B$10*12&gt;A31,I18,0)+IF(A19+'Summary'!$B$10*12&gt;A31,I19,0)+IF(A20+'Summary'!$B$10*12&gt;A31,I20,0)+IF(A21+'Summary'!$B$10*12&gt;A31,I21,0)+IF(A22+'Summary'!$B$10*12&gt;A31,I22,0)+IF(A23+'Summary'!$B$10*12&gt;A31,I23,0)+IF(A24+'Summary'!$B$10*12&gt;A31,I24,0)+IF(A25+'Summary'!$B$10*12&gt;A31,I25,0)+IF(A26+'Summary'!$B$10*12&gt;A31,I26,0)+IF(A27+'Summary'!$B$10*12&gt;A31,I27,0)+IF(A28+'Summary'!$B$10*12&gt;A31,I28,0)+IF(A29+'Summary'!$B$10*12&gt;A31,I29,0)+IF(A30+'Summary'!$B$10*12&gt;A31,I30,0)+IF(A31+'Summary'!$B$10*12&gt;A31,I31,0)</x:f>
        <x:v>13036.237313473612</x:v>
      </x:c>
    </x:row>
    <x:row r="32">
      <x:c r="A32" s="55" t="n">
        <x:v>24</x:v>
      </x:c>
      <x:c r="B32" s="71" t="b">
        <x:f>A32&lt;='Summary'!$B$9*12</x:f>
        <x:v>1</x:v>
      </x:c>
      <x:c r="C32" s="62" t="n">
        <x:f>IF(A32=0,IF('Summary'!$B$6&gt;=5,'Summary'!$B$6,0),C31)+IF(A32&lt;'Summary'!$B$9*12,IF('Summary'!$B$7&gt;=5,'Summary'!$B$7,0),0)</x:f>
        <x:v>12500</x:v>
      </x:c>
      <x:c r="D32" s="62" t="n">
        <x:f>IF(A32=0,IF('Summary'!$B$6&gt;=5,'Summary'!$B$6,0),0)+IF(A32&lt;'Summary'!$B$9*12,IF('Summary'!$B$7&gt;=5,'Summary'!$B$7,0),0)</x:f>
        <x:v>100</x:v>
      </x:c>
      <x:c r="E32" s="62" t="n">
        <x:f>J31</x:f>
        <x:v>0</x:v>
      </x:c>
      <x:c r="F32" s="62" t="n">
        <x:f>(IF(AND(A32&gt;A8,A32&lt;=A8+'Summary'!$B$10*12,MOD(A32-A8,'Summary'!$B$11)=0),I8,0)+IF(AND(A32&gt;A9,A32&lt;=A9+'Summary'!$B$10*12,MOD(A32-A9,'Summary'!$B$11)=0),I9,0)+IF(AND(A32&gt;A10,A32&lt;=A10+'Summary'!$B$10*12,MOD(A32-A10,'Summary'!$B$11)=0),I10,0)+IF(AND(A32&gt;A11,A32&lt;=A11+'Summary'!$B$10*12,MOD(A32-A11,'Summary'!$B$11)=0),I11,0)+IF(AND(A32&gt;A12,A32&lt;=A12+'Summary'!$B$10*12,MOD(A32-A12,'Summary'!$B$11)=0),I12,0)+IF(AND(A32&gt;A13,A32&lt;=A13+'Summary'!$B$10*12,MOD(A32-A13,'Summary'!$B$11)=0),I13,0)+IF(AND(A32&gt;A14,A32&lt;=A14+'Summary'!$B$10*12,MOD(A32-A14,'Summary'!$B$11)=0),I14,0)+IF(AND(A32&gt;A15,A32&lt;=A15+'Summary'!$B$10*12,MOD(A32-A15,'Summary'!$B$11)=0),I15,0)+IF(AND(A32&gt;A16,A32&lt;=A16+'Summary'!$B$10*12,MOD(A32-A16,'Summary'!$B$11)=0),I16,0)+IF(AND(A32&gt;A17,A32&lt;=A17+'Summary'!$B$10*12,MOD(A32-A17,'Summary'!$B$11)=0),I17,0)+IF(AND(A32&gt;A18,A32&lt;=A18+'Summary'!$B$10*12,MOD(A32-A18,'Summary'!$B$11)=0),I18,0)+IF(AND(A32&gt;A19,A32&lt;=A19+'Summary'!$B$10*12,MOD(A32-A19,'Summary'!$B$11)=0),I19,0)+IF(AND(A32&gt;A20,A32&lt;=A20+'Summary'!$B$10*12,MOD(A32-A20,'Summary'!$B$11)=0),I20,0)+IF(AND(A32&gt;A21,A32&lt;=A21+'Summary'!$B$10*12,MOD(A32-A21,'Summary'!$B$11)=0),I21,0)+IF(AND(A32&gt;A22,A32&lt;=A22+'Summary'!$B$10*12,MOD(A32-A22,'Summary'!$B$11)=0),I22,0)+IF(AND(A32&gt;A23,A32&lt;=A23+'Summary'!$B$10*12,MOD(A32-A23,'Summary'!$B$11)=0),I23,0)+IF(AND(A32&gt;A24,A32&lt;=A24+'Summary'!$B$10*12,MOD(A32-A24,'Summary'!$B$11)=0),I24,0)+IF(AND(A32&gt;A25,A32&lt;=A25+'Summary'!$B$10*12,MOD(A32-A25,'Summary'!$B$11)=0),I25,0)+IF(AND(A32&gt;A26,A32&lt;=A26+'Summary'!$B$10*12,MOD(A32-A26,'Summary'!$B$11)=0),I26,0)+IF(AND(A32&gt;A27,A32&lt;=A27+'Summary'!$B$10*12,MOD(A32-A27,'Summary'!$B$11)=0),I27,0)+IF(AND(A32&gt;A28,A32&lt;=A28+'Summary'!$B$10*12,MOD(A32-A28,'Summary'!$B$11)=0),I28,0)+IF(AND(A32&gt;A29,A32&lt;=A29+'Summary'!$B$10*12,MOD(A32-A29,'Summary'!$B$11)=0),I29,0)+IF(AND(A32&gt;A30,A32&lt;=A30+'Summary'!$B$10*12,MOD(A32-A30,'Summary'!$B$11)=0),I30,0)+IF(AND(A32&gt;A31,A32&lt;=A31+'Summary'!$B$10*12,MOD(A32-A31,'Summary'!$B$11)=0),I31,0))*'Summary'!$B$8/2</x:f>
        <x:v>204.22320447444818</x:v>
      </x:c>
      <x:c r="G32" s="62" t="n">
        <x:f>IF(A32=A8+'Summary'!$B$10*12,I8,0)+IF(A32=A9+'Summary'!$B$10*12,I9,0)+IF(A32=A10+'Summary'!$B$10*12,I10,0)+IF(A32=A11+'Summary'!$B$10*12,I11,0)+IF(A32=A12+'Summary'!$B$10*12,I12,0)+IF(A32=A13+'Summary'!$B$10*12,I13,0)+IF(A32=A14+'Summary'!$B$10*12,I14,0)+IF(A32=A15+'Summary'!$B$10*12,I15,0)+IF(A32=A16+'Summary'!$B$10*12,I16,0)+IF(A32=A17+'Summary'!$B$10*12,I17,0)+IF(A32=A18+'Summary'!$B$10*12,I18,0)+IF(A32=A19+'Summary'!$B$10*12,I19,0)+IF(A32=A20+'Summary'!$B$10*12,I20,0)+IF(A32=A21+'Summary'!$B$10*12,I21,0)+IF(A32=A22+'Summary'!$B$10*12,I22,0)+IF(A32=A23+'Summary'!$B$10*12,I23,0)+IF(A32=A24+'Summary'!$B$10*12,I24,0)+IF(A32=A25+'Summary'!$B$10*12,I25,0)+IF(A32=A26+'Summary'!$B$10*12,I26,0)+IF(A32=A27+'Summary'!$B$10*12,I27,0)+IF(A32=A28+'Summary'!$B$10*12,I28,0)+IF(A32=A29+'Summary'!$B$10*12,I29,0)+IF(A32=A30+'Summary'!$B$10*12,I30,0)+IF(A32=A31+'Summary'!$B$10*12,I31,0)</x:f>
        <x:v>0</x:v>
      </x:c>
      <x:c r="H32" s="62" t="n">
        <x:f>E32+D32+F32+G32</x:f>
        <x:v>304.22320447444815</x:v>
      </x:c>
      <x:c r="I32" s="62" t="n">
        <x:f>IF(B32,IF(H32&gt;='Summary'!$B$12,H32,0),0)</x:f>
        <x:v>304.22320447444815</x:v>
      </x:c>
      <x:c r="J32" s="62" t="n">
        <x:f>H32-I32</x:f>
        <x:v>0</x:v>
      </x:c>
      <x:c r="K32" s="63" t="n">
        <x:f>J32+IF(A8+'Summary'!$B$10*12&gt;A32,I8,0)+IF(A9+'Summary'!$B$10*12&gt;A32,I9,0)+IF(A10+'Summary'!$B$10*12&gt;A32,I10,0)+IF(A11+'Summary'!$B$10*12&gt;A32,I11,0)+IF(A12+'Summary'!$B$10*12&gt;A32,I12,0)+IF(A13+'Summary'!$B$10*12&gt;A32,I13,0)+IF(A14+'Summary'!$B$10*12&gt;A32,I14,0)+IF(A15+'Summary'!$B$10*12&gt;A32,I15,0)+IF(A16+'Summary'!$B$10*12&gt;A32,I16,0)+IF(A17+'Summary'!$B$10*12&gt;A32,I17,0)+IF(A18+'Summary'!$B$10*12&gt;A32,I18,0)+IF(A19+'Summary'!$B$10*12&gt;A32,I19,0)+IF(A20+'Summary'!$B$10*12&gt;A32,I20,0)+IF(A21+'Summary'!$B$10*12&gt;A32,I21,0)+IF(A22+'Summary'!$B$10*12&gt;A32,I22,0)+IF(A23+'Summary'!$B$10*12&gt;A32,I23,0)+IF(A24+'Summary'!$B$10*12&gt;A32,I24,0)+IF(A25+'Summary'!$B$10*12&gt;A32,I25,0)+IF(A26+'Summary'!$B$10*12&gt;A32,I26,0)+IF(A27+'Summary'!$B$10*12&gt;A32,I27,0)+IF(A28+'Summary'!$B$10*12&gt;A32,I28,0)+IF(A29+'Summary'!$B$10*12&gt;A32,I29,0)+IF(A30+'Summary'!$B$10*12&gt;A32,I30,0)+IF(A31+'Summary'!$B$10*12&gt;A32,I31,0)+IF(A32+'Summary'!$B$10*12&gt;A32,I32,0)</x:f>
        <x:v>13340.46051794806</x:v>
      </x:c>
    </x:row>
    <x:row r="33">
      <x:c r="A33" s="55" t="n">
        <x:v>25</x:v>
      </x:c>
      <x:c r="B33" s="71" t="b">
        <x:f>A33&lt;='Summary'!$B$9*12</x:f>
        <x:v>1</x:v>
      </x:c>
      <x:c r="C33" s="62" t="n">
        <x:f>IF(A33=0,IF('Summary'!$B$6&gt;=5,'Summary'!$B$6,0),C32)+IF(A33&lt;'Summary'!$B$9*12,IF('Summary'!$B$7&gt;=5,'Summary'!$B$7,0),0)</x:f>
        <x:v>12600</x:v>
      </x:c>
      <x:c r="D33" s="62" t="n">
        <x:f>IF(A33=0,IF('Summary'!$B$6&gt;=5,'Summary'!$B$6,0),0)+IF(A33&lt;'Summary'!$B$9*12,IF('Summary'!$B$7&gt;=5,'Summary'!$B$7,0),0)</x:f>
        <x:v>100</x:v>
      </x:c>
      <x:c r="E33" s="62" t="n">
        <x:f>J32</x:f>
        <x:v>0</x:v>
      </x:c>
      <x:c r="F33" s="62" t="n">
        <x:f>(IF(AND(A33&gt;A8,A33&lt;=A8+'Summary'!$B$10*12,MOD(A33-A8,'Summary'!$B$11)=0),I8,0)+IF(AND(A33&gt;A9,A33&lt;=A9+'Summary'!$B$10*12,MOD(A33-A9,'Summary'!$B$11)=0),I9,0)+IF(AND(A33&gt;A10,A33&lt;=A10+'Summary'!$B$10*12,MOD(A33-A10,'Summary'!$B$11)=0),I10,0)+IF(AND(A33&gt;A11,A33&lt;=A11+'Summary'!$B$10*12,MOD(A33-A11,'Summary'!$B$11)=0),I11,0)+IF(AND(A33&gt;A12,A33&lt;=A12+'Summary'!$B$10*12,MOD(A33-A12,'Summary'!$B$11)=0),I12,0)+IF(AND(A33&gt;A13,A33&lt;=A13+'Summary'!$B$10*12,MOD(A33-A13,'Summary'!$B$11)=0),I13,0)+IF(AND(A33&gt;A14,A33&lt;=A14+'Summary'!$B$10*12,MOD(A33-A14,'Summary'!$B$11)=0),I14,0)+IF(AND(A33&gt;A15,A33&lt;=A15+'Summary'!$B$10*12,MOD(A33-A15,'Summary'!$B$11)=0),I15,0)+IF(AND(A33&gt;A16,A33&lt;=A16+'Summary'!$B$10*12,MOD(A33-A16,'Summary'!$B$11)=0),I16,0)+IF(AND(A33&gt;A17,A33&lt;=A17+'Summary'!$B$10*12,MOD(A33-A17,'Summary'!$B$11)=0),I17,0)+IF(AND(A33&gt;A18,A33&lt;=A18+'Summary'!$B$10*12,MOD(A33-A18,'Summary'!$B$11)=0),I18,0)+IF(AND(A33&gt;A19,A33&lt;=A19+'Summary'!$B$10*12,MOD(A33-A19,'Summary'!$B$11)=0),I19,0)+IF(AND(A33&gt;A20,A33&lt;=A20+'Summary'!$B$10*12,MOD(A33-A20,'Summary'!$B$11)=0),I20,0)+IF(AND(A33&gt;A21,A33&lt;=A21+'Summary'!$B$10*12,MOD(A33-A21,'Summary'!$B$11)=0),I21,0)+IF(AND(A33&gt;A22,A33&lt;=A22+'Summary'!$B$10*12,MOD(A33-A22,'Summary'!$B$11)=0),I22,0)+IF(AND(A33&gt;A23,A33&lt;=A23+'Summary'!$B$10*12,MOD(A33-A23,'Summary'!$B$11)=0),I23,0)+IF(AND(A33&gt;A24,A33&lt;=A24+'Summary'!$B$10*12,MOD(A33-A24,'Summary'!$B$11)=0),I24,0)+IF(AND(A33&gt;A25,A33&lt;=A25+'Summary'!$B$10*12,MOD(A33-A25,'Summary'!$B$11)=0),I25,0)+IF(AND(A33&gt;A26,A33&lt;=A26+'Summary'!$B$10*12,MOD(A33-A26,'Summary'!$B$11)=0),I26,0)+IF(AND(A33&gt;A27,A33&lt;=A27+'Summary'!$B$10*12,MOD(A33-A27,'Summary'!$B$11)=0),I27,0)+IF(AND(A33&gt;A28,A33&lt;=A28+'Summary'!$B$10*12,MOD(A33-A28,'Summary'!$B$11)=0),I28,0)+IF(AND(A33&gt;A29,A33&lt;=A29+'Summary'!$B$10*12,MOD(A33-A29,'Summary'!$B$11)=0),I29,0)+IF(AND(A33&gt;A30,A33&lt;=A30+'Summary'!$B$10*12,MOD(A33-A30,'Summary'!$B$11)=0),I30,0)+IF(AND(A33&gt;A31,A33&lt;=A31+'Summary'!$B$10*12,MOD(A33-A31,'Summary'!$B$11)=0),I31,0)+IF(AND(A33&gt;A32,A33&lt;=A32+'Summary'!$B$10*12,MOD(A33-A32,'Summary'!$B$11)=0),I32,0))*'Summary'!$B$8/2</x:f>
        <x:v>7.650161911232159</x:v>
      </x:c>
      <x:c r="G33" s="62" t="n">
        <x:f>IF(A33=A8+'Summary'!$B$10*12,I8,0)+IF(A33=A9+'Summary'!$B$10*12,I9,0)+IF(A33=A10+'Summary'!$B$10*12,I10,0)+IF(A33=A11+'Summary'!$B$10*12,I11,0)+IF(A33=A12+'Summary'!$B$10*12,I12,0)+IF(A33=A13+'Summary'!$B$10*12,I13,0)+IF(A33=A14+'Summary'!$B$10*12,I14,0)+IF(A33=A15+'Summary'!$B$10*12,I15,0)+IF(A33=A16+'Summary'!$B$10*12,I16,0)+IF(A33=A17+'Summary'!$B$10*12,I17,0)+IF(A33=A18+'Summary'!$B$10*12,I18,0)+IF(A33=A19+'Summary'!$B$10*12,I19,0)+IF(A33=A20+'Summary'!$B$10*12,I20,0)+IF(A33=A21+'Summary'!$B$10*12,I21,0)+IF(A33=A22+'Summary'!$B$10*12,I22,0)+IF(A33=A23+'Summary'!$B$10*12,I23,0)+IF(A33=A24+'Summary'!$B$10*12,I24,0)+IF(A33=A25+'Summary'!$B$10*12,I25,0)+IF(A33=A26+'Summary'!$B$10*12,I26,0)+IF(A33=A27+'Summary'!$B$10*12,I27,0)+IF(A33=A28+'Summary'!$B$10*12,I28,0)+IF(A33=A29+'Summary'!$B$10*12,I29,0)+IF(A33=A30+'Summary'!$B$10*12,I30,0)+IF(A33=A31+'Summary'!$B$10*12,I31,0)+IF(A33=A32+'Summary'!$B$10*12,I32,0)</x:f>
        <x:v>0</x:v>
      </x:c>
      <x:c r="H33" s="62" t="n">
        <x:f>E33+D33+F33+G33</x:f>
        <x:v>107.65016191123216</x:v>
      </x:c>
      <x:c r="I33" s="62" t="n">
        <x:f>IF(B33,IF(H33&gt;='Summary'!$B$12,H33,0),0)</x:f>
        <x:v>107.65016191123216</x:v>
      </x:c>
      <x:c r="J33" s="62" t="n">
        <x:f>H33-I33</x:f>
        <x:v>0</x:v>
      </x:c>
      <x:c r="K33" s="63" t="n">
        <x:f>J33+IF(A8+'Summary'!$B$10*12&gt;A33,I8,0)+IF(A9+'Summary'!$B$10*12&gt;A33,I9,0)+IF(A10+'Summary'!$B$10*12&gt;A33,I10,0)+IF(A11+'Summary'!$B$10*12&gt;A33,I11,0)+IF(A12+'Summary'!$B$10*12&gt;A33,I12,0)+IF(A13+'Summary'!$B$10*12&gt;A33,I13,0)+IF(A14+'Summary'!$B$10*12&gt;A33,I14,0)+IF(A15+'Summary'!$B$10*12&gt;A33,I15,0)+IF(A16+'Summary'!$B$10*12&gt;A33,I16,0)+IF(A17+'Summary'!$B$10*12&gt;A33,I17,0)+IF(A18+'Summary'!$B$10*12&gt;A33,I18,0)+IF(A19+'Summary'!$B$10*12&gt;A33,I19,0)+IF(A20+'Summary'!$B$10*12&gt;A33,I20,0)+IF(A21+'Summary'!$B$10*12&gt;A33,I21,0)+IF(A22+'Summary'!$B$10*12&gt;A33,I22,0)+IF(A23+'Summary'!$B$10*12&gt;A33,I23,0)+IF(A24+'Summary'!$B$10*12&gt;A33,I24,0)+IF(A25+'Summary'!$B$10*12&gt;A33,I25,0)+IF(A26+'Summary'!$B$10*12&gt;A33,I26,0)+IF(A27+'Summary'!$B$10*12&gt;A33,I27,0)+IF(A28+'Summary'!$B$10*12&gt;A33,I28,0)+IF(A29+'Summary'!$B$10*12&gt;A33,I29,0)+IF(A30+'Summary'!$B$10*12&gt;A33,I30,0)+IF(A31+'Summary'!$B$10*12&gt;A33,I31,0)+IF(A32+'Summary'!$B$10*12&gt;A33,I32,0)+IF(A33+'Summary'!$B$10*12&gt;A33,I33,0)</x:f>
        <x:v>13448.110679859292</x:v>
      </x:c>
    </x:row>
    <x:row r="34">
      <x:c r="A34" s="55" t="n">
        <x:v>26</x:v>
      </x:c>
      <x:c r="B34" s="71" t="b">
        <x:f>A34&lt;='Summary'!$B$9*12</x:f>
        <x:v>1</x:v>
      </x:c>
      <x:c r="C34" s="62" t="n">
        <x:f>IF(A34=0,IF('Summary'!$B$6&gt;=5,'Summary'!$B$6,0),C33)+IF(A34&lt;'Summary'!$B$9*12,IF('Summary'!$B$7&gt;=5,'Summary'!$B$7,0),0)</x:f>
        <x:v>12700</x:v>
      </x:c>
      <x:c r="D34" s="62" t="n">
        <x:f>IF(A34=0,IF('Summary'!$B$6&gt;=5,'Summary'!$B$6,0),0)+IF(A34&lt;'Summary'!$B$9*12,IF('Summary'!$B$7&gt;=5,'Summary'!$B$7,0),0)</x:f>
        <x:v>100</x:v>
      </x:c>
      <x:c r="E34" s="62" t="n">
        <x:f>J33</x:f>
        <x:v>0</x:v>
      </x:c>
      <x:c r="F34" s="62" t="n">
        <x:f>(IF(AND(A34&gt;A8,A34&lt;=A8+'Summary'!$B$10*12,MOD(A34-A8,'Summary'!$B$11)=0),I8,0)+IF(AND(A34&gt;A9,A34&lt;=A9+'Summary'!$B$10*12,MOD(A34-A9,'Summary'!$B$11)=0),I9,0)+IF(AND(A34&gt;A10,A34&lt;=A10+'Summary'!$B$10*12,MOD(A34-A10,'Summary'!$B$11)=0),I10,0)+IF(AND(A34&gt;A11,A34&lt;=A11+'Summary'!$B$10*12,MOD(A34-A11,'Summary'!$B$11)=0),I11,0)+IF(AND(A34&gt;A12,A34&lt;=A12+'Summary'!$B$10*12,MOD(A34-A12,'Summary'!$B$11)=0),I12,0)+IF(AND(A34&gt;A13,A34&lt;=A13+'Summary'!$B$10*12,MOD(A34-A13,'Summary'!$B$11)=0),I13,0)+IF(AND(A34&gt;A14,A34&lt;=A14+'Summary'!$B$10*12,MOD(A34-A14,'Summary'!$B$11)=0),I14,0)+IF(AND(A34&gt;A15,A34&lt;=A15+'Summary'!$B$10*12,MOD(A34-A15,'Summary'!$B$11)=0),I15,0)+IF(AND(A34&gt;A16,A34&lt;=A16+'Summary'!$B$10*12,MOD(A34-A16,'Summary'!$B$11)=0),I16,0)+IF(AND(A34&gt;A17,A34&lt;=A17+'Summary'!$B$10*12,MOD(A34-A17,'Summary'!$B$11)=0),I17,0)+IF(AND(A34&gt;A18,A34&lt;=A18+'Summary'!$B$10*12,MOD(A34-A18,'Summary'!$B$11)=0),I18,0)+IF(AND(A34&gt;A19,A34&lt;=A19+'Summary'!$B$10*12,MOD(A34-A19,'Summary'!$B$11)=0),I19,0)+IF(AND(A34&gt;A20,A34&lt;=A20+'Summary'!$B$10*12,MOD(A34-A20,'Summary'!$B$11)=0),I20,0)+IF(AND(A34&gt;A21,A34&lt;=A21+'Summary'!$B$10*12,MOD(A34-A21,'Summary'!$B$11)=0),I21,0)+IF(AND(A34&gt;A22,A34&lt;=A22+'Summary'!$B$10*12,MOD(A34-A22,'Summary'!$B$11)=0),I22,0)+IF(AND(A34&gt;A23,A34&lt;=A23+'Summary'!$B$10*12,MOD(A34-A23,'Summary'!$B$11)=0),I23,0)+IF(AND(A34&gt;A24,A34&lt;=A24+'Summary'!$B$10*12,MOD(A34-A24,'Summary'!$B$11)=0),I24,0)+IF(AND(A34&gt;A25,A34&lt;=A25+'Summary'!$B$10*12,MOD(A34-A25,'Summary'!$B$11)=0),I25,0)+IF(AND(A34&gt;A26,A34&lt;=A26+'Summary'!$B$10*12,MOD(A34-A26,'Summary'!$B$11)=0),I26,0)+IF(AND(A34&gt;A27,A34&lt;=A27+'Summary'!$B$10*12,MOD(A34-A27,'Summary'!$B$11)=0),I27,0)+IF(AND(A34&gt;A28,A34&lt;=A28+'Summary'!$B$10*12,MOD(A34-A28,'Summary'!$B$11)=0),I28,0)+IF(AND(A34&gt;A29,A34&lt;=A29+'Summary'!$B$10*12,MOD(A34-A29,'Summary'!$B$11)=0),I29,0)+IF(AND(A34&gt;A30,A34&lt;=A30+'Summary'!$B$10*12,MOD(A34-A30,'Summary'!$B$11)=0),I30,0)+IF(AND(A34&gt;A31,A34&lt;=A31+'Summary'!$B$10*12,MOD(A34-A31,'Summary'!$B$11)=0),I31,0)+IF(AND(A34&gt;A32,A34&lt;=A32+'Summary'!$B$10*12,MOD(A34-A32,'Summary'!$B$11)=0),I32,0)+IF(AND(A34&gt;A33,A34&lt;=A33+'Summary'!$B$10*12,MOD(A34-A33,'Summary'!$B$11)=0),I33,0))*'Summary'!$B$8/2</x:f>
        <x:v>7.650161911232159</x:v>
      </x:c>
      <x:c r="G34" s="62" t="n">
        <x:f>IF(A34=A8+'Summary'!$B$10*12,I8,0)+IF(A34=A9+'Summary'!$B$10*12,I9,0)+IF(A34=A10+'Summary'!$B$10*12,I10,0)+IF(A34=A11+'Summary'!$B$10*12,I11,0)+IF(A34=A12+'Summary'!$B$10*12,I12,0)+IF(A34=A13+'Summary'!$B$10*12,I13,0)+IF(A34=A14+'Summary'!$B$10*12,I14,0)+IF(A34=A15+'Summary'!$B$10*12,I15,0)+IF(A34=A16+'Summary'!$B$10*12,I16,0)+IF(A34=A17+'Summary'!$B$10*12,I17,0)+IF(A34=A18+'Summary'!$B$10*12,I18,0)+IF(A34=A19+'Summary'!$B$10*12,I19,0)+IF(A34=A20+'Summary'!$B$10*12,I20,0)+IF(A34=A21+'Summary'!$B$10*12,I21,0)+IF(A34=A22+'Summary'!$B$10*12,I22,0)+IF(A34=A23+'Summary'!$B$10*12,I23,0)+IF(A34=A24+'Summary'!$B$10*12,I24,0)+IF(A34=A25+'Summary'!$B$10*12,I25,0)+IF(A34=A26+'Summary'!$B$10*12,I26,0)+IF(A34=A27+'Summary'!$B$10*12,I27,0)+IF(A34=A28+'Summary'!$B$10*12,I28,0)+IF(A34=A29+'Summary'!$B$10*12,I29,0)+IF(A34=A30+'Summary'!$B$10*12,I30,0)+IF(A34=A31+'Summary'!$B$10*12,I31,0)+IF(A34=A32+'Summary'!$B$10*12,I32,0)+IF(A34=A33+'Summary'!$B$10*12,I33,0)</x:f>
        <x:v>0</x:v>
      </x:c>
      <x:c r="H34" s="62" t="n">
        <x:f>E34+D34+F34+G34</x:f>
        <x:v>107.65016191123216</x:v>
      </x:c>
      <x:c r="I34" s="62" t="n">
        <x:f>IF(B34,IF(H34&gt;='Summary'!$B$12,H34,0),0)</x:f>
        <x:v>107.65016191123216</x:v>
      </x:c>
      <x:c r="J34" s="62" t="n">
        <x:f>H34-I34</x:f>
        <x:v>0</x:v>
      </x:c>
      <x:c r="K34" s="63" t="n">
        <x:f>J34+IF(A8+'Summary'!$B$10*12&gt;A34,I8,0)+IF(A9+'Summary'!$B$10*12&gt;A34,I9,0)+IF(A10+'Summary'!$B$10*12&gt;A34,I10,0)+IF(A11+'Summary'!$B$10*12&gt;A34,I11,0)+IF(A12+'Summary'!$B$10*12&gt;A34,I12,0)+IF(A13+'Summary'!$B$10*12&gt;A34,I13,0)+IF(A14+'Summary'!$B$10*12&gt;A34,I14,0)+IF(A15+'Summary'!$B$10*12&gt;A34,I15,0)+IF(A16+'Summary'!$B$10*12&gt;A34,I16,0)+IF(A17+'Summary'!$B$10*12&gt;A34,I17,0)+IF(A18+'Summary'!$B$10*12&gt;A34,I18,0)+IF(A19+'Summary'!$B$10*12&gt;A34,I19,0)+IF(A20+'Summary'!$B$10*12&gt;A34,I20,0)+IF(A21+'Summary'!$B$10*12&gt;A34,I21,0)+IF(A22+'Summary'!$B$10*12&gt;A34,I22,0)+IF(A23+'Summary'!$B$10*12&gt;A34,I23,0)+IF(A24+'Summary'!$B$10*12&gt;A34,I24,0)+IF(A25+'Summary'!$B$10*12&gt;A34,I25,0)+IF(A26+'Summary'!$B$10*12&gt;A34,I26,0)+IF(A27+'Summary'!$B$10*12&gt;A34,I27,0)+IF(A28+'Summary'!$B$10*12&gt;A34,I28,0)+IF(A29+'Summary'!$B$10*12&gt;A34,I29,0)+IF(A30+'Summary'!$B$10*12&gt;A34,I30,0)+IF(A31+'Summary'!$B$10*12&gt;A34,I31,0)+IF(A32+'Summary'!$B$10*12&gt;A34,I32,0)+IF(A33+'Summary'!$B$10*12&gt;A34,I33,0)+IF(A34+'Summary'!$B$10*12&gt;A34,I34,0)</x:f>
        <x:v>13555.760841770523</x:v>
      </x:c>
    </x:row>
    <x:row r="35">
      <x:c r="A35" s="55" t="n">
        <x:v>27</x:v>
      </x:c>
      <x:c r="B35" s="71" t="b">
        <x:f>A35&lt;='Summary'!$B$9*12</x:f>
        <x:v>1</x:v>
      </x:c>
      <x:c r="C35" s="62" t="n">
        <x:f>IF(A35=0,IF('Summary'!$B$6&gt;=5,'Summary'!$B$6,0),C34)+IF(A35&lt;'Summary'!$B$9*12,IF('Summary'!$B$7&gt;=5,'Summary'!$B$7,0),0)</x:f>
        <x:v>12800</x:v>
      </x:c>
      <x:c r="D35" s="62" t="n">
        <x:f>IF(A35=0,IF('Summary'!$B$6&gt;=5,'Summary'!$B$6,0),0)+IF(A35&lt;'Summary'!$B$9*12,IF('Summary'!$B$7&gt;=5,'Summary'!$B$7,0),0)</x:f>
        <x:v>100</x:v>
      </x:c>
      <x:c r="E35" s="62" t="n">
        <x:f>J34</x:f>
        <x:v>0</x:v>
      </x:c>
      <x:c r="F35" s="62" t="n">
        <x:f>(IF(AND(A35&gt;A8,A35&lt;=A8+'Summary'!$B$10*12,MOD(A35-A8,'Summary'!$B$11)=0),I8,0)+IF(AND(A35&gt;A9,A35&lt;=A9+'Summary'!$B$10*12,MOD(A35-A9,'Summary'!$B$11)=0),I9,0)+IF(AND(A35&gt;A10,A35&lt;=A10+'Summary'!$B$10*12,MOD(A35-A10,'Summary'!$B$11)=0),I10,0)+IF(AND(A35&gt;A11,A35&lt;=A11+'Summary'!$B$10*12,MOD(A35-A11,'Summary'!$B$11)=0),I11,0)+IF(AND(A35&gt;A12,A35&lt;=A12+'Summary'!$B$10*12,MOD(A35-A12,'Summary'!$B$11)=0),I12,0)+IF(AND(A35&gt;A13,A35&lt;=A13+'Summary'!$B$10*12,MOD(A35-A13,'Summary'!$B$11)=0),I13,0)+IF(AND(A35&gt;A14,A35&lt;=A14+'Summary'!$B$10*12,MOD(A35-A14,'Summary'!$B$11)=0),I14,0)+IF(AND(A35&gt;A15,A35&lt;=A15+'Summary'!$B$10*12,MOD(A35-A15,'Summary'!$B$11)=0),I15,0)+IF(AND(A35&gt;A16,A35&lt;=A16+'Summary'!$B$10*12,MOD(A35-A16,'Summary'!$B$11)=0),I16,0)+IF(AND(A35&gt;A17,A35&lt;=A17+'Summary'!$B$10*12,MOD(A35-A17,'Summary'!$B$11)=0),I17,0)+IF(AND(A35&gt;A18,A35&lt;=A18+'Summary'!$B$10*12,MOD(A35-A18,'Summary'!$B$11)=0),I18,0)+IF(AND(A35&gt;A19,A35&lt;=A19+'Summary'!$B$10*12,MOD(A35-A19,'Summary'!$B$11)=0),I19,0)+IF(AND(A35&gt;A20,A35&lt;=A20+'Summary'!$B$10*12,MOD(A35-A20,'Summary'!$B$11)=0),I20,0)+IF(AND(A35&gt;A21,A35&lt;=A21+'Summary'!$B$10*12,MOD(A35-A21,'Summary'!$B$11)=0),I21,0)+IF(AND(A35&gt;A22,A35&lt;=A22+'Summary'!$B$10*12,MOD(A35-A22,'Summary'!$B$11)=0),I22,0)+IF(AND(A35&gt;A23,A35&lt;=A23+'Summary'!$B$10*12,MOD(A35-A23,'Summary'!$B$11)=0),I23,0)+IF(AND(A35&gt;A24,A35&lt;=A24+'Summary'!$B$10*12,MOD(A35-A24,'Summary'!$B$11)=0),I24,0)+IF(AND(A35&gt;A25,A35&lt;=A25+'Summary'!$B$10*12,MOD(A35-A25,'Summary'!$B$11)=0),I25,0)+IF(AND(A35&gt;A26,A35&lt;=A26+'Summary'!$B$10*12,MOD(A35-A26,'Summary'!$B$11)=0),I26,0)+IF(AND(A35&gt;A27,A35&lt;=A27+'Summary'!$B$10*12,MOD(A35-A27,'Summary'!$B$11)=0),I27,0)+IF(AND(A35&gt;A28,A35&lt;=A28+'Summary'!$B$10*12,MOD(A35-A28,'Summary'!$B$11)=0),I28,0)+IF(AND(A35&gt;A29,A35&lt;=A29+'Summary'!$B$10*12,MOD(A35-A29,'Summary'!$B$11)=0),I29,0)+IF(AND(A35&gt;A30,A35&lt;=A30+'Summary'!$B$10*12,MOD(A35-A30,'Summary'!$B$11)=0),I30,0)+IF(AND(A35&gt;A31,A35&lt;=A31+'Summary'!$B$10*12,MOD(A35-A31,'Summary'!$B$11)=0),I31,0)+IF(AND(A35&gt;A32,A35&lt;=A32+'Summary'!$B$10*12,MOD(A35-A32,'Summary'!$B$11)=0),I32,0)+IF(AND(A35&gt;A33,A35&lt;=A33+'Summary'!$B$10*12,MOD(A35-A33,'Summary'!$B$11)=0),I33,0)+IF(AND(A35&gt;A34,A35&lt;=A34+'Summary'!$B$10*12,MOD(A35-A34,'Summary'!$B$11)=0),I34,0))*'Summary'!$B$8/2</x:f>
        <x:v>7.650161911232159</x:v>
      </x:c>
      <x:c r="G35" s="62" t="n">
        <x:f>IF(A35=A8+'Summary'!$B$10*12,I8,0)+IF(A35=A9+'Summary'!$B$10*12,I9,0)+IF(A35=A10+'Summary'!$B$10*12,I10,0)+IF(A35=A11+'Summary'!$B$10*12,I11,0)+IF(A35=A12+'Summary'!$B$10*12,I12,0)+IF(A35=A13+'Summary'!$B$10*12,I13,0)+IF(A35=A14+'Summary'!$B$10*12,I14,0)+IF(A35=A15+'Summary'!$B$10*12,I15,0)+IF(A35=A16+'Summary'!$B$10*12,I16,0)+IF(A35=A17+'Summary'!$B$10*12,I17,0)+IF(A35=A18+'Summary'!$B$10*12,I18,0)+IF(A35=A19+'Summary'!$B$10*12,I19,0)+IF(A35=A20+'Summary'!$B$10*12,I20,0)+IF(A35=A21+'Summary'!$B$10*12,I21,0)+IF(A35=A22+'Summary'!$B$10*12,I22,0)+IF(A35=A23+'Summary'!$B$10*12,I23,0)+IF(A35=A24+'Summary'!$B$10*12,I24,0)+IF(A35=A25+'Summary'!$B$10*12,I25,0)+IF(A35=A26+'Summary'!$B$10*12,I26,0)+IF(A35=A27+'Summary'!$B$10*12,I27,0)+IF(A35=A28+'Summary'!$B$10*12,I28,0)+IF(A35=A29+'Summary'!$B$10*12,I29,0)+IF(A35=A30+'Summary'!$B$10*12,I30,0)+IF(A35=A31+'Summary'!$B$10*12,I31,0)+IF(A35=A32+'Summary'!$B$10*12,I32,0)+IF(A35=A33+'Summary'!$B$10*12,I33,0)+IF(A35=A34+'Summary'!$B$10*12,I34,0)</x:f>
        <x:v>0</x:v>
      </x:c>
      <x:c r="H35" s="62" t="n">
        <x:f>E35+D35+F35+G35</x:f>
        <x:v>107.65016191123216</x:v>
      </x:c>
      <x:c r="I35" s="62" t="n">
        <x:f>IF(B35,IF(H35&gt;='Summary'!$B$12,H35,0),0)</x:f>
        <x:v>107.65016191123216</x:v>
      </x:c>
      <x:c r="J35" s="62" t="n">
        <x:f>H35-I35</x:f>
        <x:v>0</x:v>
      </x:c>
      <x:c r="K35" s="63" t="n">
        <x:f>J35+IF(A8+'Summary'!$B$10*12&gt;A35,I8,0)+IF(A9+'Summary'!$B$10*12&gt;A35,I9,0)+IF(A10+'Summary'!$B$10*12&gt;A35,I10,0)+IF(A11+'Summary'!$B$10*12&gt;A35,I11,0)+IF(A12+'Summary'!$B$10*12&gt;A35,I12,0)+IF(A13+'Summary'!$B$10*12&gt;A35,I13,0)+IF(A14+'Summary'!$B$10*12&gt;A35,I14,0)+IF(A15+'Summary'!$B$10*12&gt;A35,I15,0)+IF(A16+'Summary'!$B$10*12&gt;A35,I16,0)+IF(A17+'Summary'!$B$10*12&gt;A35,I17,0)+IF(A18+'Summary'!$B$10*12&gt;A35,I18,0)+IF(A19+'Summary'!$B$10*12&gt;A35,I19,0)+IF(A20+'Summary'!$B$10*12&gt;A35,I20,0)+IF(A21+'Summary'!$B$10*12&gt;A35,I21,0)+IF(A22+'Summary'!$B$10*12&gt;A35,I22,0)+IF(A23+'Summary'!$B$10*12&gt;A35,I23,0)+IF(A24+'Summary'!$B$10*12&gt;A35,I24,0)+IF(A25+'Summary'!$B$10*12&gt;A35,I25,0)+IF(A26+'Summary'!$B$10*12&gt;A35,I26,0)+IF(A27+'Summary'!$B$10*12&gt;A35,I27,0)+IF(A28+'Summary'!$B$10*12&gt;A35,I28,0)+IF(A29+'Summary'!$B$10*12&gt;A35,I29,0)+IF(A30+'Summary'!$B$10*12&gt;A35,I30,0)+IF(A31+'Summary'!$B$10*12&gt;A35,I31,0)+IF(A32+'Summary'!$B$10*12&gt;A35,I32,0)+IF(A33+'Summary'!$B$10*12&gt;A35,I33,0)+IF(A34+'Summary'!$B$10*12&gt;A35,I34,0)+IF(A35+'Summary'!$B$10*12&gt;A35,I35,0)</x:f>
        <x:v>13663.411003681755</x:v>
      </x:c>
    </x:row>
    <x:row r="36">
      <x:c r="A36" s="55" t="n">
        <x:v>28</x:v>
      </x:c>
      <x:c r="B36" s="71" t="b">
        <x:f>A36&lt;='Summary'!$B$9*12</x:f>
        <x:v>1</x:v>
      </x:c>
      <x:c r="C36" s="62" t="n">
        <x:f>IF(A36=0,IF('Summary'!$B$6&gt;=5,'Summary'!$B$6,0),C35)+IF(A36&lt;'Summary'!$B$9*12,IF('Summary'!$B$7&gt;=5,'Summary'!$B$7,0),0)</x:f>
        <x:v>12900</x:v>
      </x:c>
      <x:c r="D36" s="62" t="n">
        <x:f>IF(A36=0,IF('Summary'!$B$6&gt;=5,'Summary'!$B$6,0),0)+IF(A36&lt;'Summary'!$B$9*12,IF('Summary'!$B$7&gt;=5,'Summary'!$B$7,0),0)</x:f>
        <x:v>100</x:v>
      </x:c>
      <x:c r="E36" s="62" t="n">
        <x:f>J35</x:f>
        <x:v>0</x:v>
      </x:c>
      <x:c r="F36" s="62" t="n">
        <x:f>(IF(AND(A36&gt;A8,A36&lt;=A8+'Summary'!$B$10*12,MOD(A36-A8,'Summary'!$B$11)=0),I8,0)+IF(AND(A36&gt;A9,A36&lt;=A9+'Summary'!$B$10*12,MOD(A36-A9,'Summary'!$B$11)=0),I9,0)+IF(AND(A36&gt;A10,A36&lt;=A10+'Summary'!$B$10*12,MOD(A36-A10,'Summary'!$B$11)=0),I10,0)+IF(AND(A36&gt;A11,A36&lt;=A11+'Summary'!$B$10*12,MOD(A36-A11,'Summary'!$B$11)=0),I11,0)+IF(AND(A36&gt;A12,A36&lt;=A12+'Summary'!$B$10*12,MOD(A36-A12,'Summary'!$B$11)=0),I12,0)+IF(AND(A36&gt;A13,A36&lt;=A13+'Summary'!$B$10*12,MOD(A36-A13,'Summary'!$B$11)=0),I13,0)+IF(AND(A36&gt;A14,A36&lt;=A14+'Summary'!$B$10*12,MOD(A36-A14,'Summary'!$B$11)=0),I14,0)+IF(AND(A36&gt;A15,A36&lt;=A15+'Summary'!$B$10*12,MOD(A36-A15,'Summary'!$B$11)=0),I15,0)+IF(AND(A36&gt;A16,A36&lt;=A16+'Summary'!$B$10*12,MOD(A36-A16,'Summary'!$B$11)=0),I16,0)+IF(AND(A36&gt;A17,A36&lt;=A17+'Summary'!$B$10*12,MOD(A36-A17,'Summary'!$B$11)=0),I17,0)+IF(AND(A36&gt;A18,A36&lt;=A18+'Summary'!$B$10*12,MOD(A36-A18,'Summary'!$B$11)=0),I18,0)+IF(AND(A36&gt;A19,A36&lt;=A19+'Summary'!$B$10*12,MOD(A36-A19,'Summary'!$B$11)=0),I19,0)+IF(AND(A36&gt;A20,A36&lt;=A20+'Summary'!$B$10*12,MOD(A36-A20,'Summary'!$B$11)=0),I20,0)+IF(AND(A36&gt;A21,A36&lt;=A21+'Summary'!$B$10*12,MOD(A36-A21,'Summary'!$B$11)=0),I21,0)+IF(AND(A36&gt;A22,A36&lt;=A22+'Summary'!$B$10*12,MOD(A36-A22,'Summary'!$B$11)=0),I22,0)+IF(AND(A36&gt;A23,A36&lt;=A23+'Summary'!$B$10*12,MOD(A36-A23,'Summary'!$B$11)=0),I23,0)+IF(AND(A36&gt;A24,A36&lt;=A24+'Summary'!$B$10*12,MOD(A36-A24,'Summary'!$B$11)=0),I24,0)+IF(AND(A36&gt;A25,A36&lt;=A25+'Summary'!$B$10*12,MOD(A36-A25,'Summary'!$B$11)=0),I25,0)+IF(AND(A36&gt;A26,A36&lt;=A26+'Summary'!$B$10*12,MOD(A36-A26,'Summary'!$B$11)=0),I26,0)+IF(AND(A36&gt;A27,A36&lt;=A27+'Summary'!$B$10*12,MOD(A36-A27,'Summary'!$B$11)=0),I27,0)+IF(AND(A36&gt;A28,A36&lt;=A28+'Summary'!$B$10*12,MOD(A36-A28,'Summary'!$B$11)=0),I28,0)+IF(AND(A36&gt;A29,A36&lt;=A29+'Summary'!$B$10*12,MOD(A36-A29,'Summary'!$B$11)=0),I29,0)+IF(AND(A36&gt;A30,A36&lt;=A30+'Summary'!$B$10*12,MOD(A36-A30,'Summary'!$B$11)=0),I30,0)+IF(AND(A36&gt;A31,A36&lt;=A31+'Summary'!$B$10*12,MOD(A36-A31,'Summary'!$B$11)=0),I31,0)+IF(AND(A36&gt;A32,A36&lt;=A32+'Summary'!$B$10*12,MOD(A36-A32,'Summary'!$B$11)=0),I32,0)+IF(AND(A36&gt;A33,A36&lt;=A33+'Summary'!$B$10*12,MOD(A36-A33,'Summary'!$B$11)=0),I33,0)+IF(AND(A36&gt;A34,A36&lt;=A34+'Summary'!$B$10*12,MOD(A36-A34,'Summary'!$B$11)=0),I34,0)+IF(AND(A36&gt;A35,A36&lt;=A35+'Summary'!$B$10*12,MOD(A36-A35,'Summary'!$B$11)=0),I35,0))*'Summary'!$B$8/2</x:f>
        <x:v>7.650161911232159</x:v>
      </x:c>
      <x:c r="G36" s="62" t="n">
        <x:f>IF(A36=A8+'Summary'!$B$10*12,I8,0)+IF(A36=A9+'Summary'!$B$10*12,I9,0)+IF(A36=A10+'Summary'!$B$10*12,I10,0)+IF(A36=A11+'Summary'!$B$10*12,I11,0)+IF(A36=A12+'Summary'!$B$10*12,I12,0)+IF(A36=A13+'Summary'!$B$10*12,I13,0)+IF(A36=A14+'Summary'!$B$10*12,I14,0)+IF(A36=A15+'Summary'!$B$10*12,I15,0)+IF(A36=A16+'Summary'!$B$10*12,I16,0)+IF(A36=A17+'Summary'!$B$10*12,I17,0)+IF(A36=A18+'Summary'!$B$10*12,I18,0)+IF(A36=A19+'Summary'!$B$10*12,I19,0)+IF(A36=A20+'Summary'!$B$10*12,I20,0)+IF(A36=A21+'Summary'!$B$10*12,I21,0)+IF(A36=A22+'Summary'!$B$10*12,I22,0)+IF(A36=A23+'Summary'!$B$10*12,I23,0)+IF(A36=A24+'Summary'!$B$10*12,I24,0)+IF(A36=A25+'Summary'!$B$10*12,I25,0)+IF(A36=A26+'Summary'!$B$10*12,I26,0)+IF(A36=A27+'Summary'!$B$10*12,I27,0)+IF(A36=A28+'Summary'!$B$10*12,I28,0)+IF(A36=A29+'Summary'!$B$10*12,I29,0)+IF(A36=A30+'Summary'!$B$10*12,I30,0)+IF(A36=A31+'Summary'!$B$10*12,I31,0)+IF(A36=A32+'Summary'!$B$10*12,I32,0)+IF(A36=A33+'Summary'!$B$10*12,I33,0)+IF(A36=A34+'Summary'!$B$10*12,I34,0)+IF(A36=A35+'Summary'!$B$10*12,I35,0)</x:f>
        <x:v>0</x:v>
      </x:c>
      <x:c r="H36" s="62" t="n">
        <x:f>E36+D36+F36+G36</x:f>
        <x:v>107.65016191123216</x:v>
      </x:c>
      <x:c r="I36" s="62" t="n">
        <x:f>IF(B36,IF(H36&gt;='Summary'!$B$12,H36,0),0)</x:f>
        <x:v>107.65016191123216</x:v>
      </x:c>
      <x:c r="J36" s="62" t="n">
        <x:f>H36-I36</x:f>
        <x:v>0</x:v>
      </x:c>
      <x:c r="K36" s="63" t="n">
        <x:f>J36+IF(A8+'Summary'!$B$10*12&gt;A36,I8,0)+IF(A9+'Summary'!$B$10*12&gt;A36,I9,0)+IF(A10+'Summary'!$B$10*12&gt;A36,I10,0)+IF(A11+'Summary'!$B$10*12&gt;A36,I11,0)+IF(A12+'Summary'!$B$10*12&gt;A36,I12,0)+IF(A13+'Summary'!$B$10*12&gt;A36,I13,0)+IF(A14+'Summary'!$B$10*12&gt;A36,I14,0)+IF(A15+'Summary'!$B$10*12&gt;A36,I15,0)+IF(A16+'Summary'!$B$10*12&gt;A36,I16,0)+IF(A17+'Summary'!$B$10*12&gt;A36,I17,0)+IF(A18+'Summary'!$B$10*12&gt;A36,I18,0)+IF(A19+'Summary'!$B$10*12&gt;A36,I19,0)+IF(A20+'Summary'!$B$10*12&gt;A36,I20,0)+IF(A21+'Summary'!$B$10*12&gt;A36,I21,0)+IF(A22+'Summary'!$B$10*12&gt;A36,I22,0)+IF(A23+'Summary'!$B$10*12&gt;A36,I23,0)+IF(A24+'Summary'!$B$10*12&gt;A36,I24,0)+IF(A25+'Summary'!$B$10*12&gt;A36,I25,0)+IF(A26+'Summary'!$B$10*12&gt;A36,I26,0)+IF(A27+'Summary'!$B$10*12&gt;A36,I27,0)+IF(A28+'Summary'!$B$10*12&gt;A36,I28,0)+IF(A29+'Summary'!$B$10*12&gt;A36,I29,0)+IF(A30+'Summary'!$B$10*12&gt;A36,I30,0)+IF(A31+'Summary'!$B$10*12&gt;A36,I31,0)+IF(A32+'Summary'!$B$10*12&gt;A36,I32,0)+IF(A33+'Summary'!$B$10*12&gt;A36,I33,0)+IF(A34+'Summary'!$B$10*12&gt;A36,I34,0)+IF(A35+'Summary'!$B$10*12&gt;A36,I35,0)+IF(A36+'Summary'!$B$10*12&gt;A36,I36,0)</x:f>
        <x:v>13771.061165592986</x:v>
      </x:c>
    </x:row>
    <x:row r="37">
      <x:c r="A37" s="55" t="n">
        <x:v>29</x:v>
      </x:c>
      <x:c r="B37" s="71" t="b">
        <x:f>A37&lt;='Summary'!$B$9*12</x:f>
        <x:v>1</x:v>
      </x:c>
      <x:c r="C37" s="62" t="n">
        <x:f>IF(A37=0,IF('Summary'!$B$6&gt;=5,'Summary'!$B$6,0),C36)+IF(A37&lt;'Summary'!$B$9*12,IF('Summary'!$B$7&gt;=5,'Summary'!$B$7,0),0)</x:f>
        <x:v>13000</x:v>
      </x:c>
      <x:c r="D37" s="62" t="n">
        <x:f>IF(A37=0,IF('Summary'!$B$6&gt;=5,'Summary'!$B$6,0),0)+IF(A37&lt;'Summary'!$B$9*12,IF('Summary'!$B$7&gt;=5,'Summary'!$B$7,0),0)</x:f>
        <x:v>100</x:v>
      </x:c>
      <x:c r="E37" s="62" t="n">
        <x:f>J36</x:f>
        <x:v>0</x:v>
      </x:c>
      <x:c r="F37" s="62" t="n">
        <x:f>(IF(AND(A37&gt;A8,A37&lt;=A8+'Summary'!$B$10*12,MOD(A37-A8,'Summary'!$B$11)=0),I8,0)+IF(AND(A37&gt;A9,A37&lt;=A9+'Summary'!$B$10*12,MOD(A37-A9,'Summary'!$B$11)=0),I9,0)+IF(AND(A37&gt;A10,A37&lt;=A10+'Summary'!$B$10*12,MOD(A37-A10,'Summary'!$B$11)=0),I10,0)+IF(AND(A37&gt;A11,A37&lt;=A11+'Summary'!$B$10*12,MOD(A37-A11,'Summary'!$B$11)=0),I11,0)+IF(AND(A37&gt;A12,A37&lt;=A12+'Summary'!$B$10*12,MOD(A37-A12,'Summary'!$B$11)=0),I12,0)+IF(AND(A37&gt;A13,A37&lt;=A13+'Summary'!$B$10*12,MOD(A37-A13,'Summary'!$B$11)=0),I13,0)+IF(AND(A37&gt;A14,A37&lt;=A14+'Summary'!$B$10*12,MOD(A37-A14,'Summary'!$B$11)=0),I14,0)+IF(AND(A37&gt;A15,A37&lt;=A15+'Summary'!$B$10*12,MOD(A37-A15,'Summary'!$B$11)=0),I15,0)+IF(AND(A37&gt;A16,A37&lt;=A16+'Summary'!$B$10*12,MOD(A37-A16,'Summary'!$B$11)=0),I16,0)+IF(AND(A37&gt;A17,A37&lt;=A17+'Summary'!$B$10*12,MOD(A37-A17,'Summary'!$B$11)=0),I17,0)+IF(AND(A37&gt;A18,A37&lt;=A18+'Summary'!$B$10*12,MOD(A37-A18,'Summary'!$B$11)=0),I18,0)+IF(AND(A37&gt;A19,A37&lt;=A19+'Summary'!$B$10*12,MOD(A37-A19,'Summary'!$B$11)=0),I19,0)+IF(AND(A37&gt;A20,A37&lt;=A20+'Summary'!$B$10*12,MOD(A37-A20,'Summary'!$B$11)=0),I20,0)+IF(AND(A37&gt;A21,A37&lt;=A21+'Summary'!$B$10*12,MOD(A37-A21,'Summary'!$B$11)=0),I21,0)+IF(AND(A37&gt;A22,A37&lt;=A22+'Summary'!$B$10*12,MOD(A37-A22,'Summary'!$B$11)=0),I22,0)+IF(AND(A37&gt;A23,A37&lt;=A23+'Summary'!$B$10*12,MOD(A37-A23,'Summary'!$B$11)=0),I23,0)+IF(AND(A37&gt;A24,A37&lt;=A24+'Summary'!$B$10*12,MOD(A37-A24,'Summary'!$B$11)=0),I24,0)+IF(AND(A37&gt;A25,A37&lt;=A25+'Summary'!$B$10*12,MOD(A37-A25,'Summary'!$B$11)=0),I25,0)+IF(AND(A37&gt;A26,A37&lt;=A26+'Summary'!$B$10*12,MOD(A37-A26,'Summary'!$B$11)=0),I26,0)+IF(AND(A37&gt;A27,A37&lt;=A27+'Summary'!$B$10*12,MOD(A37-A27,'Summary'!$B$11)=0),I27,0)+IF(AND(A37&gt;A28,A37&lt;=A28+'Summary'!$B$10*12,MOD(A37-A28,'Summary'!$B$11)=0),I28,0)+IF(AND(A37&gt;A29,A37&lt;=A29+'Summary'!$B$10*12,MOD(A37-A29,'Summary'!$B$11)=0),I29,0)+IF(AND(A37&gt;A30,A37&lt;=A30+'Summary'!$B$10*12,MOD(A37-A30,'Summary'!$B$11)=0),I30,0)+IF(AND(A37&gt;A31,A37&lt;=A31+'Summary'!$B$10*12,MOD(A37-A31,'Summary'!$B$11)=0),I31,0)+IF(AND(A37&gt;A32,A37&lt;=A32+'Summary'!$B$10*12,MOD(A37-A32,'Summary'!$B$11)=0),I32,0)+IF(AND(A37&gt;A33,A37&lt;=A33+'Summary'!$B$10*12,MOD(A37-A33,'Summary'!$B$11)=0),I33,0)+IF(AND(A37&gt;A34,A37&lt;=A34+'Summary'!$B$10*12,MOD(A37-A34,'Summary'!$B$11)=0),I34,0)+IF(AND(A37&gt;A35,A37&lt;=A35+'Summary'!$B$10*12,MOD(A37-A35,'Summary'!$B$11)=0),I35,0)+IF(AND(A37&gt;A36,A37&lt;=A36+'Summary'!$B$10*12,MOD(A37-A36,'Summary'!$B$11)=0),I36,0))*'Summary'!$B$8/2</x:f>
        <x:v>7.650161911232159</x:v>
      </x:c>
      <x:c r="G37" s="62" t="n">
        <x:f>IF(A37=A8+'Summary'!$B$10*12,I8,0)+IF(A37=A9+'Summary'!$B$10*12,I9,0)+IF(A37=A10+'Summary'!$B$10*12,I10,0)+IF(A37=A11+'Summary'!$B$10*12,I11,0)+IF(A37=A12+'Summary'!$B$10*12,I12,0)+IF(A37=A13+'Summary'!$B$10*12,I13,0)+IF(A37=A14+'Summary'!$B$10*12,I14,0)+IF(A37=A15+'Summary'!$B$10*12,I15,0)+IF(A37=A16+'Summary'!$B$10*12,I16,0)+IF(A37=A17+'Summary'!$B$10*12,I17,0)+IF(A37=A18+'Summary'!$B$10*12,I18,0)+IF(A37=A19+'Summary'!$B$10*12,I19,0)+IF(A37=A20+'Summary'!$B$10*12,I20,0)+IF(A37=A21+'Summary'!$B$10*12,I21,0)+IF(A37=A22+'Summary'!$B$10*12,I22,0)+IF(A37=A23+'Summary'!$B$10*12,I23,0)+IF(A37=A24+'Summary'!$B$10*12,I24,0)+IF(A37=A25+'Summary'!$B$10*12,I25,0)+IF(A37=A26+'Summary'!$B$10*12,I26,0)+IF(A37=A27+'Summary'!$B$10*12,I27,0)+IF(A37=A28+'Summary'!$B$10*12,I28,0)+IF(A37=A29+'Summary'!$B$10*12,I29,0)+IF(A37=A30+'Summary'!$B$10*12,I30,0)+IF(A37=A31+'Summary'!$B$10*12,I31,0)+IF(A37=A32+'Summary'!$B$10*12,I32,0)+IF(A37=A33+'Summary'!$B$10*12,I33,0)+IF(A37=A34+'Summary'!$B$10*12,I34,0)+IF(A37=A35+'Summary'!$B$10*12,I35,0)+IF(A37=A36+'Summary'!$B$10*12,I36,0)</x:f>
        <x:v>0</x:v>
      </x:c>
      <x:c r="H37" s="62" t="n">
        <x:f>E37+D37+F37+G37</x:f>
        <x:v>107.65016191123216</x:v>
      </x:c>
      <x:c r="I37" s="62" t="n">
        <x:f>IF(B37,IF(H37&gt;='Summary'!$B$12,H37,0),0)</x:f>
        <x:v>107.65016191123216</x:v>
      </x:c>
      <x:c r="J37" s="62" t="n">
        <x:f>H37-I37</x:f>
        <x:v>0</x:v>
      </x:c>
      <x:c r="K37" s="63" t="n">
        <x:f>J37+IF(A8+'Summary'!$B$10*12&gt;A37,I8,0)+IF(A9+'Summary'!$B$10*12&gt;A37,I9,0)+IF(A10+'Summary'!$B$10*12&gt;A37,I10,0)+IF(A11+'Summary'!$B$10*12&gt;A37,I11,0)+IF(A12+'Summary'!$B$10*12&gt;A37,I12,0)+IF(A13+'Summary'!$B$10*12&gt;A37,I13,0)+IF(A14+'Summary'!$B$10*12&gt;A37,I14,0)+IF(A15+'Summary'!$B$10*12&gt;A37,I15,0)+IF(A16+'Summary'!$B$10*12&gt;A37,I16,0)+IF(A17+'Summary'!$B$10*12&gt;A37,I17,0)+IF(A18+'Summary'!$B$10*12&gt;A37,I18,0)+IF(A19+'Summary'!$B$10*12&gt;A37,I19,0)+IF(A20+'Summary'!$B$10*12&gt;A37,I20,0)+IF(A21+'Summary'!$B$10*12&gt;A37,I21,0)+IF(A22+'Summary'!$B$10*12&gt;A37,I22,0)+IF(A23+'Summary'!$B$10*12&gt;A37,I23,0)+IF(A24+'Summary'!$B$10*12&gt;A37,I24,0)+IF(A25+'Summary'!$B$10*12&gt;A37,I25,0)+IF(A26+'Summary'!$B$10*12&gt;A37,I26,0)+IF(A27+'Summary'!$B$10*12&gt;A37,I27,0)+IF(A28+'Summary'!$B$10*12&gt;A37,I28,0)+IF(A29+'Summary'!$B$10*12&gt;A37,I29,0)+IF(A30+'Summary'!$B$10*12&gt;A37,I30,0)+IF(A31+'Summary'!$B$10*12&gt;A37,I31,0)+IF(A32+'Summary'!$B$10*12&gt;A37,I32,0)+IF(A33+'Summary'!$B$10*12&gt;A37,I33,0)+IF(A34+'Summary'!$B$10*12&gt;A37,I34,0)+IF(A35+'Summary'!$B$10*12&gt;A37,I35,0)+IF(A36+'Summary'!$B$10*12&gt;A37,I36,0)+IF(A37+'Summary'!$B$10*12&gt;A37,I37,0)</x:f>
        <x:v>13878.711327504217</x:v>
      </x:c>
    </x:row>
    <x:row r="38">
      <x:c r="A38" s="55" t="n">
        <x:v>30</x:v>
      </x:c>
      <x:c r="B38" s="71" t="b">
        <x:f>A38&lt;='Summary'!$B$9*12</x:f>
        <x:v>1</x:v>
      </x:c>
      <x:c r="C38" s="62" t="n">
        <x:f>IF(A38=0,IF('Summary'!$B$6&gt;=5,'Summary'!$B$6,0),C37)+IF(A38&lt;'Summary'!$B$9*12,IF('Summary'!$B$7&gt;=5,'Summary'!$B$7,0),0)</x:f>
        <x:v>13100</x:v>
      </x:c>
      <x:c r="D38" s="62" t="n">
        <x:f>IF(A38=0,IF('Summary'!$B$6&gt;=5,'Summary'!$B$6,0),0)+IF(A38&lt;'Summary'!$B$9*12,IF('Summary'!$B$7&gt;=5,'Summary'!$B$7,0),0)</x:f>
        <x:v>100</x:v>
      </x:c>
      <x:c r="E38" s="62" t="n">
        <x:f>J37</x:f>
        <x:v>0</x:v>
      </x:c>
      <x:c r="F38" s="62" t="n">
        <x:f>(IF(AND(A38&gt;A8,A38&lt;=A8+'Summary'!$B$10*12,MOD(A38-A8,'Summary'!$B$11)=0),I8,0)+IF(AND(A38&gt;A9,A38&lt;=A9+'Summary'!$B$10*12,MOD(A38-A9,'Summary'!$B$11)=0),I9,0)+IF(AND(A38&gt;A10,A38&lt;=A10+'Summary'!$B$10*12,MOD(A38-A10,'Summary'!$B$11)=0),I10,0)+IF(AND(A38&gt;A11,A38&lt;=A11+'Summary'!$B$10*12,MOD(A38-A11,'Summary'!$B$11)=0),I11,0)+IF(AND(A38&gt;A12,A38&lt;=A12+'Summary'!$B$10*12,MOD(A38-A12,'Summary'!$B$11)=0),I12,0)+IF(AND(A38&gt;A13,A38&lt;=A13+'Summary'!$B$10*12,MOD(A38-A13,'Summary'!$B$11)=0),I13,0)+IF(AND(A38&gt;A14,A38&lt;=A14+'Summary'!$B$10*12,MOD(A38-A14,'Summary'!$B$11)=0),I14,0)+IF(AND(A38&gt;A15,A38&lt;=A15+'Summary'!$B$10*12,MOD(A38-A15,'Summary'!$B$11)=0),I15,0)+IF(AND(A38&gt;A16,A38&lt;=A16+'Summary'!$B$10*12,MOD(A38-A16,'Summary'!$B$11)=0),I16,0)+IF(AND(A38&gt;A17,A38&lt;=A17+'Summary'!$B$10*12,MOD(A38-A17,'Summary'!$B$11)=0),I17,0)+IF(AND(A38&gt;A18,A38&lt;=A18+'Summary'!$B$10*12,MOD(A38-A18,'Summary'!$B$11)=0),I18,0)+IF(AND(A38&gt;A19,A38&lt;=A19+'Summary'!$B$10*12,MOD(A38-A19,'Summary'!$B$11)=0),I19,0)+IF(AND(A38&gt;A20,A38&lt;=A20+'Summary'!$B$10*12,MOD(A38-A20,'Summary'!$B$11)=0),I20,0)+IF(AND(A38&gt;A21,A38&lt;=A21+'Summary'!$B$10*12,MOD(A38-A21,'Summary'!$B$11)=0),I21,0)+IF(AND(A38&gt;A22,A38&lt;=A22+'Summary'!$B$10*12,MOD(A38-A22,'Summary'!$B$11)=0),I22,0)+IF(AND(A38&gt;A23,A38&lt;=A23+'Summary'!$B$10*12,MOD(A38-A23,'Summary'!$B$11)=0),I23,0)+IF(AND(A38&gt;A24,A38&lt;=A24+'Summary'!$B$10*12,MOD(A38-A24,'Summary'!$B$11)=0),I24,0)+IF(AND(A38&gt;A25,A38&lt;=A25+'Summary'!$B$10*12,MOD(A38-A25,'Summary'!$B$11)=0),I25,0)+IF(AND(A38&gt;A26,A38&lt;=A26+'Summary'!$B$10*12,MOD(A38-A26,'Summary'!$B$11)=0),I26,0)+IF(AND(A38&gt;A27,A38&lt;=A27+'Summary'!$B$10*12,MOD(A38-A27,'Summary'!$B$11)=0),I27,0)+IF(AND(A38&gt;A28,A38&lt;=A28+'Summary'!$B$10*12,MOD(A38-A28,'Summary'!$B$11)=0),I28,0)+IF(AND(A38&gt;A29,A38&lt;=A29+'Summary'!$B$10*12,MOD(A38-A29,'Summary'!$B$11)=0),I29,0)+IF(AND(A38&gt;A30,A38&lt;=A30+'Summary'!$B$10*12,MOD(A38-A30,'Summary'!$B$11)=0),I30,0)+IF(AND(A38&gt;A31,A38&lt;=A31+'Summary'!$B$10*12,MOD(A38-A31,'Summary'!$B$11)=0),I31,0)+IF(AND(A38&gt;A32,A38&lt;=A32+'Summary'!$B$10*12,MOD(A38-A32,'Summary'!$B$11)=0),I32,0)+IF(AND(A38&gt;A33,A38&lt;=A33+'Summary'!$B$10*12,MOD(A38-A33,'Summary'!$B$11)=0),I33,0)+IF(AND(A38&gt;A34,A38&lt;=A34+'Summary'!$B$10*12,MOD(A38-A34,'Summary'!$B$11)=0),I34,0)+IF(AND(A38&gt;A35,A38&lt;=A35+'Summary'!$B$10*12,MOD(A38-A35,'Summary'!$B$11)=0),I35,0)+IF(AND(A38&gt;A36,A38&lt;=A36+'Summary'!$B$10*12,MOD(A38-A36,'Summary'!$B$11)=0),I36,0)+IF(AND(A38&gt;A37,A38&lt;=A37+'Summary'!$B$10*12,MOD(A38-A37,'Summary'!$B$11)=0),I37,0))*'Summary'!$B$8/2</x:f>
        <x:v>209.88175607767292</x:v>
      </x:c>
      <x:c r="G38" s="62" t="n">
        <x:f>IF(A38=A8+'Summary'!$B$10*12,I8,0)+IF(A38=A9+'Summary'!$B$10*12,I9,0)+IF(A38=A10+'Summary'!$B$10*12,I10,0)+IF(A38=A11+'Summary'!$B$10*12,I11,0)+IF(A38=A12+'Summary'!$B$10*12,I12,0)+IF(A38=A13+'Summary'!$B$10*12,I13,0)+IF(A38=A14+'Summary'!$B$10*12,I14,0)+IF(A38=A15+'Summary'!$B$10*12,I15,0)+IF(A38=A16+'Summary'!$B$10*12,I16,0)+IF(A38=A17+'Summary'!$B$10*12,I17,0)+IF(A38=A18+'Summary'!$B$10*12,I18,0)+IF(A38=A19+'Summary'!$B$10*12,I19,0)+IF(A38=A20+'Summary'!$B$10*12,I20,0)+IF(A38=A21+'Summary'!$B$10*12,I21,0)+IF(A38=A22+'Summary'!$B$10*12,I22,0)+IF(A38=A23+'Summary'!$B$10*12,I23,0)+IF(A38=A24+'Summary'!$B$10*12,I24,0)+IF(A38=A25+'Summary'!$B$10*12,I25,0)+IF(A38=A26+'Summary'!$B$10*12,I26,0)+IF(A38=A27+'Summary'!$B$10*12,I27,0)+IF(A38=A28+'Summary'!$B$10*12,I28,0)+IF(A38=A29+'Summary'!$B$10*12,I29,0)+IF(A38=A30+'Summary'!$B$10*12,I30,0)+IF(A38=A31+'Summary'!$B$10*12,I31,0)+IF(A38=A32+'Summary'!$B$10*12,I32,0)+IF(A38=A33+'Summary'!$B$10*12,I33,0)+IF(A38=A34+'Summary'!$B$10*12,I34,0)+IF(A38=A35+'Summary'!$B$10*12,I35,0)+IF(A38=A36+'Summary'!$B$10*12,I36,0)+IF(A38=A37+'Summary'!$B$10*12,I37,0)</x:f>
        <x:v>0</x:v>
      </x:c>
      <x:c r="H38" s="62" t="n">
        <x:f>E38+D38+F38+G38</x:f>
        <x:v>309.8817560776729</x:v>
      </x:c>
      <x:c r="I38" s="62" t="n">
        <x:f>IF(B38,IF(H38&gt;='Summary'!$B$12,H38,0),0)</x:f>
        <x:v>309.8817560776729</x:v>
      </x:c>
      <x:c r="J38" s="62" t="n">
        <x:f>H38-I38</x:f>
        <x:v>0</x:v>
      </x:c>
      <x:c r="K38" s="63" t="n">
        <x:f>J38+IF(A8+'Summary'!$B$10*12&gt;A38,I8,0)+IF(A9+'Summary'!$B$10*12&gt;A38,I9,0)+IF(A10+'Summary'!$B$10*12&gt;A38,I10,0)+IF(A11+'Summary'!$B$10*12&gt;A38,I11,0)+IF(A12+'Summary'!$B$10*12&gt;A38,I12,0)+IF(A13+'Summary'!$B$10*12&gt;A38,I13,0)+IF(A14+'Summary'!$B$10*12&gt;A38,I14,0)+IF(A15+'Summary'!$B$10*12&gt;A38,I15,0)+IF(A16+'Summary'!$B$10*12&gt;A38,I16,0)+IF(A17+'Summary'!$B$10*12&gt;A38,I17,0)+IF(A18+'Summary'!$B$10*12&gt;A38,I18,0)+IF(A19+'Summary'!$B$10*12&gt;A38,I19,0)+IF(A20+'Summary'!$B$10*12&gt;A38,I20,0)+IF(A21+'Summary'!$B$10*12&gt;A38,I21,0)+IF(A22+'Summary'!$B$10*12&gt;A38,I22,0)+IF(A23+'Summary'!$B$10*12&gt;A38,I23,0)+IF(A24+'Summary'!$B$10*12&gt;A38,I24,0)+IF(A25+'Summary'!$B$10*12&gt;A38,I25,0)+IF(A26+'Summary'!$B$10*12&gt;A38,I26,0)+IF(A27+'Summary'!$B$10*12&gt;A38,I27,0)+IF(A28+'Summary'!$B$10*12&gt;A38,I28,0)+IF(A29+'Summary'!$B$10*12&gt;A38,I29,0)+IF(A30+'Summary'!$B$10*12&gt;A38,I30,0)+IF(A31+'Summary'!$B$10*12&gt;A38,I31,0)+IF(A32+'Summary'!$B$10*12&gt;A38,I32,0)+IF(A33+'Summary'!$B$10*12&gt;A38,I33,0)+IF(A34+'Summary'!$B$10*12&gt;A38,I34,0)+IF(A35+'Summary'!$B$10*12&gt;A38,I35,0)+IF(A36+'Summary'!$B$10*12&gt;A38,I36,0)+IF(A37+'Summary'!$B$10*12&gt;A38,I37,0)+IF(A38+'Summary'!$B$10*12&gt;A38,I38,0)</x:f>
        <x:v>14188.59308358189</x:v>
      </x:c>
    </x:row>
    <x:row r="39">
      <x:c r="A39" s="55" t="n">
        <x:v>31</x:v>
      </x:c>
      <x:c r="B39" s="71" t="b">
        <x:f>A39&lt;='Summary'!$B$9*12</x:f>
        <x:v>1</x:v>
      </x:c>
      <x:c r="C39" s="62" t="n">
        <x:f>IF(A39=0,IF('Summary'!$B$6&gt;=5,'Summary'!$B$6,0),C38)+IF(A39&lt;'Summary'!$B$9*12,IF('Summary'!$B$7&gt;=5,'Summary'!$B$7,0),0)</x:f>
        <x:v>13200</x:v>
      </x:c>
      <x:c r="D39" s="62" t="n">
        <x:f>IF(A39=0,IF('Summary'!$B$6&gt;=5,'Summary'!$B$6,0),0)+IF(A39&lt;'Summary'!$B$9*12,IF('Summary'!$B$7&gt;=5,'Summary'!$B$7,0),0)</x:f>
        <x:v>100</x:v>
      </x:c>
      <x:c r="E39" s="62" t="n">
        <x:f>J38</x:f>
        <x:v>0</x:v>
      </x:c>
      <x:c r="F39" s="62" t="n">
        <x:f>(IF(AND(A39&gt;A8,A39&lt;=A8+'Summary'!$B$10*12,MOD(A39-A8,'Summary'!$B$11)=0),I8,0)+IF(AND(A39&gt;A9,A39&lt;=A9+'Summary'!$B$10*12,MOD(A39-A9,'Summary'!$B$11)=0),I9,0)+IF(AND(A39&gt;A10,A39&lt;=A10+'Summary'!$B$10*12,MOD(A39-A10,'Summary'!$B$11)=0),I10,0)+IF(AND(A39&gt;A11,A39&lt;=A11+'Summary'!$B$10*12,MOD(A39-A11,'Summary'!$B$11)=0),I11,0)+IF(AND(A39&gt;A12,A39&lt;=A12+'Summary'!$B$10*12,MOD(A39-A12,'Summary'!$B$11)=0),I12,0)+IF(AND(A39&gt;A13,A39&lt;=A13+'Summary'!$B$10*12,MOD(A39-A13,'Summary'!$B$11)=0),I13,0)+IF(AND(A39&gt;A14,A39&lt;=A14+'Summary'!$B$10*12,MOD(A39-A14,'Summary'!$B$11)=0),I14,0)+IF(AND(A39&gt;A15,A39&lt;=A15+'Summary'!$B$10*12,MOD(A39-A15,'Summary'!$B$11)=0),I15,0)+IF(AND(A39&gt;A16,A39&lt;=A16+'Summary'!$B$10*12,MOD(A39-A16,'Summary'!$B$11)=0),I16,0)+IF(AND(A39&gt;A17,A39&lt;=A17+'Summary'!$B$10*12,MOD(A39-A17,'Summary'!$B$11)=0),I17,0)+IF(AND(A39&gt;A18,A39&lt;=A18+'Summary'!$B$10*12,MOD(A39-A18,'Summary'!$B$11)=0),I18,0)+IF(AND(A39&gt;A19,A39&lt;=A19+'Summary'!$B$10*12,MOD(A39-A19,'Summary'!$B$11)=0),I19,0)+IF(AND(A39&gt;A20,A39&lt;=A20+'Summary'!$B$10*12,MOD(A39-A20,'Summary'!$B$11)=0),I20,0)+IF(AND(A39&gt;A21,A39&lt;=A21+'Summary'!$B$10*12,MOD(A39-A21,'Summary'!$B$11)=0),I21,0)+IF(AND(A39&gt;A22,A39&lt;=A22+'Summary'!$B$10*12,MOD(A39-A22,'Summary'!$B$11)=0),I22,0)+IF(AND(A39&gt;A23,A39&lt;=A23+'Summary'!$B$10*12,MOD(A39-A23,'Summary'!$B$11)=0),I23,0)+IF(AND(A39&gt;A24,A39&lt;=A24+'Summary'!$B$10*12,MOD(A39-A24,'Summary'!$B$11)=0),I24,0)+IF(AND(A39&gt;A25,A39&lt;=A25+'Summary'!$B$10*12,MOD(A39-A25,'Summary'!$B$11)=0),I25,0)+IF(AND(A39&gt;A26,A39&lt;=A26+'Summary'!$B$10*12,MOD(A39-A26,'Summary'!$B$11)=0),I26,0)+IF(AND(A39&gt;A27,A39&lt;=A27+'Summary'!$B$10*12,MOD(A39-A27,'Summary'!$B$11)=0),I27,0)+IF(AND(A39&gt;A28,A39&lt;=A28+'Summary'!$B$10*12,MOD(A39-A28,'Summary'!$B$11)=0),I28,0)+IF(AND(A39&gt;A29,A39&lt;=A29+'Summary'!$B$10*12,MOD(A39-A29,'Summary'!$B$11)=0),I29,0)+IF(AND(A39&gt;A30,A39&lt;=A30+'Summary'!$B$10*12,MOD(A39-A30,'Summary'!$B$11)=0),I30,0)+IF(AND(A39&gt;A31,A39&lt;=A31+'Summary'!$B$10*12,MOD(A39-A31,'Summary'!$B$11)=0),I31,0)+IF(AND(A39&gt;A32,A39&lt;=A32+'Summary'!$B$10*12,MOD(A39-A32,'Summary'!$B$11)=0),I32,0)+IF(AND(A39&gt;A33,A39&lt;=A33+'Summary'!$B$10*12,MOD(A39-A33,'Summary'!$B$11)=0),I33,0)+IF(AND(A39&gt;A34,A39&lt;=A34+'Summary'!$B$10*12,MOD(A39-A34,'Summary'!$B$11)=0),I34,0)+IF(AND(A39&gt;A35,A39&lt;=A35+'Summary'!$B$10*12,MOD(A39-A35,'Summary'!$B$11)=0),I35,0)+IF(AND(A39&gt;A36,A39&lt;=A36+'Summary'!$B$10*12,MOD(A39-A36,'Summary'!$B$11)=0),I36,0)+IF(AND(A39&gt;A37,A39&lt;=A37+'Summary'!$B$10*12,MOD(A39-A37,'Summary'!$B$11)=0),I37,0)+IF(AND(A39&gt;A38,A39&lt;=A38+'Summary'!$B$10*12,MOD(A39-A38,'Summary'!$B$11)=0),I38,0))*'Summary'!$B$8/2</x:f>
        <x:v>9.652454922781077</x:v>
      </x:c>
      <x:c r="G39" s="62" t="n">
        <x:f>IF(A39=A8+'Summary'!$B$10*12,I8,0)+IF(A39=A9+'Summary'!$B$10*12,I9,0)+IF(A39=A10+'Summary'!$B$10*12,I10,0)+IF(A39=A11+'Summary'!$B$10*12,I11,0)+IF(A39=A12+'Summary'!$B$10*12,I12,0)+IF(A39=A13+'Summary'!$B$10*12,I13,0)+IF(A39=A14+'Summary'!$B$10*12,I14,0)+IF(A39=A15+'Summary'!$B$10*12,I15,0)+IF(A39=A16+'Summary'!$B$10*12,I16,0)+IF(A39=A17+'Summary'!$B$10*12,I17,0)+IF(A39=A18+'Summary'!$B$10*12,I18,0)+IF(A39=A19+'Summary'!$B$10*12,I19,0)+IF(A39=A20+'Summary'!$B$10*12,I20,0)+IF(A39=A21+'Summary'!$B$10*12,I21,0)+IF(A39=A22+'Summary'!$B$10*12,I22,0)+IF(A39=A23+'Summary'!$B$10*12,I23,0)+IF(A39=A24+'Summary'!$B$10*12,I24,0)+IF(A39=A25+'Summary'!$B$10*12,I25,0)+IF(A39=A26+'Summary'!$B$10*12,I26,0)+IF(A39=A27+'Summary'!$B$10*12,I27,0)+IF(A39=A28+'Summary'!$B$10*12,I28,0)+IF(A39=A29+'Summary'!$B$10*12,I29,0)+IF(A39=A30+'Summary'!$B$10*12,I30,0)+IF(A39=A31+'Summary'!$B$10*12,I31,0)+IF(A39=A32+'Summary'!$B$10*12,I32,0)+IF(A39=A33+'Summary'!$B$10*12,I33,0)+IF(A39=A34+'Summary'!$B$10*12,I34,0)+IF(A39=A35+'Summary'!$B$10*12,I35,0)+IF(A39=A36+'Summary'!$B$10*12,I36,0)+IF(A39=A37+'Summary'!$B$10*12,I37,0)+IF(A39=A38+'Summary'!$B$10*12,I38,0)</x:f>
        <x:v>0</x:v>
      </x:c>
      <x:c r="H39" s="62" t="n">
        <x:f>E39+D39+F39+G39</x:f>
        <x:v>109.65245492278108</x:v>
      </x:c>
      <x:c r="I39" s="62" t="n">
        <x:f>IF(B39,IF(H39&gt;='Summary'!$B$12,H39,0),0)</x:f>
        <x:v>109.65245492278108</x:v>
      </x:c>
      <x:c r="J39" s="62" t="n">
        <x:f>H39-I39</x:f>
        <x:v>0</x:v>
      </x:c>
      <x:c r="K39" s="63" t="n">
        <x:f>J39+IF(A8+'Summary'!$B$10*12&gt;A39,I8,0)+IF(A9+'Summary'!$B$10*12&gt;A39,I9,0)+IF(A10+'Summary'!$B$10*12&gt;A39,I10,0)+IF(A11+'Summary'!$B$10*12&gt;A39,I11,0)+IF(A12+'Summary'!$B$10*12&gt;A39,I12,0)+IF(A13+'Summary'!$B$10*12&gt;A39,I13,0)+IF(A14+'Summary'!$B$10*12&gt;A39,I14,0)+IF(A15+'Summary'!$B$10*12&gt;A39,I15,0)+IF(A16+'Summary'!$B$10*12&gt;A39,I16,0)+IF(A17+'Summary'!$B$10*12&gt;A39,I17,0)+IF(A18+'Summary'!$B$10*12&gt;A39,I18,0)+IF(A19+'Summary'!$B$10*12&gt;A39,I19,0)+IF(A20+'Summary'!$B$10*12&gt;A39,I20,0)+IF(A21+'Summary'!$B$10*12&gt;A39,I21,0)+IF(A22+'Summary'!$B$10*12&gt;A39,I22,0)+IF(A23+'Summary'!$B$10*12&gt;A39,I23,0)+IF(A24+'Summary'!$B$10*12&gt;A39,I24,0)+IF(A25+'Summary'!$B$10*12&gt;A39,I25,0)+IF(A26+'Summary'!$B$10*12&gt;A39,I26,0)+IF(A27+'Summary'!$B$10*12&gt;A39,I27,0)+IF(A28+'Summary'!$B$10*12&gt;A39,I28,0)+IF(A29+'Summary'!$B$10*12&gt;A39,I29,0)+IF(A30+'Summary'!$B$10*12&gt;A39,I30,0)+IF(A31+'Summary'!$B$10*12&gt;A39,I31,0)+IF(A32+'Summary'!$B$10*12&gt;A39,I32,0)+IF(A33+'Summary'!$B$10*12&gt;A39,I33,0)+IF(A34+'Summary'!$B$10*12&gt;A39,I34,0)+IF(A35+'Summary'!$B$10*12&gt;A39,I35,0)+IF(A36+'Summary'!$B$10*12&gt;A39,I36,0)+IF(A37+'Summary'!$B$10*12&gt;A39,I37,0)+IF(A38+'Summary'!$B$10*12&gt;A39,I38,0)+IF(A39+'Summary'!$B$10*12&gt;A39,I39,0)</x:f>
        <x:v>14298.245538504672</x:v>
      </x:c>
    </x:row>
    <x:row r="40">
      <x:c r="A40" s="55" t="n">
        <x:v>32</x:v>
      </x:c>
      <x:c r="B40" s="71" t="b">
        <x:f>A40&lt;='Summary'!$B$9*12</x:f>
        <x:v>1</x:v>
      </x:c>
      <x:c r="C40" s="62" t="n">
        <x:f>IF(A40=0,IF('Summary'!$B$6&gt;=5,'Summary'!$B$6,0),C39)+IF(A40&lt;'Summary'!$B$9*12,IF('Summary'!$B$7&gt;=5,'Summary'!$B$7,0),0)</x:f>
        <x:v>13300</x:v>
      </x:c>
      <x:c r="D40" s="62" t="n">
        <x:f>IF(A40=0,IF('Summary'!$B$6&gt;=5,'Summary'!$B$6,0),0)+IF(A40&lt;'Summary'!$B$9*12,IF('Summary'!$B$7&gt;=5,'Summary'!$B$7,0),0)</x:f>
        <x:v>100</x:v>
      </x:c>
      <x:c r="E40" s="62" t="n">
        <x:f>J39</x:f>
        <x:v>0</x:v>
      </x:c>
      <x:c r="F40" s="62" t="n">
        <x:f>(IF(AND(A40&gt;A8,A40&lt;=A8+'Summary'!$B$10*12,MOD(A40-A8,'Summary'!$B$11)=0),I8,0)+IF(AND(A40&gt;A9,A40&lt;=A9+'Summary'!$B$10*12,MOD(A40-A9,'Summary'!$B$11)=0),I9,0)+IF(AND(A40&gt;A10,A40&lt;=A10+'Summary'!$B$10*12,MOD(A40-A10,'Summary'!$B$11)=0),I10,0)+IF(AND(A40&gt;A11,A40&lt;=A11+'Summary'!$B$10*12,MOD(A40-A11,'Summary'!$B$11)=0),I11,0)+IF(AND(A40&gt;A12,A40&lt;=A12+'Summary'!$B$10*12,MOD(A40-A12,'Summary'!$B$11)=0),I12,0)+IF(AND(A40&gt;A13,A40&lt;=A13+'Summary'!$B$10*12,MOD(A40-A13,'Summary'!$B$11)=0),I13,0)+IF(AND(A40&gt;A14,A40&lt;=A14+'Summary'!$B$10*12,MOD(A40-A14,'Summary'!$B$11)=0),I14,0)+IF(AND(A40&gt;A15,A40&lt;=A15+'Summary'!$B$10*12,MOD(A40-A15,'Summary'!$B$11)=0),I15,0)+IF(AND(A40&gt;A16,A40&lt;=A16+'Summary'!$B$10*12,MOD(A40-A16,'Summary'!$B$11)=0),I16,0)+IF(AND(A40&gt;A17,A40&lt;=A17+'Summary'!$B$10*12,MOD(A40-A17,'Summary'!$B$11)=0),I17,0)+IF(AND(A40&gt;A18,A40&lt;=A18+'Summary'!$B$10*12,MOD(A40-A18,'Summary'!$B$11)=0),I18,0)+IF(AND(A40&gt;A19,A40&lt;=A19+'Summary'!$B$10*12,MOD(A40-A19,'Summary'!$B$11)=0),I19,0)+IF(AND(A40&gt;A20,A40&lt;=A20+'Summary'!$B$10*12,MOD(A40-A20,'Summary'!$B$11)=0),I20,0)+IF(AND(A40&gt;A21,A40&lt;=A21+'Summary'!$B$10*12,MOD(A40-A21,'Summary'!$B$11)=0),I21,0)+IF(AND(A40&gt;A22,A40&lt;=A22+'Summary'!$B$10*12,MOD(A40-A22,'Summary'!$B$11)=0),I22,0)+IF(AND(A40&gt;A23,A40&lt;=A23+'Summary'!$B$10*12,MOD(A40-A23,'Summary'!$B$11)=0),I23,0)+IF(AND(A40&gt;A24,A40&lt;=A24+'Summary'!$B$10*12,MOD(A40-A24,'Summary'!$B$11)=0),I24,0)+IF(AND(A40&gt;A25,A40&lt;=A25+'Summary'!$B$10*12,MOD(A40-A25,'Summary'!$B$11)=0),I25,0)+IF(AND(A40&gt;A26,A40&lt;=A26+'Summary'!$B$10*12,MOD(A40-A26,'Summary'!$B$11)=0),I26,0)+IF(AND(A40&gt;A27,A40&lt;=A27+'Summary'!$B$10*12,MOD(A40-A27,'Summary'!$B$11)=0),I27,0)+IF(AND(A40&gt;A28,A40&lt;=A28+'Summary'!$B$10*12,MOD(A40-A28,'Summary'!$B$11)=0),I28,0)+IF(AND(A40&gt;A29,A40&lt;=A29+'Summary'!$B$10*12,MOD(A40-A29,'Summary'!$B$11)=0),I29,0)+IF(AND(A40&gt;A30,A40&lt;=A30+'Summary'!$B$10*12,MOD(A40-A30,'Summary'!$B$11)=0),I30,0)+IF(AND(A40&gt;A31,A40&lt;=A31+'Summary'!$B$10*12,MOD(A40-A31,'Summary'!$B$11)=0),I31,0)+IF(AND(A40&gt;A32,A40&lt;=A32+'Summary'!$B$10*12,MOD(A40-A32,'Summary'!$B$11)=0),I32,0)+IF(AND(A40&gt;A33,A40&lt;=A33+'Summary'!$B$10*12,MOD(A40-A33,'Summary'!$B$11)=0),I33,0)+IF(AND(A40&gt;A34,A40&lt;=A34+'Summary'!$B$10*12,MOD(A40-A34,'Summary'!$B$11)=0),I34,0)+IF(AND(A40&gt;A35,A40&lt;=A35+'Summary'!$B$10*12,MOD(A40-A35,'Summary'!$B$11)=0),I35,0)+IF(AND(A40&gt;A36,A40&lt;=A36+'Summary'!$B$10*12,MOD(A40-A36,'Summary'!$B$11)=0),I36,0)+IF(AND(A40&gt;A37,A40&lt;=A37+'Summary'!$B$10*12,MOD(A40-A37,'Summary'!$B$11)=0),I37,0)+IF(AND(A40&gt;A38,A40&lt;=A38+'Summary'!$B$10*12,MOD(A40-A38,'Summary'!$B$11)=0),I38,0)+IF(AND(A40&gt;A39,A40&lt;=A39+'Summary'!$B$10*12,MOD(A40-A39,'Summary'!$B$11)=0),I39,0))*'Summary'!$B$8/2</x:f>
        <x:v>9.652454922781077</x:v>
      </x:c>
      <x:c r="G40" s="62" t="n">
        <x:f>IF(A40=A8+'Summary'!$B$10*12,I8,0)+IF(A40=A9+'Summary'!$B$10*12,I9,0)+IF(A40=A10+'Summary'!$B$10*12,I10,0)+IF(A40=A11+'Summary'!$B$10*12,I11,0)+IF(A40=A12+'Summary'!$B$10*12,I12,0)+IF(A40=A13+'Summary'!$B$10*12,I13,0)+IF(A40=A14+'Summary'!$B$10*12,I14,0)+IF(A40=A15+'Summary'!$B$10*12,I15,0)+IF(A40=A16+'Summary'!$B$10*12,I16,0)+IF(A40=A17+'Summary'!$B$10*12,I17,0)+IF(A40=A18+'Summary'!$B$10*12,I18,0)+IF(A40=A19+'Summary'!$B$10*12,I19,0)+IF(A40=A20+'Summary'!$B$10*12,I20,0)+IF(A40=A21+'Summary'!$B$10*12,I21,0)+IF(A40=A22+'Summary'!$B$10*12,I22,0)+IF(A40=A23+'Summary'!$B$10*12,I23,0)+IF(A40=A24+'Summary'!$B$10*12,I24,0)+IF(A40=A25+'Summary'!$B$10*12,I25,0)+IF(A40=A26+'Summary'!$B$10*12,I26,0)+IF(A40=A27+'Summary'!$B$10*12,I27,0)+IF(A40=A28+'Summary'!$B$10*12,I28,0)+IF(A40=A29+'Summary'!$B$10*12,I29,0)+IF(A40=A30+'Summary'!$B$10*12,I30,0)+IF(A40=A31+'Summary'!$B$10*12,I31,0)+IF(A40=A32+'Summary'!$B$10*12,I32,0)+IF(A40=A33+'Summary'!$B$10*12,I33,0)+IF(A40=A34+'Summary'!$B$10*12,I34,0)+IF(A40=A35+'Summary'!$B$10*12,I35,0)+IF(A40=A36+'Summary'!$B$10*12,I36,0)+IF(A40=A37+'Summary'!$B$10*12,I37,0)+IF(A40=A38+'Summary'!$B$10*12,I38,0)+IF(A40=A39+'Summary'!$B$10*12,I39,0)</x:f>
        <x:v>0</x:v>
      </x:c>
      <x:c r="H40" s="62" t="n">
        <x:f>E40+D40+F40+G40</x:f>
        <x:v>109.65245492278108</x:v>
      </x:c>
      <x:c r="I40" s="62" t="n">
        <x:f>IF(B40,IF(H40&gt;='Summary'!$B$12,H40,0),0)</x:f>
        <x:v>109.65245492278108</x:v>
      </x:c>
      <x:c r="J40" s="62" t="n">
        <x:f>H40-I40</x:f>
        <x:v>0</x:v>
      </x:c>
      <x:c r="K40" s="63" t="n">
        <x:f>J40+IF(A8+'Summary'!$B$10*12&gt;A40,I8,0)+IF(A9+'Summary'!$B$10*12&gt;A40,I9,0)+IF(A10+'Summary'!$B$10*12&gt;A40,I10,0)+IF(A11+'Summary'!$B$10*12&gt;A40,I11,0)+IF(A12+'Summary'!$B$10*12&gt;A40,I12,0)+IF(A13+'Summary'!$B$10*12&gt;A40,I13,0)+IF(A14+'Summary'!$B$10*12&gt;A40,I14,0)+IF(A15+'Summary'!$B$10*12&gt;A40,I15,0)+IF(A16+'Summary'!$B$10*12&gt;A40,I16,0)+IF(A17+'Summary'!$B$10*12&gt;A40,I17,0)+IF(A18+'Summary'!$B$10*12&gt;A40,I18,0)+IF(A19+'Summary'!$B$10*12&gt;A40,I19,0)+IF(A20+'Summary'!$B$10*12&gt;A40,I20,0)+IF(A21+'Summary'!$B$10*12&gt;A40,I21,0)+IF(A22+'Summary'!$B$10*12&gt;A40,I22,0)+IF(A23+'Summary'!$B$10*12&gt;A40,I23,0)+IF(A24+'Summary'!$B$10*12&gt;A40,I24,0)+IF(A25+'Summary'!$B$10*12&gt;A40,I25,0)+IF(A26+'Summary'!$B$10*12&gt;A40,I26,0)+IF(A27+'Summary'!$B$10*12&gt;A40,I27,0)+IF(A28+'Summary'!$B$10*12&gt;A40,I28,0)+IF(A29+'Summary'!$B$10*12&gt;A40,I29,0)+IF(A30+'Summary'!$B$10*12&gt;A40,I30,0)+IF(A31+'Summary'!$B$10*12&gt;A40,I31,0)+IF(A32+'Summary'!$B$10*12&gt;A40,I32,0)+IF(A33+'Summary'!$B$10*12&gt;A40,I33,0)+IF(A34+'Summary'!$B$10*12&gt;A40,I34,0)+IF(A35+'Summary'!$B$10*12&gt;A40,I35,0)+IF(A36+'Summary'!$B$10*12&gt;A40,I36,0)+IF(A37+'Summary'!$B$10*12&gt;A40,I37,0)+IF(A38+'Summary'!$B$10*12&gt;A40,I38,0)+IF(A39+'Summary'!$B$10*12&gt;A40,I39,0)+IF(A40+'Summary'!$B$10*12&gt;A40,I40,0)</x:f>
        <x:v>14407.897993427454</x:v>
      </x:c>
    </x:row>
    <x:row r="41">
      <x:c r="A41" s="55" t="n">
        <x:v>33</x:v>
      </x:c>
      <x:c r="B41" s="71" t="b">
        <x:f>A41&lt;='Summary'!$B$9*12</x:f>
        <x:v>1</x:v>
      </x:c>
      <x:c r="C41" s="62" t="n">
        <x:f>IF(A41=0,IF('Summary'!$B$6&gt;=5,'Summary'!$B$6,0),C40)+IF(A41&lt;'Summary'!$B$9*12,IF('Summary'!$B$7&gt;=5,'Summary'!$B$7,0),0)</x:f>
        <x:v>13400</x:v>
      </x:c>
      <x:c r="D41" s="62" t="n">
        <x:f>IF(A41=0,IF('Summary'!$B$6&gt;=5,'Summary'!$B$6,0),0)+IF(A41&lt;'Summary'!$B$9*12,IF('Summary'!$B$7&gt;=5,'Summary'!$B$7,0),0)</x:f>
        <x:v>100</x:v>
      </x:c>
      <x:c r="E41" s="62" t="n">
        <x:f>J40</x:f>
        <x:v>0</x:v>
      </x:c>
      <x:c r="F41" s="62" t="n">
        <x:f>(IF(AND(A41&gt;A8,A41&lt;=A8+'Summary'!$B$10*12,MOD(A41-A8,'Summary'!$B$11)=0),I8,0)+IF(AND(A41&gt;A9,A41&lt;=A9+'Summary'!$B$10*12,MOD(A41-A9,'Summary'!$B$11)=0),I9,0)+IF(AND(A41&gt;A10,A41&lt;=A10+'Summary'!$B$10*12,MOD(A41-A10,'Summary'!$B$11)=0),I10,0)+IF(AND(A41&gt;A11,A41&lt;=A11+'Summary'!$B$10*12,MOD(A41-A11,'Summary'!$B$11)=0),I11,0)+IF(AND(A41&gt;A12,A41&lt;=A12+'Summary'!$B$10*12,MOD(A41-A12,'Summary'!$B$11)=0),I12,0)+IF(AND(A41&gt;A13,A41&lt;=A13+'Summary'!$B$10*12,MOD(A41-A13,'Summary'!$B$11)=0),I13,0)+IF(AND(A41&gt;A14,A41&lt;=A14+'Summary'!$B$10*12,MOD(A41-A14,'Summary'!$B$11)=0),I14,0)+IF(AND(A41&gt;A15,A41&lt;=A15+'Summary'!$B$10*12,MOD(A41-A15,'Summary'!$B$11)=0),I15,0)+IF(AND(A41&gt;A16,A41&lt;=A16+'Summary'!$B$10*12,MOD(A41-A16,'Summary'!$B$11)=0),I16,0)+IF(AND(A41&gt;A17,A41&lt;=A17+'Summary'!$B$10*12,MOD(A41-A17,'Summary'!$B$11)=0),I17,0)+IF(AND(A41&gt;A18,A41&lt;=A18+'Summary'!$B$10*12,MOD(A41-A18,'Summary'!$B$11)=0),I18,0)+IF(AND(A41&gt;A19,A41&lt;=A19+'Summary'!$B$10*12,MOD(A41-A19,'Summary'!$B$11)=0),I19,0)+IF(AND(A41&gt;A20,A41&lt;=A20+'Summary'!$B$10*12,MOD(A41-A20,'Summary'!$B$11)=0),I20,0)+IF(AND(A41&gt;A21,A41&lt;=A21+'Summary'!$B$10*12,MOD(A41-A21,'Summary'!$B$11)=0),I21,0)+IF(AND(A41&gt;A22,A41&lt;=A22+'Summary'!$B$10*12,MOD(A41-A22,'Summary'!$B$11)=0),I22,0)+IF(AND(A41&gt;A23,A41&lt;=A23+'Summary'!$B$10*12,MOD(A41-A23,'Summary'!$B$11)=0),I23,0)+IF(AND(A41&gt;A24,A41&lt;=A24+'Summary'!$B$10*12,MOD(A41-A24,'Summary'!$B$11)=0),I24,0)+IF(AND(A41&gt;A25,A41&lt;=A25+'Summary'!$B$10*12,MOD(A41-A25,'Summary'!$B$11)=0),I25,0)+IF(AND(A41&gt;A26,A41&lt;=A26+'Summary'!$B$10*12,MOD(A41-A26,'Summary'!$B$11)=0),I26,0)+IF(AND(A41&gt;A27,A41&lt;=A27+'Summary'!$B$10*12,MOD(A41-A27,'Summary'!$B$11)=0),I27,0)+IF(AND(A41&gt;A28,A41&lt;=A28+'Summary'!$B$10*12,MOD(A41-A28,'Summary'!$B$11)=0),I28,0)+IF(AND(A41&gt;A29,A41&lt;=A29+'Summary'!$B$10*12,MOD(A41-A29,'Summary'!$B$11)=0),I29,0)+IF(AND(A41&gt;A30,A41&lt;=A30+'Summary'!$B$10*12,MOD(A41-A30,'Summary'!$B$11)=0),I30,0)+IF(AND(A41&gt;A31,A41&lt;=A31+'Summary'!$B$10*12,MOD(A41-A31,'Summary'!$B$11)=0),I31,0)+IF(AND(A41&gt;A32,A41&lt;=A32+'Summary'!$B$10*12,MOD(A41-A32,'Summary'!$B$11)=0),I32,0)+IF(AND(A41&gt;A33,A41&lt;=A33+'Summary'!$B$10*12,MOD(A41-A33,'Summary'!$B$11)=0),I33,0)+IF(AND(A41&gt;A34,A41&lt;=A34+'Summary'!$B$10*12,MOD(A41-A34,'Summary'!$B$11)=0),I34,0)+IF(AND(A41&gt;A35,A41&lt;=A35+'Summary'!$B$10*12,MOD(A41-A35,'Summary'!$B$11)=0),I35,0)+IF(AND(A41&gt;A36,A41&lt;=A36+'Summary'!$B$10*12,MOD(A41-A36,'Summary'!$B$11)=0),I36,0)+IF(AND(A41&gt;A37,A41&lt;=A37+'Summary'!$B$10*12,MOD(A41-A37,'Summary'!$B$11)=0),I37,0)+IF(AND(A41&gt;A38,A41&lt;=A38+'Summary'!$B$10*12,MOD(A41-A38,'Summary'!$B$11)=0),I38,0)+IF(AND(A41&gt;A39,A41&lt;=A39+'Summary'!$B$10*12,MOD(A41-A39,'Summary'!$B$11)=0),I39,0)+IF(AND(A41&gt;A40,A41&lt;=A40+'Summary'!$B$10*12,MOD(A41-A40,'Summary'!$B$11)=0),I40,0))*'Summary'!$B$8/2</x:f>
        <x:v>9.652454922781077</x:v>
      </x:c>
      <x:c r="G41" s="62" t="n">
        <x:f>IF(A41=A8+'Summary'!$B$10*12,I8,0)+IF(A41=A9+'Summary'!$B$10*12,I9,0)+IF(A41=A10+'Summary'!$B$10*12,I10,0)+IF(A41=A11+'Summary'!$B$10*12,I11,0)+IF(A41=A12+'Summary'!$B$10*12,I12,0)+IF(A41=A13+'Summary'!$B$10*12,I13,0)+IF(A41=A14+'Summary'!$B$10*12,I14,0)+IF(A41=A15+'Summary'!$B$10*12,I15,0)+IF(A41=A16+'Summary'!$B$10*12,I16,0)+IF(A41=A17+'Summary'!$B$10*12,I17,0)+IF(A41=A18+'Summary'!$B$10*12,I18,0)+IF(A41=A19+'Summary'!$B$10*12,I19,0)+IF(A41=A20+'Summary'!$B$10*12,I20,0)+IF(A41=A21+'Summary'!$B$10*12,I21,0)+IF(A41=A22+'Summary'!$B$10*12,I22,0)+IF(A41=A23+'Summary'!$B$10*12,I23,0)+IF(A41=A24+'Summary'!$B$10*12,I24,0)+IF(A41=A25+'Summary'!$B$10*12,I25,0)+IF(A41=A26+'Summary'!$B$10*12,I26,0)+IF(A41=A27+'Summary'!$B$10*12,I27,0)+IF(A41=A28+'Summary'!$B$10*12,I28,0)+IF(A41=A29+'Summary'!$B$10*12,I29,0)+IF(A41=A30+'Summary'!$B$10*12,I30,0)+IF(A41=A31+'Summary'!$B$10*12,I31,0)+IF(A41=A32+'Summary'!$B$10*12,I32,0)+IF(A41=A33+'Summary'!$B$10*12,I33,0)+IF(A41=A34+'Summary'!$B$10*12,I34,0)+IF(A41=A35+'Summary'!$B$10*12,I35,0)+IF(A41=A36+'Summary'!$B$10*12,I36,0)+IF(A41=A37+'Summary'!$B$10*12,I37,0)+IF(A41=A38+'Summary'!$B$10*12,I38,0)+IF(A41=A39+'Summary'!$B$10*12,I39,0)+IF(A41=A40+'Summary'!$B$10*12,I40,0)</x:f>
        <x:v>0</x:v>
      </x:c>
      <x:c r="H41" s="62" t="n">
        <x:f>E41+D41+F41+G41</x:f>
        <x:v>109.65245492278108</x:v>
      </x:c>
      <x:c r="I41" s="62" t="n">
        <x:f>IF(B41,IF(H41&gt;='Summary'!$B$12,H41,0),0)</x:f>
        <x:v>109.65245492278108</x:v>
      </x:c>
      <x:c r="J41" s="62" t="n">
        <x:f>H41-I41</x:f>
        <x:v>0</x:v>
      </x:c>
      <x:c r="K41" s="63" t="n">
        <x:f>J41+IF(A8+'Summary'!$B$10*12&gt;A41,I8,0)+IF(A9+'Summary'!$B$10*12&gt;A41,I9,0)+IF(A10+'Summary'!$B$10*12&gt;A41,I10,0)+IF(A11+'Summary'!$B$10*12&gt;A41,I11,0)+IF(A12+'Summary'!$B$10*12&gt;A41,I12,0)+IF(A13+'Summary'!$B$10*12&gt;A41,I13,0)+IF(A14+'Summary'!$B$10*12&gt;A41,I14,0)+IF(A15+'Summary'!$B$10*12&gt;A41,I15,0)+IF(A16+'Summary'!$B$10*12&gt;A41,I16,0)+IF(A17+'Summary'!$B$10*12&gt;A41,I17,0)+IF(A18+'Summary'!$B$10*12&gt;A41,I18,0)+IF(A19+'Summary'!$B$10*12&gt;A41,I19,0)+IF(A20+'Summary'!$B$10*12&gt;A41,I20,0)+IF(A21+'Summary'!$B$10*12&gt;A41,I21,0)+IF(A22+'Summary'!$B$10*12&gt;A41,I22,0)+IF(A23+'Summary'!$B$10*12&gt;A41,I23,0)+IF(A24+'Summary'!$B$10*12&gt;A41,I24,0)+IF(A25+'Summary'!$B$10*12&gt;A41,I25,0)+IF(A26+'Summary'!$B$10*12&gt;A41,I26,0)+IF(A27+'Summary'!$B$10*12&gt;A41,I27,0)+IF(A28+'Summary'!$B$10*12&gt;A41,I28,0)+IF(A29+'Summary'!$B$10*12&gt;A41,I29,0)+IF(A30+'Summary'!$B$10*12&gt;A41,I30,0)+IF(A31+'Summary'!$B$10*12&gt;A41,I31,0)+IF(A32+'Summary'!$B$10*12&gt;A41,I32,0)+IF(A33+'Summary'!$B$10*12&gt;A41,I33,0)+IF(A34+'Summary'!$B$10*12&gt;A41,I34,0)+IF(A35+'Summary'!$B$10*12&gt;A41,I35,0)+IF(A36+'Summary'!$B$10*12&gt;A41,I36,0)+IF(A37+'Summary'!$B$10*12&gt;A41,I37,0)+IF(A38+'Summary'!$B$10*12&gt;A41,I38,0)+IF(A39+'Summary'!$B$10*12&gt;A41,I39,0)+IF(A40+'Summary'!$B$10*12&gt;A41,I40,0)+IF(A41+'Summary'!$B$10*12&gt;A41,I41,0)</x:f>
        <x:v>14517.550448350235</x:v>
      </x:c>
    </x:row>
    <x:row r="42">
      <x:c r="A42" s="55" t="n">
        <x:v>34</x:v>
      </x:c>
      <x:c r="B42" s="71" t="b">
        <x:f>A42&lt;='Summary'!$B$9*12</x:f>
        <x:v>1</x:v>
      </x:c>
      <x:c r="C42" s="62" t="n">
        <x:f>IF(A42=0,IF('Summary'!$B$6&gt;=5,'Summary'!$B$6,0),C41)+IF(A42&lt;'Summary'!$B$9*12,IF('Summary'!$B$7&gt;=5,'Summary'!$B$7,0),0)</x:f>
        <x:v>13500</x:v>
      </x:c>
      <x:c r="D42" s="62" t="n">
        <x:f>IF(A42=0,IF('Summary'!$B$6&gt;=5,'Summary'!$B$6,0),0)+IF(A42&lt;'Summary'!$B$9*12,IF('Summary'!$B$7&gt;=5,'Summary'!$B$7,0),0)</x:f>
        <x:v>100</x:v>
      </x:c>
      <x:c r="E42" s="62" t="n">
        <x:f>J41</x:f>
        <x:v>0</x:v>
      </x:c>
      <x:c r="F42" s="62" t="n">
        <x:f>(IF(AND(A42&gt;A8,A42&lt;=A8+'Summary'!$B$10*12,MOD(A42-A8,'Summary'!$B$11)=0),I8,0)+IF(AND(A42&gt;A9,A42&lt;=A9+'Summary'!$B$10*12,MOD(A42-A9,'Summary'!$B$11)=0),I9,0)+IF(AND(A42&gt;A10,A42&lt;=A10+'Summary'!$B$10*12,MOD(A42-A10,'Summary'!$B$11)=0),I10,0)+IF(AND(A42&gt;A11,A42&lt;=A11+'Summary'!$B$10*12,MOD(A42-A11,'Summary'!$B$11)=0),I11,0)+IF(AND(A42&gt;A12,A42&lt;=A12+'Summary'!$B$10*12,MOD(A42-A12,'Summary'!$B$11)=0),I12,0)+IF(AND(A42&gt;A13,A42&lt;=A13+'Summary'!$B$10*12,MOD(A42-A13,'Summary'!$B$11)=0),I13,0)+IF(AND(A42&gt;A14,A42&lt;=A14+'Summary'!$B$10*12,MOD(A42-A14,'Summary'!$B$11)=0),I14,0)+IF(AND(A42&gt;A15,A42&lt;=A15+'Summary'!$B$10*12,MOD(A42-A15,'Summary'!$B$11)=0),I15,0)+IF(AND(A42&gt;A16,A42&lt;=A16+'Summary'!$B$10*12,MOD(A42-A16,'Summary'!$B$11)=0),I16,0)+IF(AND(A42&gt;A17,A42&lt;=A17+'Summary'!$B$10*12,MOD(A42-A17,'Summary'!$B$11)=0),I17,0)+IF(AND(A42&gt;A18,A42&lt;=A18+'Summary'!$B$10*12,MOD(A42-A18,'Summary'!$B$11)=0),I18,0)+IF(AND(A42&gt;A19,A42&lt;=A19+'Summary'!$B$10*12,MOD(A42-A19,'Summary'!$B$11)=0),I19,0)+IF(AND(A42&gt;A20,A42&lt;=A20+'Summary'!$B$10*12,MOD(A42-A20,'Summary'!$B$11)=0),I20,0)+IF(AND(A42&gt;A21,A42&lt;=A21+'Summary'!$B$10*12,MOD(A42-A21,'Summary'!$B$11)=0),I21,0)+IF(AND(A42&gt;A22,A42&lt;=A22+'Summary'!$B$10*12,MOD(A42-A22,'Summary'!$B$11)=0),I22,0)+IF(AND(A42&gt;A23,A42&lt;=A23+'Summary'!$B$10*12,MOD(A42-A23,'Summary'!$B$11)=0),I23,0)+IF(AND(A42&gt;A24,A42&lt;=A24+'Summary'!$B$10*12,MOD(A42-A24,'Summary'!$B$11)=0),I24,0)+IF(AND(A42&gt;A25,A42&lt;=A25+'Summary'!$B$10*12,MOD(A42-A25,'Summary'!$B$11)=0),I25,0)+IF(AND(A42&gt;A26,A42&lt;=A26+'Summary'!$B$10*12,MOD(A42-A26,'Summary'!$B$11)=0),I26,0)+IF(AND(A42&gt;A27,A42&lt;=A27+'Summary'!$B$10*12,MOD(A42-A27,'Summary'!$B$11)=0),I27,0)+IF(AND(A42&gt;A28,A42&lt;=A28+'Summary'!$B$10*12,MOD(A42-A28,'Summary'!$B$11)=0),I28,0)+IF(AND(A42&gt;A29,A42&lt;=A29+'Summary'!$B$10*12,MOD(A42-A29,'Summary'!$B$11)=0),I29,0)+IF(AND(A42&gt;A30,A42&lt;=A30+'Summary'!$B$10*12,MOD(A42-A30,'Summary'!$B$11)=0),I30,0)+IF(AND(A42&gt;A31,A42&lt;=A31+'Summary'!$B$10*12,MOD(A42-A31,'Summary'!$B$11)=0),I31,0)+IF(AND(A42&gt;A32,A42&lt;=A32+'Summary'!$B$10*12,MOD(A42-A32,'Summary'!$B$11)=0),I32,0)+IF(AND(A42&gt;A33,A42&lt;=A33+'Summary'!$B$10*12,MOD(A42-A33,'Summary'!$B$11)=0),I33,0)+IF(AND(A42&gt;A34,A42&lt;=A34+'Summary'!$B$10*12,MOD(A42-A34,'Summary'!$B$11)=0),I34,0)+IF(AND(A42&gt;A35,A42&lt;=A35+'Summary'!$B$10*12,MOD(A42-A35,'Summary'!$B$11)=0),I35,0)+IF(AND(A42&gt;A36,A42&lt;=A36+'Summary'!$B$10*12,MOD(A42-A36,'Summary'!$B$11)=0),I36,0)+IF(AND(A42&gt;A37,A42&lt;=A37+'Summary'!$B$10*12,MOD(A42-A37,'Summary'!$B$11)=0),I37,0)+IF(AND(A42&gt;A38,A42&lt;=A38+'Summary'!$B$10*12,MOD(A42-A38,'Summary'!$B$11)=0),I38,0)+IF(AND(A42&gt;A39,A42&lt;=A39+'Summary'!$B$10*12,MOD(A42-A39,'Summary'!$B$11)=0),I39,0)+IF(AND(A42&gt;A40,A42&lt;=A40+'Summary'!$B$10*12,MOD(A42-A40,'Summary'!$B$11)=0),I40,0)+IF(AND(A42&gt;A41,A42&lt;=A41+'Summary'!$B$10*12,MOD(A42-A41,'Summary'!$B$11)=0),I41,0))*'Summary'!$B$8/2</x:f>
        <x:v>9.652454922781077</x:v>
      </x:c>
      <x:c r="G42" s="62" t="n">
        <x:f>IF(A42=A8+'Summary'!$B$10*12,I8,0)+IF(A42=A9+'Summary'!$B$10*12,I9,0)+IF(A42=A10+'Summary'!$B$10*12,I10,0)+IF(A42=A11+'Summary'!$B$10*12,I11,0)+IF(A42=A12+'Summary'!$B$10*12,I12,0)+IF(A42=A13+'Summary'!$B$10*12,I13,0)+IF(A42=A14+'Summary'!$B$10*12,I14,0)+IF(A42=A15+'Summary'!$B$10*12,I15,0)+IF(A42=A16+'Summary'!$B$10*12,I16,0)+IF(A42=A17+'Summary'!$B$10*12,I17,0)+IF(A42=A18+'Summary'!$B$10*12,I18,0)+IF(A42=A19+'Summary'!$B$10*12,I19,0)+IF(A42=A20+'Summary'!$B$10*12,I20,0)+IF(A42=A21+'Summary'!$B$10*12,I21,0)+IF(A42=A22+'Summary'!$B$10*12,I22,0)+IF(A42=A23+'Summary'!$B$10*12,I23,0)+IF(A42=A24+'Summary'!$B$10*12,I24,0)+IF(A42=A25+'Summary'!$B$10*12,I25,0)+IF(A42=A26+'Summary'!$B$10*12,I26,0)+IF(A42=A27+'Summary'!$B$10*12,I27,0)+IF(A42=A28+'Summary'!$B$10*12,I28,0)+IF(A42=A29+'Summary'!$B$10*12,I29,0)+IF(A42=A30+'Summary'!$B$10*12,I30,0)+IF(A42=A31+'Summary'!$B$10*12,I31,0)+IF(A42=A32+'Summary'!$B$10*12,I32,0)+IF(A42=A33+'Summary'!$B$10*12,I33,0)+IF(A42=A34+'Summary'!$B$10*12,I34,0)+IF(A42=A35+'Summary'!$B$10*12,I35,0)+IF(A42=A36+'Summary'!$B$10*12,I36,0)+IF(A42=A37+'Summary'!$B$10*12,I37,0)+IF(A42=A38+'Summary'!$B$10*12,I38,0)+IF(A42=A39+'Summary'!$B$10*12,I39,0)+IF(A42=A40+'Summary'!$B$10*12,I40,0)+IF(A42=A41+'Summary'!$B$10*12,I41,0)</x:f>
        <x:v>0</x:v>
      </x:c>
      <x:c r="H42" s="62" t="n">
        <x:f>E42+D42+F42+G42</x:f>
        <x:v>109.65245492278108</x:v>
      </x:c>
      <x:c r="I42" s="62" t="n">
        <x:f>IF(B42,IF(H42&gt;='Summary'!$B$12,H42,0),0)</x:f>
        <x:v>109.65245492278108</x:v>
      </x:c>
      <x:c r="J42" s="62" t="n">
        <x:f>H42-I42</x:f>
        <x:v>0</x:v>
      </x:c>
      <x:c r="K42" s="63" t="n">
        <x:f>J42+IF(A8+'Summary'!$B$10*12&gt;A42,I8,0)+IF(A9+'Summary'!$B$10*12&gt;A42,I9,0)+IF(A10+'Summary'!$B$10*12&gt;A42,I10,0)+IF(A11+'Summary'!$B$10*12&gt;A42,I11,0)+IF(A12+'Summary'!$B$10*12&gt;A42,I12,0)+IF(A13+'Summary'!$B$10*12&gt;A42,I13,0)+IF(A14+'Summary'!$B$10*12&gt;A42,I14,0)+IF(A15+'Summary'!$B$10*12&gt;A42,I15,0)+IF(A16+'Summary'!$B$10*12&gt;A42,I16,0)+IF(A17+'Summary'!$B$10*12&gt;A42,I17,0)+IF(A18+'Summary'!$B$10*12&gt;A42,I18,0)+IF(A19+'Summary'!$B$10*12&gt;A42,I19,0)+IF(A20+'Summary'!$B$10*12&gt;A42,I20,0)+IF(A21+'Summary'!$B$10*12&gt;A42,I21,0)+IF(A22+'Summary'!$B$10*12&gt;A42,I22,0)+IF(A23+'Summary'!$B$10*12&gt;A42,I23,0)+IF(A24+'Summary'!$B$10*12&gt;A42,I24,0)+IF(A25+'Summary'!$B$10*12&gt;A42,I25,0)+IF(A26+'Summary'!$B$10*12&gt;A42,I26,0)+IF(A27+'Summary'!$B$10*12&gt;A42,I27,0)+IF(A28+'Summary'!$B$10*12&gt;A42,I28,0)+IF(A29+'Summary'!$B$10*12&gt;A42,I29,0)+IF(A30+'Summary'!$B$10*12&gt;A42,I30,0)+IF(A31+'Summary'!$B$10*12&gt;A42,I31,0)+IF(A32+'Summary'!$B$10*12&gt;A42,I32,0)+IF(A33+'Summary'!$B$10*12&gt;A42,I33,0)+IF(A34+'Summary'!$B$10*12&gt;A42,I34,0)+IF(A35+'Summary'!$B$10*12&gt;A42,I35,0)+IF(A36+'Summary'!$B$10*12&gt;A42,I36,0)+IF(A37+'Summary'!$B$10*12&gt;A42,I37,0)+IF(A38+'Summary'!$B$10*12&gt;A42,I38,0)+IF(A39+'Summary'!$B$10*12&gt;A42,I39,0)+IF(A40+'Summary'!$B$10*12&gt;A42,I40,0)+IF(A41+'Summary'!$B$10*12&gt;A42,I41,0)+IF(A42+'Summary'!$B$10*12&gt;A42,I42,0)</x:f>
        <x:v>14627.202903273017</x:v>
      </x:c>
    </x:row>
    <x:row r="43">
      <x:c r="A43" s="55" t="n">
        <x:v>35</x:v>
      </x:c>
      <x:c r="B43" s="71" t="b">
        <x:f>A43&lt;='Summary'!$B$9*12</x:f>
        <x:v>1</x:v>
      </x:c>
      <x:c r="C43" s="62" t="n">
        <x:f>IF(A43=0,IF('Summary'!$B$6&gt;=5,'Summary'!$B$6,0),C42)+IF(A43&lt;'Summary'!$B$9*12,IF('Summary'!$B$7&gt;=5,'Summary'!$B$7,0),0)</x:f>
        <x:v>13600</x:v>
      </x:c>
      <x:c r="D43" s="62" t="n">
        <x:f>IF(A43=0,IF('Summary'!$B$6&gt;=5,'Summary'!$B$6,0),0)+IF(A43&lt;'Summary'!$B$9*12,IF('Summary'!$B$7&gt;=5,'Summary'!$B$7,0),0)</x:f>
        <x:v>100</x:v>
      </x:c>
      <x:c r="E43" s="62" t="n">
        <x:f>J42</x:f>
        <x:v>0</x:v>
      </x:c>
      <x:c r="F43" s="62" t="n">
        <x:f>(IF(AND(A43&gt;A8,A43&lt;=A8+'Summary'!$B$10*12,MOD(A43-A8,'Summary'!$B$11)=0),I8,0)+IF(AND(A43&gt;A9,A43&lt;=A9+'Summary'!$B$10*12,MOD(A43-A9,'Summary'!$B$11)=0),I9,0)+IF(AND(A43&gt;A10,A43&lt;=A10+'Summary'!$B$10*12,MOD(A43-A10,'Summary'!$B$11)=0),I10,0)+IF(AND(A43&gt;A11,A43&lt;=A11+'Summary'!$B$10*12,MOD(A43-A11,'Summary'!$B$11)=0),I11,0)+IF(AND(A43&gt;A12,A43&lt;=A12+'Summary'!$B$10*12,MOD(A43-A12,'Summary'!$B$11)=0),I12,0)+IF(AND(A43&gt;A13,A43&lt;=A13+'Summary'!$B$10*12,MOD(A43-A13,'Summary'!$B$11)=0),I13,0)+IF(AND(A43&gt;A14,A43&lt;=A14+'Summary'!$B$10*12,MOD(A43-A14,'Summary'!$B$11)=0),I14,0)+IF(AND(A43&gt;A15,A43&lt;=A15+'Summary'!$B$10*12,MOD(A43-A15,'Summary'!$B$11)=0),I15,0)+IF(AND(A43&gt;A16,A43&lt;=A16+'Summary'!$B$10*12,MOD(A43-A16,'Summary'!$B$11)=0),I16,0)+IF(AND(A43&gt;A17,A43&lt;=A17+'Summary'!$B$10*12,MOD(A43-A17,'Summary'!$B$11)=0),I17,0)+IF(AND(A43&gt;A18,A43&lt;=A18+'Summary'!$B$10*12,MOD(A43-A18,'Summary'!$B$11)=0),I18,0)+IF(AND(A43&gt;A19,A43&lt;=A19+'Summary'!$B$10*12,MOD(A43-A19,'Summary'!$B$11)=0),I19,0)+IF(AND(A43&gt;A20,A43&lt;=A20+'Summary'!$B$10*12,MOD(A43-A20,'Summary'!$B$11)=0),I20,0)+IF(AND(A43&gt;A21,A43&lt;=A21+'Summary'!$B$10*12,MOD(A43-A21,'Summary'!$B$11)=0),I21,0)+IF(AND(A43&gt;A22,A43&lt;=A22+'Summary'!$B$10*12,MOD(A43-A22,'Summary'!$B$11)=0),I22,0)+IF(AND(A43&gt;A23,A43&lt;=A23+'Summary'!$B$10*12,MOD(A43-A23,'Summary'!$B$11)=0),I23,0)+IF(AND(A43&gt;A24,A43&lt;=A24+'Summary'!$B$10*12,MOD(A43-A24,'Summary'!$B$11)=0),I24,0)+IF(AND(A43&gt;A25,A43&lt;=A25+'Summary'!$B$10*12,MOD(A43-A25,'Summary'!$B$11)=0),I25,0)+IF(AND(A43&gt;A26,A43&lt;=A26+'Summary'!$B$10*12,MOD(A43-A26,'Summary'!$B$11)=0),I26,0)+IF(AND(A43&gt;A27,A43&lt;=A27+'Summary'!$B$10*12,MOD(A43-A27,'Summary'!$B$11)=0),I27,0)+IF(AND(A43&gt;A28,A43&lt;=A28+'Summary'!$B$10*12,MOD(A43-A28,'Summary'!$B$11)=0),I28,0)+IF(AND(A43&gt;A29,A43&lt;=A29+'Summary'!$B$10*12,MOD(A43-A29,'Summary'!$B$11)=0),I29,0)+IF(AND(A43&gt;A30,A43&lt;=A30+'Summary'!$B$10*12,MOD(A43-A30,'Summary'!$B$11)=0),I30,0)+IF(AND(A43&gt;A31,A43&lt;=A31+'Summary'!$B$10*12,MOD(A43-A31,'Summary'!$B$11)=0),I31,0)+IF(AND(A43&gt;A32,A43&lt;=A32+'Summary'!$B$10*12,MOD(A43-A32,'Summary'!$B$11)=0),I32,0)+IF(AND(A43&gt;A33,A43&lt;=A33+'Summary'!$B$10*12,MOD(A43-A33,'Summary'!$B$11)=0),I33,0)+IF(AND(A43&gt;A34,A43&lt;=A34+'Summary'!$B$10*12,MOD(A43-A34,'Summary'!$B$11)=0),I34,0)+IF(AND(A43&gt;A35,A43&lt;=A35+'Summary'!$B$10*12,MOD(A43-A35,'Summary'!$B$11)=0),I35,0)+IF(AND(A43&gt;A36,A43&lt;=A36+'Summary'!$B$10*12,MOD(A43-A36,'Summary'!$B$11)=0),I36,0)+IF(AND(A43&gt;A37,A43&lt;=A37+'Summary'!$B$10*12,MOD(A43-A37,'Summary'!$B$11)=0),I37,0)+IF(AND(A43&gt;A38,A43&lt;=A38+'Summary'!$B$10*12,MOD(A43-A38,'Summary'!$B$11)=0),I38,0)+IF(AND(A43&gt;A39,A43&lt;=A39+'Summary'!$B$10*12,MOD(A43-A39,'Summary'!$B$11)=0),I39,0)+IF(AND(A43&gt;A40,A43&lt;=A40+'Summary'!$B$10*12,MOD(A43-A40,'Summary'!$B$11)=0),I40,0)+IF(AND(A43&gt;A41,A43&lt;=A41+'Summary'!$B$10*12,MOD(A43-A41,'Summary'!$B$11)=0),I41,0)+IF(AND(A43&gt;A42,A43&lt;=A42+'Summary'!$B$10*12,MOD(A43-A42,'Summary'!$B$11)=0),I42,0))*'Summary'!$B$8/2</x:f>
        <x:v>9.652454922781077</x:v>
      </x:c>
      <x:c r="G43" s="62" t="n">
        <x:f>IF(A43=A8+'Summary'!$B$10*12,I8,0)+IF(A43=A9+'Summary'!$B$10*12,I9,0)+IF(A43=A10+'Summary'!$B$10*12,I10,0)+IF(A43=A11+'Summary'!$B$10*12,I11,0)+IF(A43=A12+'Summary'!$B$10*12,I12,0)+IF(A43=A13+'Summary'!$B$10*12,I13,0)+IF(A43=A14+'Summary'!$B$10*12,I14,0)+IF(A43=A15+'Summary'!$B$10*12,I15,0)+IF(A43=A16+'Summary'!$B$10*12,I16,0)+IF(A43=A17+'Summary'!$B$10*12,I17,0)+IF(A43=A18+'Summary'!$B$10*12,I18,0)+IF(A43=A19+'Summary'!$B$10*12,I19,0)+IF(A43=A20+'Summary'!$B$10*12,I20,0)+IF(A43=A21+'Summary'!$B$10*12,I21,0)+IF(A43=A22+'Summary'!$B$10*12,I22,0)+IF(A43=A23+'Summary'!$B$10*12,I23,0)+IF(A43=A24+'Summary'!$B$10*12,I24,0)+IF(A43=A25+'Summary'!$B$10*12,I25,0)+IF(A43=A26+'Summary'!$B$10*12,I26,0)+IF(A43=A27+'Summary'!$B$10*12,I27,0)+IF(A43=A28+'Summary'!$B$10*12,I28,0)+IF(A43=A29+'Summary'!$B$10*12,I29,0)+IF(A43=A30+'Summary'!$B$10*12,I30,0)+IF(A43=A31+'Summary'!$B$10*12,I31,0)+IF(A43=A32+'Summary'!$B$10*12,I32,0)+IF(A43=A33+'Summary'!$B$10*12,I33,0)+IF(A43=A34+'Summary'!$B$10*12,I34,0)+IF(A43=A35+'Summary'!$B$10*12,I35,0)+IF(A43=A36+'Summary'!$B$10*12,I36,0)+IF(A43=A37+'Summary'!$B$10*12,I37,0)+IF(A43=A38+'Summary'!$B$10*12,I38,0)+IF(A43=A39+'Summary'!$B$10*12,I39,0)+IF(A43=A40+'Summary'!$B$10*12,I40,0)+IF(A43=A41+'Summary'!$B$10*12,I41,0)+IF(A43=A42+'Summary'!$B$10*12,I42,0)</x:f>
        <x:v>0</x:v>
      </x:c>
      <x:c r="H43" s="62" t="n">
        <x:f>E43+D43+F43+G43</x:f>
        <x:v>109.65245492278108</x:v>
      </x:c>
      <x:c r="I43" s="62" t="n">
        <x:f>IF(B43,IF(H43&gt;='Summary'!$B$12,H43,0),0)</x:f>
        <x:v>109.65245492278108</x:v>
      </x:c>
      <x:c r="J43" s="62" t="n">
        <x:f>H43-I43</x:f>
        <x:v>0</x:v>
      </x:c>
      <x:c r="K43" s="63" t="n">
        <x:f>J43+IF(A8+'Summary'!$B$10*12&gt;A43,I8,0)+IF(A9+'Summary'!$B$10*12&gt;A43,I9,0)+IF(A10+'Summary'!$B$10*12&gt;A43,I10,0)+IF(A11+'Summary'!$B$10*12&gt;A43,I11,0)+IF(A12+'Summary'!$B$10*12&gt;A43,I12,0)+IF(A13+'Summary'!$B$10*12&gt;A43,I13,0)+IF(A14+'Summary'!$B$10*12&gt;A43,I14,0)+IF(A15+'Summary'!$B$10*12&gt;A43,I15,0)+IF(A16+'Summary'!$B$10*12&gt;A43,I16,0)+IF(A17+'Summary'!$B$10*12&gt;A43,I17,0)+IF(A18+'Summary'!$B$10*12&gt;A43,I18,0)+IF(A19+'Summary'!$B$10*12&gt;A43,I19,0)+IF(A20+'Summary'!$B$10*12&gt;A43,I20,0)+IF(A21+'Summary'!$B$10*12&gt;A43,I21,0)+IF(A22+'Summary'!$B$10*12&gt;A43,I22,0)+IF(A23+'Summary'!$B$10*12&gt;A43,I23,0)+IF(A24+'Summary'!$B$10*12&gt;A43,I24,0)+IF(A25+'Summary'!$B$10*12&gt;A43,I25,0)+IF(A26+'Summary'!$B$10*12&gt;A43,I26,0)+IF(A27+'Summary'!$B$10*12&gt;A43,I27,0)+IF(A28+'Summary'!$B$10*12&gt;A43,I28,0)+IF(A29+'Summary'!$B$10*12&gt;A43,I29,0)+IF(A30+'Summary'!$B$10*12&gt;A43,I30,0)+IF(A31+'Summary'!$B$10*12&gt;A43,I31,0)+IF(A32+'Summary'!$B$10*12&gt;A43,I32,0)+IF(A33+'Summary'!$B$10*12&gt;A43,I33,0)+IF(A34+'Summary'!$B$10*12&gt;A43,I34,0)+IF(A35+'Summary'!$B$10*12&gt;A43,I35,0)+IF(A36+'Summary'!$B$10*12&gt;A43,I36,0)+IF(A37+'Summary'!$B$10*12&gt;A43,I37,0)+IF(A38+'Summary'!$B$10*12&gt;A43,I38,0)+IF(A39+'Summary'!$B$10*12&gt;A43,I39,0)+IF(A40+'Summary'!$B$10*12&gt;A43,I40,0)+IF(A41+'Summary'!$B$10*12&gt;A43,I41,0)+IF(A42+'Summary'!$B$10*12&gt;A43,I42,0)+IF(A43+'Summary'!$B$10*12&gt;A43,I43,0)</x:f>
        <x:v>14736.855358195799</x:v>
      </x:c>
    </x:row>
    <x:row r="44">
      <x:c r="A44" s="55" t="n">
        <x:v>36</x:v>
      </x:c>
      <x:c r="B44" s="71" t="b">
        <x:f>A44&lt;='Summary'!$B$9*12</x:f>
        <x:v>1</x:v>
      </x:c>
      <x:c r="C44" s="62" t="n">
        <x:f>IF(A44=0,IF('Summary'!$B$6&gt;=5,'Summary'!$B$6,0),C43)+IF(A44&lt;'Summary'!$B$9*12,IF('Summary'!$B$7&gt;=5,'Summary'!$B$7,0),0)</x:f>
        <x:v>13700</x:v>
      </x:c>
      <x:c r="D44" s="62" t="n">
        <x:f>IF(A44=0,IF('Summary'!$B$6&gt;=5,'Summary'!$B$6,0),0)+IF(A44&lt;'Summary'!$B$9*12,IF('Summary'!$B$7&gt;=5,'Summary'!$B$7,0),0)</x:f>
        <x:v>100</x:v>
      </x:c>
      <x:c r="E44" s="62" t="n">
        <x:f>J43</x:f>
        <x:v>0</x:v>
      </x:c>
      <x:c r="F44" s="62" t="n">
        <x:f>(IF(AND(A44&gt;A8,A44&lt;=A8+'Summary'!$B$10*12,MOD(A44-A8,'Summary'!$B$11)=0),I8,0)+IF(AND(A44&gt;A9,A44&lt;=A9+'Summary'!$B$10*12,MOD(A44-A9,'Summary'!$B$11)=0),I9,0)+IF(AND(A44&gt;A10,A44&lt;=A10+'Summary'!$B$10*12,MOD(A44-A10,'Summary'!$B$11)=0),I10,0)+IF(AND(A44&gt;A11,A44&lt;=A11+'Summary'!$B$10*12,MOD(A44-A11,'Summary'!$B$11)=0),I11,0)+IF(AND(A44&gt;A12,A44&lt;=A12+'Summary'!$B$10*12,MOD(A44-A12,'Summary'!$B$11)=0),I12,0)+IF(AND(A44&gt;A13,A44&lt;=A13+'Summary'!$B$10*12,MOD(A44-A13,'Summary'!$B$11)=0),I13,0)+IF(AND(A44&gt;A14,A44&lt;=A14+'Summary'!$B$10*12,MOD(A44-A14,'Summary'!$B$11)=0),I14,0)+IF(AND(A44&gt;A15,A44&lt;=A15+'Summary'!$B$10*12,MOD(A44-A15,'Summary'!$B$11)=0),I15,0)+IF(AND(A44&gt;A16,A44&lt;=A16+'Summary'!$B$10*12,MOD(A44-A16,'Summary'!$B$11)=0),I16,0)+IF(AND(A44&gt;A17,A44&lt;=A17+'Summary'!$B$10*12,MOD(A44-A17,'Summary'!$B$11)=0),I17,0)+IF(AND(A44&gt;A18,A44&lt;=A18+'Summary'!$B$10*12,MOD(A44-A18,'Summary'!$B$11)=0),I18,0)+IF(AND(A44&gt;A19,A44&lt;=A19+'Summary'!$B$10*12,MOD(A44-A19,'Summary'!$B$11)=0),I19,0)+IF(AND(A44&gt;A20,A44&lt;=A20+'Summary'!$B$10*12,MOD(A44-A20,'Summary'!$B$11)=0),I20,0)+IF(AND(A44&gt;A21,A44&lt;=A21+'Summary'!$B$10*12,MOD(A44-A21,'Summary'!$B$11)=0),I21,0)+IF(AND(A44&gt;A22,A44&lt;=A22+'Summary'!$B$10*12,MOD(A44-A22,'Summary'!$B$11)=0),I22,0)+IF(AND(A44&gt;A23,A44&lt;=A23+'Summary'!$B$10*12,MOD(A44-A23,'Summary'!$B$11)=0),I23,0)+IF(AND(A44&gt;A24,A44&lt;=A24+'Summary'!$B$10*12,MOD(A44-A24,'Summary'!$B$11)=0),I24,0)+IF(AND(A44&gt;A25,A44&lt;=A25+'Summary'!$B$10*12,MOD(A44-A25,'Summary'!$B$11)=0),I25,0)+IF(AND(A44&gt;A26,A44&lt;=A26+'Summary'!$B$10*12,MOD(A44-A26,'Summary'!$B$11)=0),I26,0)+IF(AND(A44&gt;A27,A44&lt;=A27+'Summary'!$B$10*12,MOD(A44-A27,'Summary'!$B$11)=0),I27,0)+IF(AND(A44&gt;A28,A44&lt;=A28+'Summary'!$B$10*12,MOD(A44-A28,'Summary'!$B$11)=0),I28,0)+IF(AND(A44&gt;A29,A44&lt;=A29+'Summary'!$B$10*12,MOD(A44-A29,'Summary'!$B$11)=0),I29,0)+IF(AND(A44&gt;A30,A44&lt;=A30+'Summary'!$B$10*12,MOD(A44-A30,'Summary'!$B$11)=0),I30,0)+IF(AND(A44&gt;A31,A44&lt;=A31+'Summary'!$B$10*12,MOD(A44-A31,'Summary'!$B$11)=0),I31,0)+IF(AND(A44&gt;A32,A44&lt;=A32+'Summary'!$B$10*12,MOD(A44-A32,'Summary'!$B$11)=0),I32,0)+IF(AND(A44&gt;A33,A44&lt;=A33+'Summary'!$B$10*12,MOD(A44-A33,'Summary'!$B$11)=0),I33,0)+IF(AND(A44&gt;A34,A44&lt;=A34+'Summary'!$B$10*12,MOD(A44-A34,'Summary'!$B$11)=0),I34,0)+IF(AND(A44&gt;A35,A44&lt;=A35+'Summary'!$B$10*12,MOD(A44-A35,'Summary'!$B$11)=0),I35,0)+IF(AND(A44&gt;A36,A44&lt;=A36+'Summary'!$B$10*12,MOD(A44-A36,'Summary'!$B$11)=0),I36,0)+IF(AND(A44&gt;A37,A44&lt;=A37+'Summary'!$B$10*12,MOD(A44-A37,'Summary'!$B$11)=0),I37,0)+IF(AND(A44&gt;A38,A44&lt;=A38+'Summary'!$B$10*12,MOD(A44-A38,'Summary'!$B$11)=0),I38,0)+IF(AND(A44&gt;A39,A44&lt;=A39+'Summary'!$B$10*12,MOD(A44-A39,'Summary'!$B$11)=0),I39,0)+IF(AND(A44&gt;A40,A44&lt;=A40+'Summary'!$B$10*12,MOD(A44-A40,'Summary'!$B$11)=0),I40,0)+IF(AND(A44&gt;A41,A44&lt;=A41+'Summary'!$B$10*12,MOD(A44-A41,'Summary'!$B$11)=0),I41,0)+IF(AND(A44&gt;A42,A44&lt;=A42+'Summary'!$B$10*12,MOD(A44-A42,'Summary'!$B$11)=0),I42,0)+IF(AND(A44&gt;A43,A44&lt;=A43+'Summary'!$B$10*12,MOD(A44-A43,'Summary'!$B$11)=0),I43,0))*'Summary'!$B$8/2</x:f>
        <x:v>215.64555674071764</x:v>
      </x:c>
      <x:c r="G44" s="62" t="n">
        <x:f>IF(A44=A8+'Summary'!$B$10*12,I8,0)+IF(A44=A9+'Summary'!$B$10*12,I9,0)+IF(A44=A10+'Summary'!$B$10*12,I10,0)+IF(A44=A11+'Summary'!$B$10*12,I11,0)+IF(A44=A12+'Summary'!$B$10*12,I12,0)+IF(A44=A13+'Summary'!$B$10*12,I13,0)+IF(A44=A14+'Summary'!$B$10*12,I14,0)+IF(A44=A15+'Summary'!$B$10*12,I15,0)+IF(A44=A16+'Summary'!$B$10*12,I16,0)+IF(A44=A17+'Summary'!$B$10*12,I17,0)+IF(A44=A18+'Summary'!$B$10*12,I18,0)+IF(A44=A19+'Summary'!$B$10*12,I19,0)+IF(A44=A20+'Summary'!$B$10*12,I20,0)+IF(A44=A21+'Summary'!$B$10*12,I21,0)+IF(A44=A22+'Summary'!$B$10*12,I22,0)+IF(A44=A23+'Summary'!$B$10*12,I23,0)+IF(A44=A24+'Summary'!$B$10*12,I24,0)+IF(A44=A25+'Summary'!$B$10*12,I25,0)+IF(A44=A26+'Summary'!$B$10*12,I26,0)+IF(A44=A27+'Summary'!$B$10*12,I27,0)+IF(A44=A28+'Summary'!$B$10*12,I28,0)+IF(A44=A29+'Summary'!$B$10*12,I29,0)+IF(A44=A30+'Summary'!$B$10*12,I30,0)+IF(A44=A31+'Summary'!$B$10*12,I31,0)+IF(A44=A32+'Summary'!$B$10*12,I32,0)+IF(A44=A33+'Summary'!$B$10*12,I33,0)+IF(A44=A34+'Summary'!$B$10*12,I34,0)+IF(A44=A35+'Summary'!$B$10*12,I35,0)+IF(A44=A36+'Summary'!$B$10*12,I36,0)+IF(A44=A37+'Summary'!$B$10*12,I37,0)+IF(A44=A38+'Summary'!$B$10*12,I38,0)+IF(A44=A39+'Summary'!$B$10*12,I39,0)+IF(A44=A40+'Summary'!$B$10*12,I40,0)+IF(A44=A41+'Summary'!$B$10*12,I41,0)+IF(A44=A42+'Summary'!$B$10*12,I42,0)+IF(A44=A43+'Summary'!$B$10*12,I43,0)</x:f>
        <x:v>0</x:v>
      </x:c>
      <x:c r="H44" s="62" t="n">
        <x:f>E44+D44+F44+G44</x:f>
        <x:v>315.64555674071767</x:v>
      </x:c>
      <x:c r="I44" s="62" t="n">
        <x:f>IF(B44,IF(H44&gt;='Summary'!$B$12,H44,0),0)</x:f>
        <x:v>315.64555674071767</x:v>
      </x:c>
      <x:c r="J44" s="62" t="n">
        <x:f>H44-I44</x:f>
        <x:v>0</x:v>
      </x:c>
      <x:c r="K44" s="63" t="n">
        <x:f>J44+IF(A8+'Summary'!$B$10*12&gt;A44,I8,0)+IF(A9+'Summary'!$B$10*12&gt;A44,I9,0)+IF(A10+'Summary'!$B$10*12&gt;A44,I10,0)+IF(A11+'Summary'!$B$10*12&gt;A44,I11,0)+IF(A12+'Summary'!$B$10*12&gt;A44,I12,0)+IF(A13+'Summary'!$B$10*12&gt;A44,I13,0)+IF(A14+'Summary'!$B$10*12&gt;A44,I14,0)+IF(A15+'Summary'!$B$10*12&gt;A44,I15,0)+IF(A16+'Summary'!$B$10*12&gt;A44,I16,0)+IF(A17+'Summary'!$B$10*12&gt;A44,I17,0)+IF(A18+'Summary'!$B$10*12&gt;A44,I18,0)+IF(A19+'Summary'!$B$10*12&gt;A44,I19,0)+IF(A20+'Summary'!$B$10*12&gt;A44,I20,0)+IF(A21+'Summary'!$B$10*12&gt;A44,I21,0)+IF(A22+'Summary'!$B$10*12&gt;A44,I22,0)+IF(A23+'Summary'!$B$10*12&gt;A44,I23,0)+IF(A24+'Summary'!$B$10*12&gt;A44,I24,0)+IF(A25+'Summary'!$B$10*12&gt;A44,I25,0)+IF(A26+'Summary'!$B$10*12&gt;A44,I26,0)+IF(A27+'Summary'!$B$10*12&gt;A44,I27,0)+IF(A28+'Summary'!$B$10*12&gt;A44,I28,0)+IF(A29+'Summary'!$B$10*12&gt;A44,I29,0)+IF(A30+'Summary'!$B$10*12&gt;A44,I30,0)+IF(A31+'Summary'!$B$10*12&gt;A44,I31,0)+IF(A32+'Summary'!$B$10*12&gt;A44,I32,0)+IF(A33+'Summary'!$B$10*12&gt;A44,I33,0)+IF(A34+'Summary'!$B$10*12&gt;A44,I34,0)+IF(A35+'Summary'!$B$10*12&gt;A44,I35,0)+IF(A36+'Summary'!$B$10*12&gt;A44,I36,0)+IF(A37+'Summary'!$B$10*12&gt;A44,I37,0)+IF(A38+'Summary'!$B$10*12&gt;A44,I38,0)+IF(A39+'Summary'!$B$10*12&gt;A44,I39,0)+IF(A40+'Summary'!$B$10*12&gt;A44,I40,0)+IF(A41+'Summary'!$B$10*12&gt;A44,I41,0)+IF(A42+'Summary'!$B$10*12&gt;A44,I42,0)+IF(A43+'Summary'!$B$10*12&gt;A44,I43,0)+IF(A44+'Summary'!$B$10*12&gt;A44,I44,0)</x:f>
        <x:v>15052.500914936516</x:v>
      </x:c>
    </x:row>
    <x:row r="45">
      <x:c r="A45" s="55" t="n">
        <x:v>37</x:v>
      </x:c>
      <x:c r="B45" s="71" t="b">
        <x:f>A45&lt;='Summary'!$B$9*12</x:f>
        <x:v>1</x:v>
      </x:c>
      <x:c r="C45" s="62" t="n">
        <x:f>IF(A45=0,IF('Summary'!$B$6&gt;=5,'Summary'!$B$6,0),C44)+IF(A45&lt;'Summary'!$B$9*12,IF('Summary'!$B$7&gt;=5,'Summary'!$B$7,0),0)</x:f>
        <x:v>13800</x:v>
      </x:c>
      <x:c r="D45" s="62" t="n">
        <x:f>IF(A45=0,IF('Summary'!$B$6&gt;=5,'Summary'!$B$6,0),0)+IF(A45&lt;'Summary'!$B$9*12,IF('Summary'!$B$7&gt;=5,'Summary'!$B$7,0),0)</x:f>
        <x:v>100</x:v>
      </x:c>
      <x:c r="E45" s="62" t="n">
        <x:f>J44</x:f>
        <x:v>0</x:v>
      </x:c>
      <x:c r="F45" s="62" t="n">
        <x:f>(IF(AND(A45&gt;A8,A45&lt;=A8+'Summary'!$B$10*12,MOD(A45-A8,'Summary'!$B$11)=0),I8,0)+IF(AND(A45&gt;A9,A45&lt;=A9+'Summary'!$B$10*12,MOD(A45-A9,'Summary'!$B$11)=0),I9,0)+IF(AND(A45&gt;A10,A45&lt;=A10+'Summary'!$B$10*12,MOD(A45-A10,'Summary'!$B$11)=0),I10,0)+IF(AND(A45&gt;A11,A45&lt;=A11+'Summary'!$B$10*12,MOD(A45-A11,'Summary'!$B$11)=0),I11,0)+IF(AND(A45&gt;A12,A45&lt;=A12+'Summary'!$B$10*12,MOD(A45-A12,'Summary'!$B$11)=0),I12,0)+IF(AND(A45&gt;A13,A45&lt;=A13+'Summary'!$B$10*12,MOD(A45-A13,'Summary'!$B$11)=0),I13,0)+IF(AND(A45&gt;A14,A45&lt;=A14+'Summary'!$B$10*12,MOD(A45-A14,'Summary'!$B$11)=0),I14,0)+IF(AND(A45&gt;A15,A45&lt;=A15+'Summary'!$B$10*12,MOD(A45-A15,'Summary'!$B$11)=0),I15,0)+IF(AND(A45&gt;A16,A45&lt;=A16+'Summary'!$B$10*12,MOD(A45-A16,'Summary'!$B$11)=0),I16,0)+IF(AND(A45&gt;A17,A45&lt;=A17+'Summary'!$B$10*12,MOD(A45-A17,'Summary'!$B$11)=0),I17,0)+IF(AND(A45&gt;A18,A45&lt;=A18+'Summary'!$B$10*12,MOD(A45-A18,'Summary'!$B$11)=0),I18,0)+IF(AND(A45&gt;A19,A45&lt;=A19+'Summary'!$B$10*12,MOD(A45-A19,'Summary'!$B$11)=0),I19,0)+IF(AND(A45&gt;A20,A45&lt;=A20+'Summary'!$B$10*12,MOD(A45-A20,'Summary'!$B$11)=0),I20,0)+IF(AND(A45&gt;A21,A45&lt;=A21+'Summary'!$B$10*12,MOD(A45-A21,'Summary'!$B$11)=0),I21,0)+IF(AND(A45&gt;A22,A45&lt;=A22+'Summary'!$B$10*12,MOD(A45-A22,'Summary'!$B$11)=0),I22,0)+IF(AND(A45&gt;A23,A45&lt;=A23+'Summary'!$B$10*12,MOD(A45-A23,'Summary'!$B$11)=0),I23,0)+IF(AND(A45&gt;A24,A45&lt;=A24+'Summary'!$B$10*12,MOD(A45-A24,'Summary'!$B$11)=0),I24,0)+IF(AND(A45&gt;A25,A45&lt;=A25+'Summary'!$B$10*12,MOD(A45-A25,'Summary'!$B$11)=0),I25,0)+IF(AND(A45&gt;A26,A45&lt;=A26+'Summary'!$B$10*12,MOD(A45-A26,'Summary'!$B$11)=0),I26,0)+IF(AND(A45&gt;A27,A45&lt;=A27+'Summary'!$B$10*12,MOD(A45-A27,'Summary'!$B$11)=0),I27,0)+IF(AND(A45&gt;A28,A45&lt;=A28+'Summary'!$B$10*12,MOD(A45-A28,'Summary'!$B$11)=0),I28,0)+IF(AND(A45&gt;A29,A45&lt;=A29+'Summary'!$B$10*12,MOD(A45-A29,'Summary'!$B$11)=0),I29,0)+IF(AND(A45&gt;A30,A45&lt;=A30+'Summary'!$B$10*12,MOD(A45-A30,'Summary'!$B$11)=0),I30,0)+IF(AND(A45&gt;A31,A45&lt;=A31+'Summary'!$B$10*12,MOD(A45-A31,'Summary'!$B$11)=0),I31,0)+IF(AND(A45&gt;A32,A45&lt;=A32+'Summary'!$B$10*12,MOD(A45-A32,'Summary'!$B$11)=0),I32,0)+IF(AND(A45&gt;A33,A45&lt;=A33+'Summary'!$B$10*12,MOD(A45-A33,'Summary'!$B$11)=0),I33,0)+IF(AND(A45&gt;A34,A45&lt;=A34+'Summary'!$B$10*12,MOD(A45-A34,'Summary'!$B$11)=0),I34,0)+IF(AND(A45&gt;A35,A45&lt;=A35+'Summary'!$B$10*12,MOD(A45-A35,'Summary'!$B$11)=0),I35,0)+IF(AND(A45&gt;A36,A45&lt;=A36+'Summary'!$B$10*12,MOD(A45-A36,'Summary'!$B$11)=0),I36,0)+IF(AND(A45&gt;A37,A45&lt;=A37+'Summary'!$B$10*12,MOD(A45-A37,'Summary'!$B$11)=0),I37,0)+IF(AND(A45&gt;A38,A45&lt;=A38+'Summary'!$B$10*12,MOD(A45-A38,'Summary'!$B$11)=0),I38,0)+IF(AND(A45&gt;A39,A45&lt;=A39+'Summary'!$B$10*12,MOD(A45-A39,'Summary'!$B$11)=0),I39,0)+IF(AND(A45&gt;A40,A45&lt;=A40+'Summary'!$B$10*12,MOD(A45-A40,'Summary'!$B$11)=0),I40,0)+IF(AND(A45&gt;A41,A45&lt;=A41+'Summary'!$B$10*12,MOD(A45-A41,'Summary'!$B$11)=0),I41,0)+IF(AND(A45&gt;A42,A45&lt;=A42+'Summary'!$B$10*12,MOD(A45-A42,'Summary'!$B$11)=0),I42,0)+IF(AND(A45&gt;A43,A45&lt;=A43+'Summary'!$B$10*12,MOD(A45-A43,'Summary'!$B$11)=0),I43,0)+IF(AND(A45&gt;A44,A45&lt;=A44+'Summary'!$B$10*12,MOD(A45-A44,'Summary'!$B$11)=0),I44,0))*'Summary'!$B$8/2</x:f>
        <x:v>11.691990584344806</x:v>
      </x:c>
      <x:c r="G45" s="62" t="n">
        <x:f>IF(A45=A8+'Summary'!$B$10*12,I8,0)+IF(A45=A9+'Summary'!$B$10*12,I9,0)+IF(A45=A10+'Summary'!$B$10*12,I10,0)+IF(A45=A11+'Summary'!$B$10*12,I11,0)+IF(A45=A12+'Summary'!$B$10*12,I12,0)+IF(A45=A13+'Summary'!$B$10*12,I13,0)+IF(A45=A14+'Summary'!$B$10*12,I14,0)+IF(A45=A15+'Summary'!$B$10*12,I15,0)+IF(A45=A16+'Summary'!$B$10*12,I16,0)+IF(A45=A17+'Summary'!$B$10*12,I17,0)+IF(A45=A18+'Summary'!$B$10*12,I18,0)+IF(A45=A19+'Summary'!$B$10*12,I19,0)+IF(A45=A20+'Summary'!$B$10*12,I20,0)+IF(A45=A21+'Summary'!$B$10*12,I21,0)+IF(A45=A22+'Summary'!$B$10*12,I22,0)+IF(A45=A23+'Summary'!$B$10*12,I23,0)+IF(A45=A24+'Summary'!$B$10*12,I24,0)+IF(A45=A25+'Summary'!$B$10*12,I25,0)+IF(A45=A26+'Summary'!$B$10*12,I26,0)+IF(A45=A27+'Summary'!$B$10*12,I27,0)+IF(A45=A28+'Summary'!$B$10*12,I28,0)+IF(A45=A29+'Summary'!$B$10*12,I29,0)+IF(A45=A30+'Summary'!$B$10*12,I30,0)+IF(A45=A31+'Summary'!$B$10*12,I31,0)+IF(A45=A32+'Summary'!$B$10*12,I32,0)+IF(A45=A33+'Summary'!$B$10*12,I33,0)+IF(A45=A34+'Summary'!$B$10*12,I34,0)+IF(A45=A35+'Summary'!$B$10*12,I35,0)+IF(A45=A36+'Summary'!$B$10*12,I36,0)+IF(A45=A37+'Summary'!$B$10*12,I37,0)+IF(A45=A38+'Summary'!$B$10*12,I38,0)+IF(A45=A39+'Summary'!$B$10*12,I39,0)+IF(A45=A40+'Summary'!$B$10*12,I40,0)+IF(A45=A41+'Summary'!$B$10*12,I41,0)+IF(A45=A42+'Summary'!$B$10*12,I42,0)+IF(A45=A43+'Summary'!$B$10*12,I43,0)+IF(A45=A44+'Summary'!$B$10*12,I44,0)</x:f>
        <x:v>0</x:v>
      </x:c>
      <x:c r="H45" s="62" t="n">
        <x:f>E45+D45+F45+G45</x:f>
        <x:v>111.69199058434481</x:v>
      </x:c>
      <x:c r="I45" s="62" t="n">
        <x:f>IF(B45,IF(H45&gt;='Summary'!$B$12,H45,0),0)</x:f>
        <x:v>111.69199058434481</x:v>
      </x:c>
      <x:c r="J45" s="62" t="n">
        <x:f>H45-I45</x:f>
        <x:v>0</x:v>
      </x:c>
      <x:c r="K45" s="63" t="n">
        <x:f>J45+IF(A8+'Summary'!$B$10*12&gt;A45,I8,0)+IF(A9+'Summary'!$B$10*12&gt;A45,I9,0)+IF(A10+'Summary'!$B$10*12&gt;A45,I10,0)+IF(A11+'Summary'!$B$10*12&gt;A45,I11,0)+IF(A12+'Summary'!$B$10*12&gt;A45,I12,0)+IF(A13+'Summary'!$B$10*12&gt;A45,I13,0)+IF(A14+'Summary'!$B$10*12&gt;A45,I14,0)+IF(A15+'Summary'!$B$10*12&gt;A45,I15,0)+IF(A16+'Summary'!$B$10*12&gt;A45,I16,0)+IF(A17+'Summary'!$B$10*12&gt;A45,I17,0)+IF(A18+'Summary'!$B$10*12&gt;A45,I18,0)+IF(A19+'Summary'!$B$10*12&gt;A45,I19,0)+IF(A20+'Summary'!$B$10*12&gt;A45,I20,0)+IF(A21+'Summary'!$B$10*12&gt;A45,I21,0)+IF(A22+'Summary'!$B$10*12&gt;A45,I22,0)+IF(A23+'Summary'!$B$10*12&gt;A45,I23,0)+IF(A24+'Summary'!$B$10*12&gt;A45,I24,0)+IF(A25+'Summary'!$B$10*12&gt;A45,I25,0)+IF(A26+'Summary'!$B$10*12&gt;A45,I26,0)+IF(A27+'Summary'!$B$10*12&gt;A45,I27,0)+IF(A28+'Summary'!$B$10*12&gt;A45,I28,0)+IF(A29+'Summary'!$B$10*12&gt;A45,I29,0)+IF(A30+'Summary'!$B$10*12&gt;A45,I30,0)+IF(A31+'Summary'!$B$10*12&gt;A45,I31,0)+IF(A32+'Summary'!$B$10*12&gt;A45,I32,0)+IF(A33+'Summary'!$B$10*12&gt;A45,I33,0)+IF(A34+'Summary'!$B$10*12&gt;A45,I34,0)+IF(A35+'Summary'!$B$10*12&gt;A45,I35,0)+IF(A36+'Summary'!$B$10*12&gt;A45,I36,0)+IF(A37+'Summary'!$B$10*12&gt;A45,I37,0)+IF(A38+'Summary'!$B$10*12&gt;A45,I38,0)+IF(A39+'Summary'!$B$10*12&gt;A45,I39,0)+IF(A40+'Summary'!$B$10*12&gt;A45,I40,0)+IF(A41+'Summary'!$B$10*12&gt;A45,I41,0)+IF(A42+'Summary'!$B$10*12&gt;A45,I42,0)+IF(A43+'Summary'!$B$10*12&gt;A45,I43,0)+IF(A44+'Summary'!$B$10*12&gt;A45,I44,0)+IF(A45+'Summary'!$B$10*12&gt;A45,I45,0)</x:f>
        <x:v>15164.19290552086</x:v>
      </x:c>
    </x:row>
    <x:row r="46">
      <x:c r="A46" s="55" t="n">
        <x:v>38</x:v>
      </x:c>
      <x:c r="B46" s="71" t="b">
        <x:f>A46&lt;='Summary'!$B$9*12</x:f>
        <x:v>1</x:v>
      </x:c>
      <x:c r="C46" s="62" t="n">
        <x:f>IF(A46=0,IF('Summary'!$B$6&gt;=5,'Summary'!$B$6,0),C45)+IF(A46&lt;'Summary'!$B$9*12,IF('Summary'!$B$7&gt;=5,'Summary'!$B$7,0),0)</x:f>
        <x:v>13900</x:v>
      </x:c>
      <x:c r="D46" s="62" t="n">
        <x:f>IF(A46=0,IF('Summary'!$B$6&gt;=5,'Summary'!$B$6,0),0)+IF(A46&lt;'Summary'!$B$9*12,IF('Summary'!$B$7&gt;=5,'Summary'!$B$7,0),0)</x:f>
        <x:v>100</x:v>
      </x:c>
      <x:c r="E46" s="62" t="n">
        <x:f>J45</x:f>
        <x:v>0</x:v>
      </x:c>
      <x:c r="F46" s="62" t="n">
        <x:f>(IF(AND(A46&gt;A8,A46&lt;=A8+'Summary'!$B$10*12,MOD(A46-A8,'Summary'!$B$11)=0),I8,0)+IF(AND(A46&gt;A9,A46&lt;=A9+'Summary'!$B$10*12,MOD(A46-A9,'Summary'!$B$11)=0),I9,0)+IF(AND(A46&gt;A10,A46&lt;=A10+'Summary'!$B$10*12,MOD(A46-A10,'Summary'!$B$11)=0),I10,0)+IF(AND(A46&gt;A11,A46&lt;=A11+'Summary'!$B$10*12,MOD(A46-A11,'Summary'!$B$11)=0),I11,0)+IF(AND(A46&gt;A12,A46&lt;=A12+'Summary'!$B$10*12,MOD(A46-A12,'Summary'!$B$11)=0),I12,0)+IF(AND(A46&gt;A13,A46&lt;=A13+'Summary'!$B$10*12,MOD(A46-A13,'Summary'!$B$11)=0),I13,0)+IF(AND(A46&gt;A14,A46&lt;=A14+'Summary'!$B$10*12,MOD(A46-A14,'Summary'!$B$11)=0),I14,0)+IF(AND(A46&gt;A15,A46&lt;=A15+'Summary'!$B$10*12,MOD(A46-A15,'Summary'!$B$11)=0),I15,0)+IF(AND(A46&gt;A16,A46&lt;=A16+'Summary'!$B$10*12,MOD(A46-A16,'Summary'!$B$11)=0),I16,0)+IF(AND(A46&gt;A17,A46&lt;=A17+'Summary'!$B$10*12,MOD(A46-A17,'Summary'!$B$11)=0),I17,0)+IF(AND(A46&gt;A18,A46&lt;=A18+'Summary'!$B$10*12,MOD(A46-A18,'Summary'!$B$11)=0),I18,0)+IF(AND(A46&gt;A19,A46&lt;=A19+'Summary'!$B$10*12,MOD(A46-A19,'Summary'!$B$11)=0),I19,0)+IF(AND(A46&gt;A20,A46&lt;=A20+'Summary'!$B$10*12,MOD(A46-A20,'Summary'!$B$11)=0),I20,0)+IF(AND(A46&gt;A21,A46&lt;=A21+'Summary'!$B$10*12,MOD(A46-A21,'Summary'!$B$11)=0),I21,0)+IF(AND(A46&gt;A22,A46&lt;=A22+'Summary'!$B$10*12,MOD(A46-A22,'Summary'!$B$11)=0),I22,0)+IF(AND(A46&gt;A23,A46&lt;=A23+'Summary'!$B$10*12,MOD(A46-A23,'Summary'!$B$11)=0),I23,0)+IF(AND(A46&gt;A24,A46&lt;=A24+'Summary'!$B$10*12,MOD(A46-A24,'Summary'!$B$11)=0),I24,0)+IF(AND(A46&gt;A25,A46&lt;=A25+'Summary'!$B$10*12,MOD(A46-A25,'Summary'!$B$11)=0),I25,0)+IF(AND(A46&gt;A26,A46&lt;=A26+'Summary'!$B$10*12,MOD(A46-A26,'Summary'!$B$11)=0),I26,0)+IF(AND(A46&gt;A27,A46&lt;=A27+'Summary'!$B$10*12,MOD(A46-A27,'Summary'!$B$11)=0),I27,0)+IF(AND(A46&gt;A28,A46&lt;=A28+'Summary'!$B$10*12,MOD(A46-A28,'Summary'!$B$11)=0),I28,0)+IF(AND(A46&gt;A29,A46&lt;=A29+'Summary'!$B$10*12,MOD(A46-A29,'Summary'!$B$11)=0),I29,0)+IF(AND(A46&gt;A30,A46&lt;=A30+'Summary'!$B$10*12,MOD(A46-A30,'Summary'!$B$11)=0),I30,0)+IF(AND(A46&gt;A31,A46&lt;=A31+'Summary'!$B$10*12,MOD(A46-A31,'Summary'!$B$11)=0),I31,0)+IF(AND(A46&gt;A32,A46&lt;=A32+'Summary'!$B$10*12,MOD(A46-A32,'Summary'!$B$11)=0),I32,0)+IF(AND(A46&gt;A33,A46&lt;=A33+'Summary'!$B$10*12,MOD(A46-A33,'Summary'!$B$11)=0),I33,0)+IF(AND(A46&gt;A34,A46&lt;=A34+'Summary'!$B$10*12,MOD(A46-A34,'Summary'!$B$11)=0),I34,0)+IF(AND(A46&gt;A35,A46&lt;=A35+'Summary'!$B$10*12,MOD(A46-A35,'Summary'!$B$11)=0),I35,0)+IF(AND(A46&gt;A36,A46&lt;=A36+'Summary'!$B$10*12,MOD(A46-A36,'Summary'!$B$11)=0),I36,0)+IF(AND(A46&gt;A37,A46&lt;=A37+'Summary'!$B$10*12,MOD(A46-A37,'Summary'!$B$11)=0),I37,0)+IF(AND(A46&gt;A38,A46&lt;=A38+'Summary'!$B$10*12,MOD(A46-A38,'Summary'!$B$11)=0),I38,0)+IF(AND(A46&gt;A39,A46&lt;=A39+'Summary'!$B$10*12,MOD(A46-A39,'Summary'!$B$11)=0),I39,0)+IF(AND(A46&gt;A40,A46&lt;=A40+'Summary'!$B$10*12,MOD(A46-A40,'Summary'!$B$11)=0),I40,0)+IF(AND(A46&gt;A41,A46&lt;=A41+'Summary'!$B$10*12,MOD(A46-A41,'Summary'!$B$11)=0),I41,0)+IF(AND(A46&gt;A42,A46&lt;=A42+'Summary'!$B$10*12,MOD(A46-A42,'Summary'!$B$11)=0),I42,0)+IF(AND(A46&gt;A43,A46&lt;=A43+'Summary'!$B$10*12,MOD(A46-A43,'Summary'!$B$11)=0),I43,0)+IF(AND(A46&gt;A44,A46&lt;=A44+'Summary'!$B$10*12,MOD(A46-A44,'Summary'!$B$11)=0),I44,0)+IF(AND(A46&gt;A45,A46&lt;=A45+'Summary'!$B$10*12,MOD(A46-A45,'Summary'!$B$11)=0),I45,0))*'Summary'!$B$8/2</x:f>
        <x:v>11.691990584344806</x:v>
      </x:c>
      <x:c r="G46" s="62" t="n">
        <x:f>IF(A46=A8+'Summary'!$B$10*12,I8,0)+IF(A46=A9+'Summary'!$B$10*12,I9,0)+IF(A46=A10+'Summary'!$B$10*12,I10,0)+IF(A46=A11+'Summary'!$B$10*12,I11,0)+IF(A46=A12+'Summary'!$B$10*12,I12,0)+IF(A46=A13+'Summary'!$B$10*12,I13,0)+IF(A46=A14+'Summary'!$B$10*12,I14,0)+IF(A46=A15+'Summary'!$B$10*12,I15,0)+IF(A46=A16+'Summary'!$B$10*12,I16,0)+IF(A46=A17+'Summary'!$B$10*12,I17,0)+IF(A46=A18+'Summary'!$B$10*12,I18,0)+IF(A46=A19+'Summary'!$B$10*12,I19,0)+IF(A46=A20+'Summary'!$B$10*12,I20,0)+IF(A46=A21+'Summary'!$B$10*12,I21,0)+IF(A46=A22+'Summary'!$B$10*12,I22,0)+IF(A46=A23+'Summary'!$B$10*12,I23,0)+IF(A46=A24+'Summary'!$B$10*12,I24,0)+IF(A46=A25+'Summary'!$B$10*12,I25,0)+IF(A46=A26+'Summary'!$B$10*12,I26,0)+IF(A46=A27+'Summary'!$B$10*12,I27,0)+IF(A46=A28+'Summary'!$B$10*12,I28,0)+IF(A46=A29+'Summary'!$B$10*12,I29,0)+IF(A46=A30+'Summary'!$B$10*12,I30,0)+IF(A46=A31+'Summary'!$B$10*12,I31,0)+IF(A46=A32+'Summary'!$B$10*12,I32,0)+IF(A46=A33+'Summary'!$B$10*12,I33,0)+IF(A46=A34+'Summary'!$B$10*12,I34,0)+IF(A46=A35+'Summary'!$B$10*12,I35,0)+IF(A46=A36+'Summary'!$B$10*12,I36,0)+IF(A46=A37+'Summary'!$B$10*12,I37,0)+IF(A46=A38+'Summary'!$B$10*12,I38,0)+IF(A46=A39+'Summary'!$B$10*12,I39,0)+IF(A46=A40+'Summary'!$B$10*12,I40,0)+IF(A46=A41+'Summary'!$B$10*12,I41,0)+IF(A46=A42+'Summary'!$B$10*12,I42,0)+IF(A46=A43+'Summary'!$B$10*12,I43,0)+IF(A46=A44+'Summary'!$B$10*12,I44,0)+IF(A46=A45+'Summary'!$B$10*12,I45,0)</x:f>
        <x:v>0</x:v>
      </x:c>
      <x:c r="H46" s="62" t="n">
        <x:f>E46+D46+F46+G46</x:f>
        <x:v>111.69199058434481</x:v>
      </x:c>
      <x:c r="I46" s="62" t="n">
        <x:f>IF(B46,IF(H46&gt;='Summary'!$B$12,H46,0),0)</x:f>
        <x:v>111.69199058434481</x:v>
      </x:c>
      <x:c r="J46" s="62" t="n">
        <x:f>H46-I46</x:f>
        <x:v>0</x:v>
      </x:c>
      <x:c r="K46" s="63" t="n">
        <x:f>J46+IF(A8+'Summary'!$B$10*12&gt;A46,I8,0)+IF(A9+'Summary'!$B$10*12&gt;A46,I9,0)+IF(A10+'Summary'!$B$10*12&gt;A46,I10,0)+IF(A11+'Summary'!$B$10*12&gt;A46,I11,0)+IF(A12+'Summary'!$B$10*12&gt;A46,I12,0)+IF(A13+'Summary'!$B$10*12&gt;A46,I13,0)+IF(A14+'Summary'!$B$10*12&gt;A46,I14,0)+IF(A15+'Summary'!$B$10*12&gt;A46,I15,0)+IF(A16+'Summary'!$B$10*12&gt;A46,I16,0)+IF(A17+'Summary'!$B$10*12&gt;A46,I17,0)+IF(A18+'Summary'!$B$10*12&gt;A46,I18,0)+IF(A19+'Summary'!$B$10*12&gt;A46,I19,0)+IF(A20+'Summary'!$B$10*12&gt;A46,I20,0)+IF(A21+'Summary'!$B$10*12&gt;A46,I21,0)+IF(A22+'Summary'!$B$10*12&gt;A46,I22,0)+IF(A23+'Summary'!$B$10*12&gt;A46,I23,0)+IF(A24+'Summary'!$B$10*12&gt;A46,I24,0)+IF(A25+'Summary'!$B$10*12&gt;A46,I25,0)+IF(A26+'Summary'!$B$10*12&gt;A46,I26,0)+IF(A27+'Summary'!$B$10*12&gt;A46,I27,0)+IF(A28+'Summary'!$B$10*12&gt;A46,I28,0)+IF(A29+'Summary'!$B$10*12&gt;A46,I29,0)+IF(A30+'Summary'!$B$10*12&gt;A46,I30,0)+IF(A31+'Summary'!$B$10*12&gt;A46,I31,0)+IF(A32+'Summary'!$B$10*12&gt;A46,I32,0)+IF(A33+'Summary'!$B$10*12&gt;A46,I33,0)+IF(A34+'Summary'!$B$10*12&gt;A46,I34,0)+IF(A35+'Summary'!$B$10*12&gt;A46,I35,0)+IF(A36+'Summary'!$B$10*12&gt;A46,I36,0)+IF(A37+'Summary'!$B$10*12&gt;A46,I37,0)+IF(A38+'Summary'!$B$10*12&gt;A46,I38,0)+IF(A39+'Summary'!$B$10*12&gt;A46,I39,0)+IF(A40+'Summary'!$B$10*12&gt;A46,I40,0)+IF(A41+'Summary'!$B$10*12&gt;A46,I41,0)+IF(A42+'Summary'!$B$10*12&gt;A46,I42,0)+IF(A43+'Summary'!$B$10*12&gt;A46,I43,0)+IF(A44+'Summary'!$B$10*12&gt;A46,I44,0)+IF(A45+'Summary'!$B$10*12&gt;A46,I45,0)+IF(A46+'Summary'!$B$10*12&gt;A46,I46,0)</x:f>
        <x:v>15275.884896105204</x:v>
      </x:c>
    </x:row>
    <x:row r="47">
      <x:c r="A47" s="55" t="n">
        <x:v>39</x:v>
      </x:c>
      <x:c r="B47" s="71" t="b">
        <x:f>A47&lt;='Summary'!$B$9*12</x:f>
        <x:v>1</x:v>
      </x:c>
      <x:c r="C47" s="62" t="n">
        <x:f>IF(A47=0,IF('Summary'!$B$6&gt;=5,'Summary'!$B$6,0),C46)+IF(A47&lt;'Summary'!$B$9*12,IF('Summary'!$B$7&gt;=5,'Summary'!$B$7,0),0)</x:f>
        <x:v>14000</x:v>
      </x:c>
      <x:c r="D47" s="62" t="n">
        <x:f>IF(A47=0,IF('Summary'!$B$6&gt;=5,'Summary'!$B$6,0),0)+IF(A47&lt;'Summary'!$B$9*12,IF('Summary'!$B$7&gt;=5,'Summary'!$B$7,0),0)</x:f>
        <x:v>100</x:v>
      </x:c>
      <x:c r="E47" s="62" t="n">
        <x:f>J46</x:f>
        <x:v>0</x:v>
      </x:c>
      <x:c r="F47" s="62" t="n">
        <x:f>(IF(AND(A47&gt;A8,A47&lt;=A8+'Summary'!$B$10*12,MOD(A47-A8,'Summary'!$B$11)=0),I8,0)+IF(AND(A47&gt;A9,A47&lt;=A9+'Summary'!$B$10*12,MOD(A47-A9,'Summary'!$B$11)=0),I9,0)+IF(AND(A47&gt;A10,A47&lt;=A10+'Summary'!$B$10*12,MOD(A47-A10,'Summary'!$B$11)=0),I10,0)+IF(AND(A47&gt;A11,A47&lt;=A11+'Summary'!$B$10*12,MOD(A47-A11,'Summary'!$B$11)=0),I11,0)+IF(AND(A47&gt;A12,A47&lt;=A12+'Summary'!$B$10*12,MOD(A47-A12,'Summary'!$B$11)=0),I12,0)+IF(AND(A47&gt;A13,A47&lt;=A13+'Summary'!$B$10*12,MOD(A47-A13,'Summary'!$B$11)=0),I13,0)+IF(AND(A47&gt;A14,A47&lt;=A14+'Summary'!$B$10*12,MOD(A47-A14,'Summary'!$B$11)=0),I14,0)+IF(AND(A47&gt;A15,A47&lt;=A15+'Summary'!$B$10*12,MOD(A47-A15,'Summary'!$B$11)=0),I15,0)+IF(AND(A47&gt;A16,A47&lt;=A16+'Summary'!$B$10*12,MOD(A47-A16,'Summary'!$B$11)=0),I16,0)+IF(AND(A47&gt;A17,A47&lt;=A17+'Summary'!$B$10*12,MOD(A47-A17,'Summary'!$B$11)=0),I17,0)+IF(AND(A47&gt;A18,A47&lt;=A18+'Summary'!$B$10*12,MOD(A47-A18,'Summary'!$B$11)=0),I18,0)+IF(AND(A47&gt;A19,A47&lt;=A19+'Summary'!$B$10*12,MOD(A47-A19,'Summary'!$B$11)=0),I19,0)+IF(AND(A47&gt;A20,A47&lt;=A20+'Summary'!$B$10*12,MOD(A47-A20,'Summary'!$B$11)=0),I20,0)+IF(AND(A47&gt;A21,A47&lt;=A21+'Summary'!$B$10*12,MOD(A47-A21,'Summary'!$B$11)=0),I21,0)+IF(AND(A47&gt;A22,A47&lt;=A22+'Summary'!$B$10*12,MOD(A47-A22,'Summary'!$B$11)=0),I22,0)+IF(AND(A47&gt;A23,A47&lt;=A23+'Summary'!$B$10*12,MOD(A47-A23,'Summary'!$B$11)=0),I23,0)+IF(AND(A47&gt;A24,A47&lt;=A24+'Summary'!$B$10*12,MOD(A47-A24,'Summary'!$B$11)=0),I24,0)+IF(AND(A47&gt;A25,A47&lt;=A25+'Summary'!$B$10*12,MOD(A47-A25,'Summary'!$B$11)=0),I25,0)+IF(AND(A47&gt;A26,A47&lt;=A26+'Summary'!$B$10*12,MOD(A47-A26,'Summary'!$B$11)=0),I26,0)+IF(AND(A47&gt;A27,A47&lt;=A27+'Summary'!$B$10*12,MOD(A47-A27,'Summary'!$B$11)=0),I27,0)+IF(AND(A47&gt;A28,A47&lt;=A28+'Summary'!$B$10*12,MOD(A47-A28,'Summary'!$B$11)=0),I28,0)+IF(AND(A47&gt;A29,A47&lt;=A29+'Summary'!$B$10*12,MOD(A47-A29,'Summary'!$B$11)=0),I29,0)+IF(AND(A47&gt;A30,A47&lt;=A30+'Summary'!$B$10*12,MOD(A47-A30,'Summary'!$B$11)=0),I30,0)+IF(AND(A47&gt;A31,A47&lt;=A31+'Summary'!$B$10*12,MOD(A47-A31,'Summary'!$B$11)=0),I31,0)+IF(AND(A47&gt;A32,A47&lt;=A32+'Summary'!$B$10*12,MOD(A47-A32,'Summary'!$B$11)=0),I32,0)+IF(AND(A47&gt;A33,A47&lt;=A33+'Summary'!$B$10*12,MOD(A47-A33,'Summary'!$B$11)=0),I33,0)+IF(AND(A47&gt;A34,A47&lt;=A34+'Summary'!$B$10*12,MOD(A47-A34,'Summary'!$B$11)=0),I34,0)+IF(AND(A47&gt;A35,A47&lt;=A35+'Summary'!$B$10*12,MOD(A47-A35,'Summary'!$B$11)=0),I35,0)+IF(AND(A47&gt;A36,A47&lt;=A36+'Summary'!$B$10*12,MOD(A47-A36,'Summary'!$B$11)=0),I36,0)+IF(AND(A47&gt;A37,A47&lt;=A37+'Summary'!$B$10*12,MOD(A47-A37,'Summary'!$B$11)=0),I37,0)+IF(AND(A47&gt;A38,A47&lt;=A38+'Summary'!$B$10*12,MOD(A47-A38,'Summary'!$B$11)=0),I38,0)+IF(AND(A47&gt;A39,A47&lt;=A39+'Summary'!$B$10*12,MOD(A47-A39,'Summary'!$B$11)=0),I39,0)+IF(AND(A47&gt;A40,A47&lt;=A40+'Summary'!$B$10*12,MOD(A47-A40,'Summary'!$B$11)=0),I40,0)+IF(AND(A47&gt;A41,A47&lt;=A41+'Summary'!$B$10*12,MOD(A47-A41,'Summary'!$B$11)=0),I41,0)+IF(AND(A47&gt;A42,A47&lt;=A42+'Summary'!$B$10*12,MOD(A47-A42,'Summary'!$B$11)=0),I42,0)+IF(AND(A47&gt;A43,A47&lt;=A43+'Summary'!$B$10*12,MOD(A47-A43,'Summary'!$B$11)=0),I43,0)+IF(AND(A47&gt;A44,A47&lt;=A44+'Summary'!$B$10*12,MOD(A47-A44,'Summary'!$B$11)=0),I44,0)+IF(AND(A47&gt;A45,A47&lt;=A45+'Summary'!$B$10*12,MOD(A47-A45,'Summary'!$B$11)=0),I45,0)+IF(AND(A47&gt;A46,A47&lt;=A46+'Summary'!$B$10*12,MOD(A47-A46,'Summary'!$B$11)=0),I46,0))*'Summary'!$B$8/2</x:f>
        <x:v>11.691990584344806</x:v>
      </x:c>
      <x:c r="G47" s="62" t="n">
        <x:f>IF(A47=A8+'Summary'!$B$10*12,I8,0)+IF(A47=A9+'Summary'!$B$10*12,I9,0)+IF(A47=A10+'Summary'!$B$10*12,I10,0)+IF(A47=A11+'Summary'!$B$10*12,I11,0)+IF(A47=A12+'Summary'!$B$10*12,I12,0)+IF(A47=A13+'Summary'!$B$10*12,I13,0)+IF(A47=A14+'Summary'!$B$10*12,I14,0)+IF(A47=A15+'Summary'!$B$10*12,I15,0)+IF(A47=A16+'Summary'!$B$10*12,I16,0)+IF(A47=A17+'Summary'!$B$10*12,I17,0)+IF(A47=A18+'Summary'!$B$10*12,I18,0)+IF(A47=A19+'Summary'!$B$10*12,I19,0)+IF(A47=A20+'Summary'!$B$10*12,I20,0)+IF(A47=A21+'Summary'!$B$10*12,I21,0)+IF(A47=A22+'Summary'!$B$10*12,I22,0)+IF(A47=A23+'Summary'!$B$10*12,I23,0)+IF(A47=A24+'Summary'!$B$10*12,I24,0)+IF(A47=A25+'Summary'!$B$10*12,I25,0)+IF(A47=A26+'Summary'!$B$10*12,I26,0)+IF(A47=A27+'Summary'!$B$10*12,I27,0)+IF(A47=A28+'Summary'!$B$10*12,I28,0)+IF(A47=A29+'Summary'!$B$10*12,I29,0)+IF(A47=A30+'Summary'!$B$10*12,I30,0)+IF(A47=A31+'Summary'!$B$10*12,I31,0)+IF(A47=A32+'Summary'!$B$10*12,I32,0)+IF(A47=A33+'Summary'!$B$10*12,I33,0)+IF(A47=A34+'Summary'!$B$10*12,I34,0)+IF(A47=A35+'Summary'!$B$10*12,I35,0)+IF(A47=A36+'Summary'!$B$10*12,I36,0)+IF(A47=A37+'Summary'!$B$10*12,I37,0)+IF(A47=A38+'Summary'!$B$10*12,I38,0)+IF(A47=A39+'Summary'!$B$10*12,I39,0)+IF(A47=A40+'Summary'!$B$10*12,I40,0)+IF(A47=A41+'Summary'!$B$10*12,I41,0)+IF(A47=A42+'Summary'!$B$10*12,I42,0)+IF(A47=A43+'Summary'!$B$10*12,I43,0)+IF(A47=A44+'Summary'!$B$10*12,I44,0)+IF(A47=A45+'Summary'!$B$10*12,I45,0)+IF(A47=A46+'Summary'!$B$10*12,I46,0)</x:f>
        <x:v>0</x:v>
      </x:c>
      <x:c r="H47" s="62" t="n">
        <x:f>E47+D47+F47+G47</x:f>
        <x:v>111.69199058434481</x:v>
      </x:c>
      <x:c r="I47" s="62" t="n">
        <x:f>IF(B47,IF(H47&gt;='Summary'!$B$12,H47,0),0)</x:f>
        <x:v>111.69199058434481</x:v>
      </x:c>
      <x:c r="J47" s="62" t="n">
        <x:f>H47-I47</x:f>
        <x:v>0</x:v>
      </x:c>
      <x:c r="K47" s="63" t="n">
        <x:f>J47+IF(A8+'Summary'!$B$10*12&gt;A47,I8,0)+IF(A9+'Summary'!$B$10*12&gt;A47,I9,0)+IF(A10+'Summary'!$B$10*12&gt;A47,I10,0)+IF(A11+'Summary'!$B$10*12&gt;A47,I11,0)+IF(A12+'Summary'!$B$10*12&gt;A47,I12,0)+IF(A13+'Summary'!$B$10*12&gt;A47,I13,0)+IF(A14+'Summary'!$B$10*12&gt;A47,I14,0)+IF(A15+'Summary'!$B$10*12&gt;A47,I15,0)+IF(A16+'Summary'!$B$10*12&gt;A47,I16,0)+IF(A17+'Summary'!$B$10*12&gt;A47,I17,0)+IF(A18+'Summary'!$B$10*12&gt;A47,I18,0)+IF(A19+'Summary'!$B$10*12&gt;A47,I19,0)+IF(A20+'Summary'!$B$10*12&gt;A47,I20,0)+IF(A21+'Summary'!$B$10*12&gt;A47,I21,0)+IF(A22+'Summary'!$B$10*12&gt;A47,I22,0)+IF(A23+'Summary'!$B$10*12&gt;A47,I23,0)+IF(A24+'Summary'!$B$10*12&gt;A47,I24,0)+IF(A25+'Summary'!$B$10*12&gt;A47,I25,0)+IF(A26+'Summary'!$B$10*12&gt;A47,I26,0)+IF(A27+'Summary'!$B$10*12&gt;A47,I27,0)+IF(A28+'Summary'!$B$10*12&gt;A47,I28,0)+IF(A29+'Summary'!$B$10*12&gt;A47,I29,0)+IF(A30+'Summary'!$B$10*12&gt;A47,I30,0)+IF(A31+'Summary'!$B$10*12&gt;A47,I31,0)+IF(A32+'Summary'!$B$10*12&gt;A47,I32,0)+IF(A33+'Summary'!$B$10*12&gt;A47,I33,0)+IF(A34+'Summary'!$B$10*12&gt;A47,I34,0)+IF(A35+'Summary'!$B$10*12&gt;A47,I35,0)+IF(A36+'Summary'!$B$10*12&gt;A47,I36,0)+IF(A37+'Summary'!$B$10*12&gt;A47,I37,0)+IF(A38+'Summary'!$B$10*12&gt;A47,I38,0)+IF(A39+'Summary'!$B$10*12&gt;A47,I39,0)+IF(A40+'Summary'!$B$10*12&gt;A47,I40,0)+IF(A41+'Summary'!$B$10*12&gt;A47,I41,0)+IF(A42+'Summary'!$B$10*12&gt;A47,I42,0)+IF(A43+'Summary'!$B$10*12&gt;A47,I43,0)+IF(A44+'Summary'!$B$10*12&gt;A47,I44,0)+IF(A45+'Summary'!$B$10*12&gt;A47,I45,0)+IF(A46+'Summary'!$B$10*12&gt;A47,I46,0)+IF(A47+'Summary'!$B$10*12&gt;A47,I47,0)</x:f>
        <x:v>15387.576886689549</x:v>
      </x:c>
    </x:row>
    <x:row r="48">
      <x:c r="A48" s="55" t="n">
        <x:v>40</x:v>
      </x:c>
      <x:c r="B48" s="71" t="b">
        <x:f>A48&lt;='Summary'!$B$9*12</x:f>
        <x:v>1</x:v>
      </x:c>
      <x:c r="C48" s="62" t="n">
        <x:f>IF(A48=0,IF('Summary'!$B$6&gt;=5,'Summary'!$B$6,0),C47)+IF(A48&lt;'Summary'!$B$9*12,IF('Summary'!$B$7&gt;=5,'Summary'!$B$7,0),0)</x:f>
        <x:v>14100</x:v>
      </x:c>
      <x:c r="D48" s="62" t="n">
        <x:f>IF(A48=0,IF('Summary'!$B$6&gt;=5,'Summary'!$B$6,0),0)+IF(A48&lt;'Summary'!$B$9*12,IF('Summary'!$B$7&gt;=5,'Summary'!$B$7,0),0)</x:f>
        <x:v>100</x:v>
      </x:c>
      <x:c r="E48" s="62" t="n">
        <x:f>J47</x:f>
        <x:v>0</x:v>
      </x:c>
      <x:c r="F48" s="62" t="n">
        <x:f>(IF(AND(A48&gt;A8,A48&lt;=A8+'Summary'!$B$10*12,MOD(A48-A8,'Summary'!$B$11)=0),I8,0)+IF(AND(A48&gt;A9,A48&lt;=A9+'Summary'!$B$10*12,MOD(A48-A9,'Summary'!$B$11)=0),I9,0)+IF(AND(A48&gt;A10,A48&lt;=A10+'Summary'!$B$10*12,MOD(A48-A10,'Summary'!$B$11)=0),I10,0)+IF(AND(A48&gt;A11,A48&lt;=A11+'Summary'!$B$10*12,MOD(A48-A11,'Summary'!$B$11)=0),I11,0)+IF(AND(A48&gt;A12,A48&lt;=A12+'Summary'!$B$10*12,MOD(A48-A12,'Summary'!$B$11)=0),I12,0)+IF(AND(A48&gt;A13,A48&lt;=A13+'Summary'!$B$10*12,MOD(A48-A13,'Summary'!$B$11)=0),I13,0)+IF(AND(A48&gt;A14,A48&lt;=A14+'Summary'!$B$10*12,MOD(A48-A14,'Summary'!$B$11)=0),I14,0)+IF(AND(A48&gt;A15,A48&lt;=A15+'Summary'!$B$10*12,MOD(A48-A15,'Summary'!$B$11)=0),I15,0)+IF(AND(A48&gt;A16,A48&lt;=A16+'Summary'!$B$10*12,MOD(A48-A16,'Summary'!$B$11)=0),I16,0)+IF(AND(A48&gt;A17,A48&lt;=A17+'Summary'!$B$10*12,MOD(A48-A17,'Summary'!$B$11)=0),I17,0)+IF(AND(A48&gt;A18,A48&lt;=A18+'Summary'!$B$10*12,MOD(A48-A18,'Summary'!$B$11)=0),I18,0)+IF(AND(A48&gt;A19,A48&lt;=A19+'Summary'!$B$10*12,MOD(A48-A19,'Summary'!$B$11)=0),I19,0)+IF(AND(A48&gt;A20,A48&lt;=A20+'Summary'!$B$10*12,MOD(A48-A20,'Summary'!$B$11)=0),I20,0)+IF(AND(A48&gt;A21,A48&lt;=A21+'Summary'!$B$10*12,MOD(A48-A21,'Summary'!$B$11)=0),I21,0)+IF(AND(A48&gt;A22,A48&lt;=A22+'Summary'!$B$10*12,MOD(A48-A22,'Summary'!$B$11)=0),I22,0)+IF(AND(A48&gt;A23,A48&lt;=A23+'Summary'!$B$10*12,MOD(A48-A23,'Summary'!$B$11)=0),I23,0)+IF(AND(A48&gt;A24,A48&lt;=A24+'Summary'!$B$10*12,MOD(A48-A24,'Summary'!$B$11)=0),I24,0)+IF(AND(A48&gt;A25,A48&lt;=A25+'Summary'!$B$10*12,MOD(A48-A25,'Summary'!$B$11)=0),I25,0)+IF(AND(A48&gt;A26,A48&lt;=A26+'Summary'!$B$10*12,MOD(A48-A26,'Summary'!$B$11)=0),I26,0)+IF(AND(A48&gt;A27,A48&lt;=A27+'Summary'!$B$10*12,MOD(A48-A27,'Summary'!$B$11)=0),I27,0)+IF(AND(A48&gt;A28,A48&lt;=A28+'Summary'!$B$10*12,MOD(A48-A28,'Summary'!$B$11)=0),I28,0)+IF(AND(A48&gt;A29,A48&lt;=A29+'Summary'!$B$10*12,MOD(A48-A29,'Summary'!$B$11)=0),I29,0)+IF(AND(A48&gt;A30,A48&lt;=A30+'Summary'!$B$10*12,MOD(A48-A30,'Summary'!$B$11)=0),I30,0)+IF(AND(A48&gt;A31,A48&lt;=A31+'Summary'!$B$10*12,MOD(A48-A31,'Summary'!$B$11)=0),I31,0)+IF(AND(A48&gt;A32,A48&lt;=A32+'Summary'!$B$10*12,MOD(A48-A32,'Summary'!$B$11)=0),I32,0)+IF(AND(A48&gt;A33,A48&lt;=A33+'Summary'!$B$10*12,MOD(A48-A33,'Summary'!$B$11)=0),I33,0)+IF(AND(A48&gt;A34,A48&lt;=A34+'Summary'!$B$10*12,MOD(A48-A34,'Summary'!$B$11)=0),I34,0)+IF(AND(A48&gt;A35,A48&lt;=A35+'Summary'!$B$10*12,MOD(A48-A35,'Summary'!$B$11)=0),I35,0)+IF(AND(A48&gt;A36,A48&lt;=A36+'Summary'!$B$10*12,MOD(A48-A36,'Summary'!$B$11)=0),I36,0)+IF(AND(A48&gt;A37,A48&lt;=A37+'Summary'!$B$10*12,MOD(A48-A37,'Summary'!$B$11)=0),I37,0)+IF(AND(A48&gt;A38,A48&lt;=A38+'Summary'!$B$10*12,MOD(A48-A38,'Summary'!$B$11)=0),I38,0)+IF(AND(A48&gt;A39,A48&lt;=A39+'Summary'!$B$10*12,MOD(A48-A39,'Summary'!$B$11)=0),I39,0)+IF(AND(A48&gt;A40,A48&lt;=A40+'Summary'!$B$10*12,MOD(A48-A40,'Summary'!$B$11)=0),I40,0)+IF(AND(A48&gt;A41,A48&lt;=A41+'Summary'!$B$10*12,MOD(A48-A41,'Summary'!$B$11)=0),I41,0)+IF(AND(A48&gt;A42,A48&lt;=A42+'Summary'!$B$10*12,MOD(A48-A42,'Summary'!$B$11)=0),I42,0)+IF(AND(A48&gt;A43,A48&lt;=A43+'Summary'!$B$10*12,MOD(A48-A43,'Summary'!$B$11)=0),I43,0)+IF(AND(A48&gt;A44,A48&lt;=A44+'Summary'!$B$10*12,MOD(A48-A44,'Summary'!$B$11)=0),I44,0)+IF(AND(A48&gt;A45,A48&lt;=A45+'Summary'!$B$10*12,MOD(A48-A45,'Summary'!$B$11)=0),I45,0)+IF(AND(A48&gt;A46,A48&lt;=A46+'Summary'!$B$10*12,MOD(A48-A46,'Summary'!$B$11)=0),I46,0)+IF(AND(A48&gt;A47,A48&lt;=A47+'Summary'!$B$10*12,MOD(A48-A47,'Summary'!$B$11)=0),I47,0))*'Summary'!$B$8/2</x:f>
        <x:v>11.691990584344806</x:v>
      </x:c>
      <x:c r="G48" s="62" t="n">
        <x:f>IF(A48=A8+'Summary'!$B$10*12,I8,0)+IF(A48=A9+'Summary'!$B$10*12,I9,0)+IF(A48=A10+'Summary'!$B$10*12,I10,0)+IF(A48=A11+'Summary'!$B$10*12,I11,0)+IF(A48=A12+'Summary'!$B$10*12,I12,0)+IF(A48=A13+'Summary'!$B$10*12,I13,0)+IF(A48=A14+'Summary'!$B$10*12,I14,0)+IF(A48=A15+'Summary'!$B$10*12,I15,0)+IF(A48=A16+'Summary'!$B$10*12,I16,0)+IF(A48=A17+'Summary'!$B$10*12,I17,0)+IF(A48=A18+'Summary'!$B$10*12,I18,0)+IF(A48=A19+'Summary'!$B$10*12,I19,0)+IF(A48=A20+'Summary'!$B$10*12,I20,0)+IF(A48=A21+'Summary'!$B$10*12,I21,0)+IF(A48=A22+'Summary'!$B$10*12,I22,0)+IF(A48=A23+'Summary'!$B$10*12,I23,0)+IF(A48=A24+'Summary'!$B$10*12,I24,0)+IF(A48=A25+'Summary'!$B$10*12,I25,0)+IF(A48=A26+'Summary'!$B$10*12,I26,0)+IF(A48=A27+'Summary'!$B$10*12,I27,0)+IF(A48=A28+'Summary'!$B$10*12,I28,0)+IF(A48=A29+'Summary'!$B$10*12,I29,0)+IF(A48=A30+'Summary'!$B$10*12,I30,0)+IF(A48=A31+'Summary'!$B$10*12,I31,0)+IF(A48=A32+'Summary'!$B$10*12,I32,0)+IF(A48=A33+'Summary'!$B$10*12,I33,0)+IF(A48=A34+'Summary'!$B$10*12,I34,0)+IF(A48=A35+'Summary'!$B$10*12,I35,0)+IF(A48=A36+'Summary'!$B$10*12,I36,0)+IF(A48=A37+'Summary'!$B$10*12,I37,0)+IF(A48=A38+'Summary'!$B$10*12,I38,0)+IF(A48=A39+'Summary'!$B$10*12,I39,0)+IF(A48=A40+'Summary'!$B$10*12,I40,0)+IF(A48=A41+'Summary'!$B$10*12,I41,0)+IF(A48=A42+'Summary'!$B$10*12,I42,0)+IF(A48=A43+'Summary'!$B$10*12,I43,0)+IF(A48=A44+'Summary'!$B$10*12,I44,0)+IF(A48=A45+'Summary'!$B$10*12,I45,0)+IF(A48=A46+'Summary'!$B$10*12,I46,0)+IF(A48=A47+'Summary'!$B$10*12,I47,0)</x:f>
        <x:v>0</x:v>
      </x:c>
      <x:c r="H48" s="62" t="n">
        <x:f>E48+D48+F48+G48</x:f>
        <x:v>111.69199058434481</x:v>
      </x:c>
      <x:c r="I48" s="62" t="n">
        <x:f>IF(B48,IF(H48&gt;='Summary'!$B$12,H48,0),0)</x:f>
        <x:v>111.69199058434481</x:v>
      </x:c>
      <x:c r="J48" s="62" t="n">
        <x:f>H48-I48</x:f>
        <x:v>0</x:v>
      </x:c>
      <x:c r="K48" s="63" t="n">
        <x:f>J48+IF(A8+'Summary'!$B$10*12&gt;A48,I8,0)+IF(A9+'Summary'!$B$10*12&gt;A48,I9,0)+IF(A10+'Summary'!$B$10*12&gt;A48,I10,0)+IF(A11+'Summary'!$B$10*12&gt;A48,I11,0)+IF(A12+'Summary'!$B$10*12&gt;A48,I12,0)+IF(A13+'Summary'!$B$10*12&gt;A48,I13,0)+IF(A14+'Summary'!$B$10*12&gt;A48,I14,0)+IF(A15+'Summary'!$B$10*12&gt;A48,I15,0)+IF(A16+'Summary'!$B$10*12&gt;A48,I16,0)+IF(A17+'Summary'!$B$10*12&gt;A48,I17,0)+IF(A18+'Summary'!$B$10*12&gt;A48,I18,0)+IF(A19+'Summary'!$B$10*12&gt;A48,I19,0)+IF(A20+'Summary'!$B$10*12&gt;A48,I20,0)+IF(A21+'Summary'!$B$10*12&gt;A48,I21,0)+IF(A22+'Summary'!$B$10*12&gt;A48,I22,0)+IF(A23+'Summary'!$B$10*12&gt;A48,I23,0)+IF(A24+'Summary'!$B$10*12&gt;A48,I24,0)+IF(A25+'Summary'!$B$10*12&gt;A48,I25,0)+IF(A26+'Summary'!$B$10*12&gt;A48,I26,0)+IF(A27+'Summary'!$B$10*12&gt;A48,I27,0)+IF(A28+'Summary'!$B$10*12&gt;A48,I28,0)+IF(A29+'Summary'!$B$10*12&gt;A48,I29,0)+IF(A30+'Summary'!$B$10*12&gt;A48,I30,0)+IF(A31+'Summary'!$B$10*12&gt;A48,I31,0)+IF(A32+'Summary'!$B$10*12&gt;A48,I32,0)+IF(A33+'Summary'!$B$10*12&gt;A48,I33,0)+IF(A34+'Summary'!$B$10*12&gt;A48,I34,0)+IF(A35+'Summary'!$B$10*12&gt;A48,I35,0)+IF(A36+'Summary'!$B$10*12&gt;A48,I36,0)+IF(A37+'Summary'!$B$10*12&gt;A48,I37,0)+IF(A38+'Summary'!$B$10*12&gt;A48,I38,0)+IF(A39+'Summary'!$B$10*12&gt;A48,I39,0)+IF(A40+'Summary'!$B$10*12&gt;A48,I40,0)+IF(A41+'Summary'!$B$10*12&gt;A48,I41,0)+IF(A42+'Summary'!$B$10*12&gt;A48,I42,0)+IF(A43+'Summary'!$B$10*12&gt;A48,I43,0)+IF(A44+'Summary'!$B$10*12&gt;A48,I44,0)+IF(A45+'Summary'!$B$10*12&gt;A48,I45,0)+IF(A46+'Summary'!$B$10*12&gt;A48,I46,0)+IF(A47+'Summary'!$B$10*12&gt;A48,I47,0)+IF(A48+'Summary'!$B$10*12&gt;A48,I48,0)</x:f>
        <x:v>15499.268877273893</x:v>
      </x:c>
    </x:row>
    <x:row r="49">
      <x:c r="A49" s="55" t="n">
        <x:v>41</x:v>
      </x:c>
      <x:c r="B49" s="71" t="b">
        <x:f>A49&lt;='Summary'!$B$9*12</x:f>
        <x:v>1</x:v>
      </x:c>
      <x:c r="C49" s="62" t="n">
        <x:f>IF(A49=0,IF('Summary'!$B$6&gt;=5,'Summary'!$B$6,0),C48)+IF(A49&lt;'Summary'!$B$9*12,IF('Summary'!$B$7&gt;=5,'Summary'!$B$7,0),0)</x:f>
        <x:v>14200</x:v>
      </x:c>
      <x:c r="D49" s="62" t="n">
        <x:f>IF(A49=0,IF('Summary'!$B$6&gt;=5,'Summary'!$B$6,0),0)+IF(A49&lt;'Summary'!$B$9*12,IF('Summary'!$B$7&gt;=5,'Summary'!$B$7,0),0)</x:f>
        <x:v>100</x:v>
      </x:c>
      <x:c r="E49" s="62" t="n">
        <x:f>J48</x:f>
        <x:v>0</x:v>
      </x:c>
      <x:c r="F49" s="62" t="n">
        <x:f>(IF(AND(A49&gt;A8,A49&lt;=A8+'Summary'!$B$10*12,MOD(A49-A8,'Summary'!$B$11)=0),I8,0)+IF(AND(A49&gt;A9,A49&lt;=A9+'Summary'!$B$10*12,MOD(A49-A9,'Summary'!$B$11)=0),I9,0)+IF(AND(A49&gt;A10,A49&lt;=A10+'Summary'!$B$10*12,MOD(A49-A10,'Summary'!$B$11)=0),I10,0)+IF(AND(A49&gt;A11,A49&lt;=A11+'Summary'!$B$10*12,MOD(A49-A11,'Summary'!$B$11)=0),I11,0)+IF(AND(A49&gt;A12,A49&lt;=A12+'Summary'!$B$10*12,MOD(A49-A12,'Summary'!$B$11)=0),I12,0)+IF(AND(A49&gt;A13,A49&lt;=A13+'Summary'!$B$10*12,MOD(A49-A13,'Summary'!$B$11)=0),I13,0)+IF(AND(A49&gt;A14,A49&lt;=A14+'Summary'!$B$10*12,MOD(A49-A14,'Summary'!$B$11)=0),I14,0)+IF(AND(A49&gt;A15,A49&lt;=A15+'Summary'!$B$10*12,MOD(A49-A15,'Summary'!$B$11)=0),I15,0)+IF(AND(A49&gt;A16,A49&lt;=A16+'Summary'!$B$10*12,MOD(A49-A16,'Summary'!$B$11)=0),I16,0)+IF(AND(A49&gt;A17,A49&lt;=A17+'Summary'!$B$10*12,MOD(A49-A17,'Summary'!$B$11)=0),I17,0)+IF(AND(A49&gt;A18,A49&lt;=A18+'Summary'!$B$10*12,MOD(A49-A18,'Summary'!$B$11)=0),I18,0)+IF(AND(A49&gt;A19,A49&lt;=A19+'Summary'!$B$10*12,MOD(A49-A19,'Summary'!$B$11)=0),I19,0)+IF(AND(A49&gt;A20,A49&lt;=A20+'Summary'!$B$10*12,MOD(A49-A20,'Summary'!$B$11)=0),I20,0)+IF(AND(A49&gt;A21,A49&lt;=A21+'Summary'!$B$10*12,MOD(A49-A21,'Summary'!$B$11)=0),I21,0)+IF(AND(A49&gt;A22,A49&lt;=A22+'Summary'!$B$10*12,MOD(A49-A22,'Summary'!$B$11)=0),I22,0)+IF(AND(A49&gt;A23,A49&lt;=A23+'Summary'!$B$10*12,MOD(A49-A23,'Summary'!$B$11)=0),I23,0)+IF(AND(A49&gt;A24,A49&lt;=A24+'Summary'!$B$10*12,MOD(A49-A24,'Summary'!$B$11)=0),I24,0)+IF(AND(A49&gt;A25,A49&lt;=A25+'Summary'!$B$10*12,MOD(A49-A25,'Summary'!$B$11)=0),I25,0)+IF(AND(A49&gt;A26,A49&lt;=A26+'Summary'!$B$10*12,MOD(A49-A26,'Summary'!$B$11)=0),I26,0)+IF(AND(A49&gt;A27,A49&lt;=A27+'Summary'!$B$10*12,MOD(A49-A27,'Summary'!$B$11)=0),I27,0)+IF(AND(A49&gt;A28,A49&lt;=A28+'Summary'!$B$10*12,MOD(A49-A28,'Summary'!$B$11)=0),I28,0)+IF(AND(A49&gt;A29,A49&lt;=A29+'Summary'!$B$10*12,MOD(A49-A29,'Summary'!$B$11)=0),I29,0)+IF(AND(A49&gt;A30,A49&lt;=A30+'Summary'!$B$10*12,MOD(A49-A30,'Summary'!$B$11)=0),I30,0)+IF(AND(A49&gt;A31,A49&lt;=A31+'Summary'!$B$10*12,MOD(A49-A31,'Summary'!$B$11)=0),I31,0)+IF(AND(A49&gt;A32,A49&lt;=A32+'Summary'!$B$10*12,MOD(A49-A32,'Summary'!$B$11)=0),I32,0)+IF(AND(A49&gt;A33,A49&lt;=A33+'Summary'!$B$10*12,MOD(A49-A33,'Summary'!$B$11)=0),I33,0)+IF(AND(A49&gt;A34,A49&lt;=A34+'Summary'!$B$10*12,MOD(A49-A34,'Summary'!$B$11)=0),I34,0)+IF(AND(A49&gt;A35,A49&lt;=A35+'Summary'!$B$10*12,MOD(A49-A35,'Summary'!$B$11)=0),I35,0)+IF(AND(A49&gt;A36,A49&lt;=A36+'Summary'!$B$10*12,MOD(A49-A36,'Summary'!$B$11)=0),I36,0)+IF(AND(A49&gt;A37,A49&lt;=A37+'Summary'!$B$10*12,MOD(A49-A37,'Summary'!$B$11)=0),I37,0)+IF(AND(A49&gt;A38,A49&lt;=A38+'Summary'!$B$10*12,MOD(A49-A38,'Summary'!$B$11)=0),I38,0)+IF(AND(A49&gt;A39,A49&lt;=A39+'Summary'!$B$10*12,MOD(A49-A39,'Summary'!$B$11)=0),I39,0)+IF(AND(A49&gt;A40,A49&lt;=A40+'Summary'!$B$10*12,MOD(A49-A40,'Summary'!$B$11)=0),I40,0)+IF(AND(A49&gt;A41,A49&lt;=A41+'Summary'!$B$10*12,MOD(A49-A41,'Summary'!$B$11)=0),I41,0)+IF(AND(A49&gt;A42,A49&lt;=A42+'Summary'!$B$10*12,MOD(A49-A42,'Summary'!$B$11)=0),I42,0)+IF(AND(A49&gt;A43,A49&lt;=A43+'Summary'!$B$10*12,MOD(A49-A43,'Summary'!$B$11)=0),I43,0)+IF(AND(A49&gt;A44,A49&lt;=A44+'Summary'!$B$10*12,MOD(A49-A44,'Summary'!$B$11)=0),I44,0)+IF(AND(A49&gt;A45,A49&lt;=A45+'Summary'!$B$10*12,MOD(A49-A45,'Summary'!$B$11)=0),I45,0)+IF(AND(A49&gt;A46,A49&lt;=A46+'Summary'!$B$10*12,MOD(A49-A46,'Summary'!$B$11)=0),I46,0)+IF(AND(A49&gt;A47,A49&lt;=A47+'Summary'!$B$10*12,MOD(A49-A47,'Summary'!$B$11)=0),I47,0)+IF(AND(A49&gt;A48,A49&lt;=A48+'Summary'!$B$10*12,MOD(A49-A48,'Summary'!$B$11)=0),I48,0))*'Summary'!$B$8/2</x:f>
        <x:v>11.691990584344806</x:v>
      </x:c>
      <x:c r="G49" s="62" t="n">
        <x:f>IF(A49=A8+'Summary'!$B$10*12,I8,0)+IF(A49=A9+'Summary'!$B$10*12,I9,0)+IF(A49=A10+'Summary'!$B$10*12,I10,0)+IF(A49=A11+'Summary'!$B$10*12,I11,0)+IF(A49=A12+'Summary'!$B$10*12,I12,0)+IF(A49=A13+'Summary'!$B$10*12,I13,0)+IF(A49=A14+'Summary'!$B$10*12,I14,0)+IF(A49=A15+'Summary'!$B$10*12,I15,0)+IF(A49=A16+'Summary'!$B$10*12,I16,0)+IF(A49=A17+'Summary'!$B$10*12,I17,0)+IF(A49=A18+'Summary'!$B$10*12,I18,0)+IF(A49=A19+'Summary'!$B$10*12,I19,0)+IF(A49=A20+'Summary'!$B$10*12,I20,0)+IF(A49=A21+'Summary'!$B$10*12,I21,0)+IF(A49=A22+'Summary'!$B$10*12,I22,0)+IF(A49=A23+'Summary'!$B$10*12,I23,0)+IF(A49=A24+'Summary'!$B$10*12,I24,0)+IF(A49=A25+'Summary'!$B$10*12,I25,0)+IF(A49=A26+'Summary'!$B$10*12,I26,0)+IF(A49=A27+'Summary'!$B$10*12,I27,0)+IF(A49=A28+'Summary'!$B$10*12,I28,0)+IF(A49=A29+'Summary'!$B$10*12,I29,0)+IF(A49=A30+'Summary'!$B$10*12,I30,0)+IF(A49=A31+'Summary'!$B$10*12,I31,0)+IF(A49=A32+'Summary'!$B$10*12,I32,0)+IF(A49=A33+'Summary'!$B$10*12,I33,0)+IF(A49=A34+'Summary'!$B$10*12,I34,0)+IF(A49=A35+'Summary'!$B$10*12,I35,0)+IF(A49=A36+'Summary'!$B$10*12,I36,0)+IF(A49=A37+'Summary'!$B$10*12,I37,0)+IF(A49=A38+'Summary'!$B$10*12,I38,0)+IF(A49=A39+'Summary'!$B$10*12,I39,0)+IF(A49=A40+'Summary'!$B$10*12,I40,0)+IF(A49=A41+'Summary'!$B$10*12,I41,0)+IF(A49=A42+'Summary'!$B$10*12,I42,0)+IF(A49=A43+'Summary'!$B$10*12,I43,0)+IF(A49=A44+'Summary'!$B$10*12,I44,0)+IF(A49=A45+'Summary'!$B$10*12,I45,0)+IF(A49=A46+'Summary'!$B$10*12,I46,0)+IF(A49=A47+'Summary'!$B$10*12,I47,0)+IF(A49=A48+'Summary'!$B$10*12,I48,0)</x:f>
        <x:v>0</x:v>
      </x:c>
      <x:c r="H49" s="62" t="n">
        <x:f>E49+D49+F49+G49</x:f>
        <x:v>111.69199058434481</x:v>
      </x:c>
      <x:c r="I49" s="62" t="n">
        <x:f>IF(B49,IF(H49&gt;='Summary'!$B$12,H49,0),0)</x:f>
        <x:v>111.69199058434481</x:v>
      </x:c>
      <x:c r="J49" s="62" t="n">
        <x:f>H49-I49</x:f>
        <x:v>0</x:v>
      </x:c>
      <x:c r="K49" s="63" t="n">
        <x:f>J49+IF(A8+'Summary'!$B$10*12&gt;A49,I8,0)+IF(A9+'Summary'!$B$10*12&gt;A49,I9,0)+IF(A10+'Summary'!$B$10*12&gt;A49,I10,0)+IF(A11+'Summary'!$B$10*12&gt;A49,I11,0)+IF(A12+'Summary'!$B$10*12&gt;A49,I12,0)+IF(A13+'Summary'!$B$10*12&gt;A49,I13,0)+IF(A14+'Summary'!$B$10*12&gt;A49,I14,0)+IF(A15+'Summary'!$B$10*12&gt;A49,I15,0)+IF(A16+'Summary'!$B$10*12&gt;A49,I16,0)+IF(A17+'Summary'!$B$10*12&gt;A49,I17,0)+IF(A18+'Summary'!$B$10*12&gt;A49,I18,0)+IF(A19+'Summary'!$B$10*12&gt;A49,I19,0)+IF(A20+'Summary'!$B$10*12&gt;A49,I20,0)+IF(A21+'Summary'!$B$10*12&gt;A49,I21,0)+IF(A22+'Summary'!$B$10*12&gt;A49,I22,0)+IF(A23+'Summary'!$B$10*12&gt;A49,I23,0)+IF(A24+'Summary'!$B$10*12&gt;A49,I24,0)+IF(A25+'Summary'!$B$10*12&gt;A49,I25,0)+IF(A26+'Summary'!$B$10*12&gt;A49,I26,0)+IF(A27+'Summary'!$B$10*12&gt;A49,I27,0)+IF(A28+'Summary'!$B$10*12&gt;A49,I28,0)+IF(A29+'Summary'!$B$10*12&gt;A49,I29,0)+IF(A30+'Summary'!$B$10*12&gt;A49,I30,0)+IF(A31+'Summary'!$B$10*12&gt;A49,I31,0)+IF(A32+'Summary'!$B$10*12&gt;A49,I32,0)+IF(A33+'Summary'!$B$10*12&gt;A49,I33,0)+IF(A34+'Summary'!$B$10*12&gt;A49,I34,0)+IF(A35+'Summary'!$B$10*12&gt;A49,I35,0)+IF(A36+'Summary'!$B$10*12&gt;A49,I36,0)+IF(A37+'Summary'!$B$10*12&gt;A49,I37,0)+IF(A38+'Summary'!$B$10*12&gt;A49,I38,0)+IF(A39+'Summary'!$B$10*12&gt;A49,I39,0)+IF(A40+'Summary'!$B$10*12&gt;A49,I40,0)+IF(A41+'Summary'!$B$10*12&gt;A49,I41,0)+IF(A42+'Summary'!$B$10*12&gt;A49,I42,0)+IF(A43+'Summary'!$B$10*12&gt;A49,I43,0)+IF(A44+'Summary'!$B$10*12&gt;A49,I44,0)+IF(A45+'Summary'!$B$10*12&gt;A49,I45,0)+IF(A46+'Summary'!$B$10*12&gt;A49,I46,0)+IF(A47+'Summary'!$B$10*12&gt;A49,I47,0)+IF(A48+'Summary'!$B$10*12&gt;A49,I48,0)+IF(A49+'Summary'!$B$10*12&gt;A49,I49,0)</x:f>
        <x:v>15610.960867858237</x:v>
      </x:c>
    </x:row>
    <x:row r="50">
      <x:c r="A50" s="55" t="n">
        <x:v>42</x:v>
      </x:c>
      <x:c r="B50" s="71" t="b">
        <x:f>A50&lt;='Summary'!$B$9*12</x:f>
        <x:v>1</x:v>
      </x:c>
      <x:c r="C50" s="62" t="n">
        <x:f>IF(A50=0,IF('Summary'!$B$6&gt;=5,'Summary'!$B$6,0),C49)+IF(A50&lt;'Summary'!$B$9*12,IF('Summary'!$B$7&gt;=5,'Summary'!$B$7,0),0)</x:f>
        <x:v>14300</x:v>
      </x:c>
      <x:c r="D50" s="62" t="n">
        <x:f>IF(A50=0,IF('Summary'!$B$6&gt;=5,'Summary'!$B$6,0),0)+IF(A50&lt;'Summary'!$B$9*12,IF('Summary'!$B$7&gt;=5,'Summary'!$B$7,0),0)</x:f>
        <x:v>100</x:v>
      </x:c>
      <x:c r="E50" s="62" t="n">
        <x:f>J49</x:f>
        <x:v>0</x:v>
      </x:c>
      <x:c r="F50" s="62" t="n">
        <x:f>(IF(AND(A50&gt;A8,A50&lt;=A8+'Summary'!$B$10*12,MOD(A50-A8,'Summary'!$B$11)=0),I8,0)+IF(AND(A50&gt;A9,A50&lt;=A9+'Summary'!$B$10*12,MOD(A50-A9,'Summary'!$B$11)=0),I9,0)+IF(AND(A50&gt;A10,A50&lt;=A10+'Summary'!$B$10*12,MOD(A50-A10,'Summary'!$B$11)=0),I10,0)+IF(AND(A50&gt;A11,A50&lt;=A11+'Summary'!$B$10*12,MOD(A50-A11,'Summary'!$B$11)=0),I11,0)+IF(AND(A50&gt;A12,A50&lt;=A12+'Summary'!$B$10*12,MOD(A50-A12,'Summary'!$B$11)=0),I12,0)+IF(AND(A50&gt;A13,A50&lt;=A13+'Summary'!$B$10*12,MOD(A50-A13,'Summary'!$B$11)=0),I13,0)+IF(AND(A50&gt;A14,A50&lt;=A14+'Summary'!$B$10*12,MOD(A50-A14,'Summary'!$B$11)=0),I14,0)+IF(AND(A50&gt;A15,A50&lt;=A15+'Summary'!$B$10*12,MOD(A50-A15,'Summary'!$B$11)=0),I15,0)+IF(AND(A50&gt;A16,A50&lt;=A16+'Summary'!$B$10*12,MOD(A50-A16,'Summary'!$B$11)=0),I16,0)+IF(AND(A50&gt;A17,A50&lt;=A17+'Summary'!$B$10*12,MOD(A50-A17,'Summary'!$B$11)=0),I17,0)+IF(AND(A50&gt;A18,A50&lt;=A18+'Summary'!$B$10*12,MOD(A50-A18,'Summary'!$B$11)=0),I18,0)+IF(AND(A50&gt;A19,A50&lt;=A19+'Summary'!$B$10*12,MOD(A50-A19,'Summary'!$B$11)=0),I19,0)+IF(AND(A50&gt;A20,A50&lt;=A20+'Summary'!$B$10*12,MOD(A50-A20,'Summary'!$B$11)=0),I20,0)+IF(AND(A50&gt;A21,A50&lt;=A21+'Summary'!$B$10*12,MOD(A50-A21,'Summary'!$B$11)=0),I21,0)+IF(AND(A50&gt;A22,A50&lt;=A22+'Summary'!$B$10*12,MOD(A50-A22,'Summary'!$B$11)=0),I22,0)+IF(AND(A50&gt;A23,A50&lt;=A23+'Summary'!$B$10*12,MOD(A50-A23,'Summary'!$B$11)=0),I23,0)+IF(AND(A50&gt;A24,A50&lt;=A24+'Summary'!$B$10*12,MOD(A50-A24,'Summary'!$B$11)=0),I24,0)+IF(AND(A50&gt;A25,A50&lt;=A25+'Summary'!$B$10*12,MOD(A50-A25,'Summary'!$B$11)=0),I25,0)+IF(AND(A50&gt;A26,A50&lt;=A26+'Summary'!$B$10*12,MOD(A50-A26,'Summary'!$B$11)=0),I26,0)+IF(AND(A50&gt;A27,A50&lt;=A27+'Summary'!$B$10*12,MOD(A50-A27,'Summary'!$B$11)=0),I27,0)+IF(AND(A50&gt;A28,A50&lt;=A28+'Summary'!$B$10*12,MOD(A50-A28,'Summary'!$B$11)=0),I28,0)+IF(AND(A50&gt;A29,A50&lt;=A29+'Summary'!$B$10*12,MOD(A50-A29,'Summary'!$B$11)=0),I29,0)+IF(AND(A50&gt;A30,A50&lt;=A30+'Summary'!$B$10*12,MOD(A50-A30,'Summary'!$B$11)=0),I30,0)+IF(AND(A50&gt;A31,A50&lt;=A31+'Summary'!$B$10*12,MOD(A50-A31,'Summary'!$B$11)=0),I31,0)+IF(AND(A50&gt;A32,A50&lt;=A32+'Summary'!$B$10*12,MOD(A50-A32,'Summary'!$B$11)=0),I32,0)+IF(AND(A50&gt;A33,A50&lt;=A33+'Summary'!$B$10*12,MOD(A50-A33,'Summary'!$B$11)=0),I33,0)+IF(AND(A50&gt;A34,A50&lt;=A34+'Summary'!$B$10*12,MOD(A50-A34,'Summary'!$B$11)=0),I34,0)+IF(AND(A50&gt;A35,A50&lt;=A35+'Summary'!$B$10*12,MOD(A50-A35,'Summary'!$B$11)=0),I35,0)+IF(AND(A50&gt;A36,A50&lt;=A36+'Summary'!$B$10*12,MOD(A50-A36,'Summary'!$B$11)=0),I36,0)+IF(AND(A50&gt;A37,A50&lt;=A37+'Summary'!$B$10*12,MOD(A50-A37,'Summary'!$B$11)=0),I37,0)+IF(AND(A50&gt;A38,A50&lt;=A38+'Summary'!$B$10*12,MOD(A50-A38,'Summary'!$B$11)=0),I38,0)+IF(AND(A50&gt;A39,A50&lt;=A39+'Summary'!$B$10*12,MOD(A50-A39,'Summary'!$B$11)=0),I39,0)+IF(AND(A50&gt;A40,A50&lt;=A40+'Summary'!$B$10*12,MOD(A50-A40,'Summary'!$B$11)=0),I40,0)+IF(AND(A50&gt;A41,A50&lt;=A41+'Summary'!$B$10*12,MOD(A50-A41,'Summary'!$B$11)=0),I41,0)+IF(AND(A50&gt;A42,A50&lt;=A42+'Summary'!$B$10*12,MOD(A50-A42,'Summary'!$B$11)=0),I42,0)+IF(AND(A50&gt;A43,A50&lt;=A43+'Summary'!$B$10*12,MOD(A50-A43,'Summary'!$B$11)=0),I43,0)+IF(AND(A50&gt;A44,A50&lt;=A44+'Summary'!$B$10*12,MOD(A50-A44,'Summary'!$B$11)=0),I44,0)+IF(AND(A50&gt;A45,A50&lt;=A45+'Summary'!$B$10*12,MOD(A50-A45,'Summary'!$B$11)=0),I45,0)+IF(AND(A50&gt;A46,A50&lt;=A46+'Summary'!$B$10*12,MOD(A50-A46,'Summary'!$B$11)=0),I46,0)+IF(AND(A50&gt;A47,A50&lt;=A47+'Summary'!$B$10*12,MOD(A50-A47,'Summary'!$B$11)=0),I47,0)+IF(AND(A50&gt;A48,A50&lt;=A48+'Summary'!$B$10*12,MOD(A50-A48,'Summary'!$B$11)=0),I48,0)+IF(AND(A50&gt;A49,A50&lt;=A49+'Summary'!$B$10*12,MOD(A50-A49,'Summary'!$B$11)=0),I49,0))*'Summary'!$B$8/2</x:f>
        <x:v>221.51656409609498</x:v>
      </x:c>
      <x:c r="G50" s="62" t="n">
        <x:f>IF(A50=A8+'Summary'!$B$10*12,I8,0)+IF(A50=A9+'Summary'!$B$10*12,I9,0)+IF(A50=A10+'Summary'!$B$10*12,I10,0)+IF(A50=A11+'Summary'!$B$10*12,I11,0)+IF(A50=A12+'Summary'!$B$10*12,I12,0)+IF(A50=A13+'Summary'!$B$10*12,I13,0)+IF(A50=A14+'Summary'!$B$10*12,I14,0)+IF(A50=A15+'Summary'!$B$10*12,I15,0)+IF(A50=A16+'Summary'!$B$10*12,I16,0)+IF(A50=A17+'Summary'!$B$10*12,I17,0)+IF(A50=A18+'Summary'!$B$10*12,I18,0)+IF(A50=A19+'Summary'!$B$10*12,I19,0)+IF(A50=A20+'Summary'!$B$10*12,I20,0)+IF(A50=A21+'Summary'!$B$10*12,I21,0)+IF(A50=A22+'Summary'!$B$10*12,I22,0)+IF(A50=A23+'Summary'!$B$10*12,I23,0)+IF(A50=A24+'Summary'!$B$10*12,I24,0)+IF(A50=A25+'Summary'!$B$10*12,I25,0)+IF(A50=A26+'Summary'!$B$10*12,I26,0)+IF(A50=A27+'Summary'!$B$10*12,I27,0)+IF(A50=A28+'Summary'!$B$10*12,I28,0)+IF(A50=A29+'Summary'!$B$10*12,I29,0)+IF(A50=A30+'Summary'!$B$10*12,I30,0)+IF(A50=A31+'Summary'!$B$10*12,I31,0)+IF(A50=A32+'Summary'!$B$10*12,I32,0)+IF(A50=A33+'Summary'!$B$10*12,I33,0)+IF(A50=A34+'Summary'!$B$10*12,I34,0)+IF(A50=A35+'Summary'!$B$10*12,I35,0)+IF(A50=A36+'Summary'!$B$10*12,I36,0)+IF(A50=A37+'Summary'!$B$10*12,I37,0)+IF(A50=A38+'Summary'!$B$10*12,I38,0)+IF(A50=A39+'Summary'!$B$10*12,I39,0)+IF(A50=A40+'Summary'!$B$10*12,I40,0)+IF(A50=A41+'Summary'!$B$10*12,I41,0)+IF(A50=A42+'Summary'!$B$10*12,I42,0)+IF(A50=A43+'Summary'!$B$10*12,I43,0)+IF(A50=A44+'Summary'!$B$10*12,I44,0)+IF(A50=A45+'Summary'!$B$10*12,I45,0)+IF(A50=A46+'Summary'!$B$10*12,I46,0)+IF(A50=A47+'Summary'!$B$10*12,I47,0)+IF(A50=A48+'Summary'!$B$10*12,I48,0)+IF(A50=A49+'Summary'!$B$10*12,I49,0)</x:f>
        <x:v>0</x:v>
      </x:c>
      <x:c r="H50" s="62" t="n">
        <x:f>E50+D50+F50+G50</x:f>
        <x:v>321.51656409609495</x:v>
      </x:c>
      <x:c r="I50" s="62" t="n">
        <x:f>IF(B50,IF(H50&gt;='Summary'!$B$12,H50,0),0)</x:f>
        <x:v>321.51656409609495</x:v>
      </x:c>
      <x:c r="J50" s="62" t="n">
        <x:f>H50-I50</x:f>
        <x:v>0</x:v>
      </x:c>
      <x:c r="K50" s="63" t="n">
        <x:f>J50+IF(A8+'Summary'!$B$10*12&gt;A50,I8,0)+IF(A9+'Summary'!$B$10*12&gt;A50,I9,0)+IF(A10+'Summary'!$B$10*12&gt;A50,I10,0)+IF(A11+'Summary'!$B$10*12&gt;A50,I11,0)+IF(A12+'Summary'!$B$10*12&gt;A50,I12,0)+IF(A13+'Summary'!$B$10*12&gt;A50,I13,0)+IF(A14+'Summary'!$B$10*12&gt;A50,I14,0)+IF(A15+'Summary'!$B$10*12&gt;A50,I15,0)+IF(A16+'Summary'!$B$10*12&gt;A50,I16,0)+IF(A17+'Summary'!$B$10*12&gt;A50,I17,0)+IF(A18+'Summary'!$B$10*12&gt;A50,I18,0)+IF(A19+'Summary'!$B$10*12&gt;A50,I19,0)+IF(A20+'Summary'!$B$10*12&gt;A50,I20,0)+IF(A21+'Summary'!$B$10*12&gt;A50,I21,0)+IF(A22+'Summary'!$B$10*12&gt;A50,I22,0)+IF(A23+'Summary'!$B$10*12&gt;A50,I23,0)+IF(A24+'Summary'!$B$10*12&gt;A50,I24,0)+IF(A25+'Summary'!$B$10*12&gt;A50,I25,0)+IF(A26+'Summary'!$B$10*12&gt;A50,I26,0)+IF(A27+'Summary'!$B$10*12&gt;A50,I27,0)+IF(A28+'Summary'!$B$10*12&gt;A50,I28,0)+IF(A29+'Summary'!$B$10*12&gt;A50,I29,0)+IF(A30+'Summary'!$B$10*12&gt;A50,I30,0)+IF(A31+'Summary'!$B$10*12&gt;A50,I31,0)+IF(A32+'Summary'!$B$10*12&gt;A50,I32,0)+IF(A33+'Summary'!$B$10*12&gt;A50,I33,0)+IF(A34+'Summary'!$B$10*12&gt;A50,I34,0)+IF(A35+'Summary'!$B$10*12&gt;A50,I35,0)+IF(A36+'Summary'!$B$10*12&gt;A50,I36,0)+IF(A37+'Summary'!$B$10*12&gt;A50,I37,0)+IF(A38+'Summary'!$B$10*12&gt;A50,I38,0)+IF(A39+'Summary'!$B$10*12&gt;A50,I39,0)+IF(A40+'Summary'!$B$10*12&gt;A50,I40,0)+IF(A41+'Summary'!$B$10*12&gt;A50,I41,0)+IF(A42+'Summary'!$B$10*12&gt;A50,I42,0)+IF(A43+'Summary'!$B$10*12&gt;A50,I43,0)+IF(A44+'Summary'!$B$10*12&gt;A50,I44,0)+IF(A45+'Summary'!$B$10*12&gt;A50,I45,0)+IF(A46+'Summary'!$B$10*12&gt;A50,I46,0)+IF(A47+'Summary'!$B$10*12&gt;A50,I47,0)+IF(A48+'Summary'!$B$10*12&gt;A50,I48,0)+IF(A49+'Summary'!$B$10*12&gt;A50,I49,0)+IF(A50+'Summary'!$B$10*12&gt;A50,I50,0)</x:f>
        <x:v>15932.477431954332</x:v>
      </x:c>
    </x:row>
    <x:row r="51">
      <x:c r="A51" s="55" t="n">
        <x:v>43</x:v>
      </x:c>
      <x:c r="B51" s="71" t="b">
        <x:f>A51&lt;='Summary'!$B$9*12</x:f>
        <x:v>1</x:v>
      </x:c>
      <x:c r="C51" s="62" t="n">
        <x:f>IF(A51=0,IF('Summary'!$B$6&gt;=5,'Summary'!$B$6,0),C50)+IF(A51&lt;'Summary'!$B$9*12,IF('Summary'!$B$7&gt;=5,'Summary'!$B$7,0),0)</x:f>
        <x:v>14400</x:v>
      </x:c>
      <x:c r="D51" s="62" t="n">
        <x:f>IF(A51=0,IF('Summary'!$B$6&gt;=5,'Summary'!$B$6,0),0)+IF(A51&lt;'Summary'!$B$9*12,IF('Summary'!$B$7&gt;=5,'Summary'!$B$7,0),0)</x:f>
        <x:v>100</x:v>
      </x:c>
      <x:c r="E51" s="62" t="n">
        <x:f>J50</x:f>
        <x:v>0</x:v>
      </x:c>
      <x:c r="F51" s="62" t="n">
        <x:f>(IF(AND(A51&gt;A8,A51&lt;=A8+'Summary'!$B$10*12,MOD(A51-A8,'Summary'!$B$11)=0),I8,0)+IF(AND(A51&gt;A9,A51&lt;=A9+'Summary'!$B$10*12,MOD(A51-A9,'Summary'!$B$11)=0),I9,0)+IF(AND(A51&gt;A10,A51&lt;=A10+'Summary'!$B$10*12,MOD(A51-A10,'Summary'!$B$11)=0),I10,0)+IF(AND(A51&gt;A11,A51&lt;=A11+'Summary'!$B$10*12,MOD(A51-A11,'Summary'!$B$11)=0),I11,0)+IF(AND(A51&gt;A12,A51&lt;=A12+'Summary'!$B$10*12,MOD(A51-A12,'Summary'!$B$11)=0),I12,0)+IF(AND(A51&gt;A13,A51&lt;=A13+'Summary'!$B$10*12,MOD(A51-A13,'Summary'!$B$11)=0),I13,0)+IF(AND(A51&gt;A14,A51&lt;=A14+'Summary'!$B$10*12,MOD(A51-A14,'Summary'!$B$11)=0),I14,0)+IF(AND(A51&gt;A15,A51&lt;=A15+'Summary'!$B$10*12,MOD(A51-A15,'Summary'!$B$11)=0),I15,0)+IF(AND(A51&gt;A16,A51&lt;=A16+'Summary'!$B$10*12,MOD(A51-A16,'Summary'!$B$11)=0),I16,0)+IF(AND(A51&gt;A17,A51&lt;=A17+'Summary'!$B$10*12,MOD(A51-A17,'Summary'!$B$11)=0),I17,0)+IF(AND(A51&gt;A18,A51&lt;=A18+'Summary'!$B$10*12,MOD(A51-A18,'Summary'!$B$11)=0),I18,0)+IF(AND(A51&gt;A19,A51&lt;=A19+'Summary'!$B$10*12,MOD(A51-A19,'Summary'!$B$11)=0),I19,0)+IF(AND(A51&gt;A20,A51&lt;=A20+'Summary'!$B$10*12,MOD(A51-A20,'Summary'!$B$11)=0),I20,0)+IF(AND(A51&gt;A21,A51&lt;=A21+'Summary'!$B$10*12,MOD(A51-A21,'Summary'!$B$11)=0),I21,0)+IF(AND(A51&gt;A22,A51&lt;=A22+'Summary'!$B$10*12,MOD(A51-A22,'Summary'!$B$11)=0),I22,0)+IF(AND(A51&gt;A23,A51&lt;=A23+'Summary'!$B$10*12,MOD(A51-A23,'Summary'!$B$11)=0),I23,0)+IF(AND(A51&gt;A24,A51&lt;=A24+'Summary'!$B$10*12,MOD(A51-A24,'Summary'!$B$11)=0),I24,0)+IF(AND(A51&gt;A25,A51&lt;=A25+'Summary'!$B$10*12,MOD(A51-A25,'Summary'!$B$11)=0),I25,0)+IF(AND(A51&gt;A26,A51&lt;=A26+'Summary'!$B$10*12,MOD(A51-A26,'Summary'!$B$11)=0),I26,0)+IF(AND(A51&gt;A27,A51&lt;=A27+'Summary'!$B$10*12,MOD(A51-A27,'Summary'!$B$11)=0),I27,0)+IF(AND(A51&gt;A28,A51&lt;=A28+'Summary'!$B$10*12,MOD(A51-A28,'Summary'!$B$11)=0),I28,0)+IF(AND(A51&gt;A29,A51&lt;=A29+'Summary'!$B$10*12,MOD(A51-A29,'Summary'!$B$11)=0),I29,0)+IF(AND(A51&gt;A30,A51&lt;=A30+'Summary'!$B$10*12,MOD(A51-A30,'Summary'!$B$11)=0),I30,0)+IF(AND(A51&gt;A31,A51&lt;=A31+'Summary'!$B$10*12,MOD(A51-A31,'Summary'!$B$11)=0),I31,0)+IF(AND(A51&gt;A32,A51&lt;=A32+'Summary'!$B$10*12,MOD(A51-A32,'Summary'!$B$11)=0),I32,0)+IF(AND(A51&gt;A33,A51&lt;=A33+'Summary'!$B$10*12,MOD(A51-A33,'Summary'!$B$11)=0),I33,0)+IF(AND(A51&gt;A34,A51&lt;=A34+'Summary'!$B$10*12,MOD(A51-A34,'Summary'!$B$11)=0),I34,0)+IF(AND(A51&gt;A35,A51&lt;=A35+'Summary'!$B$10*12,MOD(A51-A35,'Summary'!$B$11)=0),I35,0)+IF(AND(A51&gt;A36,A51&lt;=A36+'Summary'!$B$10*12,MOD(A51-A36,'Summary'!$B$11)=0),I36,0)+IF(AND(A51&gt;A37,A51&lt;=A37+'Summary'!$B$10*12,MOD(A51-A37,'Summary'!$B$11)=0),I37,0)+IF(AND(A51&gt;A38,A51&lt;=A38+'Summary'!$B$10*12,MOD(A51-A38,'Summary'!$B$11)=0),I38,0)+IF(AND(A51&gt;A39,A51&lt;=A39+'Summary'!$B$10*12,MOD(A51-A39,'Summary'!$B$11)=0),I39,0)+IF(AND(A51&gt;A40,A51&lt;=A40+'Summary'!$B$10*12,MOD(A51-A40,'Summary'!$B$11)=0),I40,0)+IF(AND(A51&gt;A41,A51&lt;=A41+'Summary'!$B$10*12,MOD(A51-A41,'Summary'!$B$11)=0),I41,0)+IF(AND(A51&gt;A42,A51&lt;=A42+'Summary'!$B$10*12,MOD(A51-A42,'Summary'!$B$11)=0),I42,0)+IF(AND(A51&gt;A43,A51&lt;=A43+'Summary'!$B$10*12,MOD(A51-A43,'Summary'!$B$11)=0),I43,0)+IF(AND(A51&gt;A44,A51&lt;=A44+'Summary'!$B$10*12,MOD(A51-A44,'Summary'!$B$11)=0),I44,0)+IF(AND(A51&gt;A45,A51&lt;=A45+'Summary'!$B$10*12,MOD(A51-A45,'Summary'!$B$11)=0),I45,0)+IF(AND(A51&gt;A46,A51&lt;=A46+'Summary'!$B$10*12,MOD(A51-A46,'Summary'!$B$11)=0),I46,0)+IF(AND(A51&gt;A47,A51&lt;=A47+'Summary'!$B$10*12,MOD(A51-A47,'Summary'!$B$11)=0),I47,0)+IF(AND(A51&gt;A48,A51&lt;=A48+'Summary'!$B$10*12,MOD(A51-A48,'Summary'!$B$11)=0),I48,0)+IF(AND(A51&gt;A49,A51&lt;=A49+'Summary'!$B$10*12,MOD(A51-A49,'Summary'!$B$11)=0),I49,0)+IF(AND(A51&gt;A50,A51&lt;=A50+'Summary'!$B$10*12,MOD(A51-A50,'Summary'!$B$11)=0),I50,0))*'Summary'!$B$8/2</x:f>
        <x:v>13.769461609213618</x:v>
      </x:c>
      <x:c r="G51" s="62" t="n">
        <x:f>IF(A51=A8+'Summary'!$B$10*12,I8,0)+IF(A51=A9+'Summary'!$B$10*12,I9,0)+IF(A51=A10+'Summary'!$B$10*12,I10,0)+IF(A51=A11+'Summary'!$B$10*12,I11,0)+IF(A51=A12+'Summary'!$B$10*12,I12,0)+IF(A51=A13+'Summary'!$B$10*12,I13,0)+IF(A51=A14+'Summary'!$B$10*12,I14,0)+IF(A51=A15+'Summary'!$B$10*12,I15,0)+IF(A51=A16+'Summary'!$B$10*12,I16,0)+IF(A51=A17+'Summary'!$B$10*12,I17,0)+IF(A51=A18+'Summary'!$B$10*12,I18,0)+IF(A51=A19+'Summary'!$B$10*12,I19,0)+IF(A51=A20+'Summary'!$B$10*12,I20,0)+IF(A51=A21+'Summary'!$B$10*12,I21,0)+IF(A51=A22+'Summary'!$B$10*12,I22,0)+IF(A51=A23+'Summary'!$B$10*12,I23,0)+IF(A51=A24+'Summary'!$B$10*12,I24,0)+IF(A51=A25+'Summary'!$B$10*12,I25,0)+IF(A51=A26+'Summary'!$B$10*12,I26,0)+IF(A51=A27+'Summary'!$B$10*12,I27,0)+IF(A51=A28+'Summary'!$B$10*12,I28,0)+IF(A51=A29+'Summary'!$B$10*12,I29,0)+IF(A51=A30+'Summary'!$B$10*12,I30,0)+IF(A51=A31+'Summary'!$B$10*12,I31,0)+IF(A51=A32+'Summary'!$B$10*12,I32,0)+IF(A51=A33+'Summary'!$B$10*12,I33,0)+IF(A51=A34+'Summary'!$B$10*12,I34,0)+IF(A51=A35+'Summary'!$B$10*12,I35,0)+IF(A51=A36+'Summary'!$B$10*12,I36,0)+IF(A51=A37+'Summary'!$B$10*12,I37,0)+IF(A51=A38+'Summary'!$B$10*12,I38,0)+IF(A51=A39+'Summary'!$B$10*12,I39,0)+IF(A51=A40+'Summary'!$B$10*12,I40,0)+IF(A51=A41+'Summary'!$B$10*12,I41,0)+IF(A51=A42+'Summary'!$B$10*12,I42,0)+IF(A51=A43+'Summary'!$B$10*12,I43,0)+IF(A51=A44+'Summary'!$B$10*12,I44,0)+IF(A51=A45+'Summary'!$B$10*12,I45,0)+IF(A51=A46+'Summary'!$B$10*12,I46,0)+IF(A51=A47+'Summary'!$B$10*12,I47,0)+IF(A51=A48+'Summary'!$B$10*12,I48,0)+IF(A51=A49+'Summary'!$B$10*12,I49,0)+IF(A51=A50+'Summary'!$B$10*12,I50,0)</x:f>
        <x:v>0</x:v>
      </x:c>
      <x:c r="H51" s="62" t="n">
        <x:f>E51+D51+F51+G51</x:f>
        <x:v>113.76946160921362</x:v>
      </x:c>
      <x:c r="I51" s="62" t="n">
        <x:f>IF(B51,IF(H51&gt;='Summary'!$B$12,H51,0),0)</x:f>
        <x:v>113.76946160921362</x:v>
      </x:c>
      <x:c r="J51" s="62" t="n">
        <x:f>H51-I51</x:f>
        <x:v>0</x:v>
      </x:c>
      <x:c r="K51" s="63" t="n">
        <x:f>J51+IF(A8+'Summary'!$B$10*12&gt;A51,I8,0)+IF(A9+'Summary'!$B$10*12&gt;A51,I9,0)+IF(A10+'Summary'!$B$10*12&gt;A51,I10,0)+IF(A11+'Summary'!$B$10*12&gt;A51,I11,0)+IF(A12+'Summary'!$B$10*12&gt;A51,I12,0)+IF(A13+'Summary'!$B$10*12&gt;A51,I13,0)+IF(A14+'Summary'!$B$10*12&gt;A51,I14,0)+IF(A15+'Summary'!$B$10*12&gt;A51,I15,0)+IF(A16+'Summary'!$B$10*12&gt;A51,I16,0)+IF(A17+'Summary'!$B$10*12&gt;A51,I17,0)+IF(A18+'Summary'!$B$10*12&gt;A51,I18,0)+IF(A19+'Summary'!$B$10*12&gt;A51,I19,0)+IF(A20+'Summary'!$B$10*12&gt;A51,I20,0)+IF(A21+'Summary'!$B$10*12&gt;A51,I21,0)+IF(A22+'Summary'!$B$10*12&gt;A51,I22,0)+IF(A23+'Summary'!$B$10*12&gt;A51,I23,0)+IF(A24+'Summary'!$B$10*12&gt;A51,I24,0)+IF(A25+'Summary'!$B$10*12&gt;A51,I25,0)+IF(A26+'Summary'!$B$10*12&gt;A51,I26,0)+IF(A27+'Summary'!$B$10*12&gt;A51,I27,0)+IF(A28+'Summary'!$B$10*12&gt;A51,I28,0)+IF(A29+'Summary'!$B$10*12&gt;A51,I29,0)+IF(A30+'Summary'!$B$10*12&gt;A51,I30,0)+IF(A31+'Summary'!$B$10*12&gt;A51,I31,0)+IF(A32+'Summary'!$B$10*12&gt;A51,I32,0)+IF(A33+'Summary'!$B$10*12&gt;A51,I33,0)+IF(A34+'Summary'!$B$10*12&gt;A51,I34,0)+IF(A35+'Summary'!$B$10*12&gt;A51,I35,0)+IF(A36+'Summary'!$B$10*12&gt;A51,I36,0)+IF(A37+'Summary'!$B$10*12&gt;A51,I37,0)+IF(A38+'Summary'!$B$10*12&gt;A51,I38,0)+IF(A39+'Summary'!$B$10*12&gt;A51,I39,0)+IF(A40+'Summary'!$B$10*12&gt;A51,I40,0)+IF(A41+'Summary'!$B$10*12&gt;A51,I41,0)+IF(A42+'Summary'!$B$10*12&gt;A51,I42,0)+IF(A43+'Summary'!$B$10*12&gt;A51,I43,0)+IF(A44+'Summary'!$B$10*12&gt;A51,I44,0)+IF(A45+'Summary'!$B$10*12&gt;A51,I45,0)+IF(A46+'Summary'!$B$10*12&gt;A51,I46,0)+IF(A47+'Summary'!$B$10*12&gt;A51,I47,0)+IF(A48+'Summary'!$B$10*12&gt;A51,I48,0)+IF(A49+'Summary'!$B$10*12&gt;A51,I49,0)+IF(A50+'Summary'!$B$10*12&gt;A51,I50,0)+IF(A51+'Summary'!$B$10*12&gt;A51,I51,0)</x:f>
        <x:v>16046.246893563546</x:v>
      </x:c>
    </x:row>
    <x:row r="52">
      <x:c r="A52" s="55" t="n">
        <x:v>44</x:v>
      </x:c>
      <x:c r="B52" s="71" t="b">
        <x:f>A52&lt;='Summary'!$B$9*12</x:f>
        <x:v>1</x:v>
      </x:c>
      <x:c r="C52" s="62" t="n">
        <x:f>IF(A52=0,IF('Summary'!$B$6&gt;=5,'Summary'!$B$6,0),C51)+IF(A52&lt;'Summary'!$B$9*12,IF('Summary'!$B$7&gt;=5,'Summary'!$B$7,0),0)</x:f>
        <x:v>14500</x:v>
      </x:c>
      <x:c r="D52" s="62" t="n">
        <x:f>IF(A52=0,IF('Summary'!$B$6&gt;=5,'Summary'!$B$6,0),0)+IF(A52&lt;'Summary'!$B$9*12,IF('Summary'!$B$7&gt;=5,'Summary'!$B$7,0),0)</x:f>
        <x:v>100</x:v>
      </x:c>
      <x:c r="E52" s="62" t="n">
        <x:f>J51</x:f>
        <x:v>0</x:v>
      </x:c>
      <x:c r="F52" s="62" t="n">
        <x:f>(IF(AND(A52&gt;A8,A52&lt;=A8+'Summary'!$B$10*12,MOD(A52-A8,'Summary'!$B$11)=0),I8,0)+IF(AND(A52&gt;A9,A52&lt;=A9+'Summary'!$B$10*12,MOD(A52-A9,'Summary'!$B$11)=0),I9,0)+IF(AND(A52&gt;A10,A52&lt;=A10+'Summary'!$B$10*12,MOD(A52-A10,'Summary'!$B$11)=0),I10,0)+IF(AND(A52&gt;A11,A52&lt;=A11+'Summary'!$B$10*12,MOD(A52-A11,'Summary'!$B$11)=0),I11,0)+IF(AND(A52&gt;A12,A52&lt;=A12+'Summary'!$B$10*12,MOD(A52-A12,'Summary'!$B$11)=0),I12,0)+IF(AND(A52&gt;A13,A52&lt;=A13+'Summary'!$B$10*12,MOD(A52-A13,'Summary'!$B$11)=0),I13,0)+IF(AND(A52&gt;A14,A52&lt;=A14+'Summary'!$B$10*12,MOD(A52-A14,'Summary'!$B$11)=0),I14,0)+IF(AND(A52&gt;A15,A52&lt;=A15+'Summary'!$B$10*12,MOD(A52-A15,'Summary'!$B$11)=0),I15,0)+IF(AND(A52&gt;A16,A52&lt;=A16+'Summary'!$B$10*12,MOD(A52-A16,'Summary'!$B$11)=0),I16,0)+IF(AND(A52&gt;A17,A52&lt;=A17+'Summary'!$B$10*12,MOD(A52-A17,'Summary'!$B$11)=0),I17,0)+IF(AND(A52&gt;A18,A52&lt;=A18+'Summary'!$B$10*12,MOD(A52-A18,'Summary'!$B$11)=0),I18,0)+IF(AND(A52&gt;A19,A52&lt;=A19+'Summary'!$B$10*12,MOD(A52-A19,'Summary'!$B$11)=0),I19,0)+IF(AND(A52&gt;A20,A52&lt;=A20+'Summary'!$B$10*12,MOD(A52-A20,'Summary'!$B$11)=0),I20,0)+IF(AND(A52&gt;A21,A52&lt;=A21+'Summary'!$B$10*12,MOD(A52-A21,'Summary'!$B$11)=0),I21,0)+IF(AND(A52&gt;A22,A52&lt;=A22+'Summary'!$B$10*12,MOD(A52-A22,'Summary'!$B$11)=0),I22,0)+IF(AND(A52&gt;A23,A52&lt;=A23+'Summary'!$B$10*12,MOD(A52-A23,'Summary'!$B$11)=0),I23,0)+IF(AND(A52&gt;A24,A52&lt;=A24+'Summary'!$B$10*12,MOD(A52-A24,'Summary'!$B$11)=0),I24,0)+IF(AND(A52&gt;A25,A52&lt;=A25+'Summary'!$B$10*12,MOD(A52-A25,'Summary'!$B$11)=0),I25,0)+IF(AND(A52&gt;A26,A52&lt;=A26+'Summary'!$B$10*12,MOD(A52-A26,'Summary'!$B$11)=0),I26,0)+IF(AND(A52&gt;A27,A52&lt;=A27+'Summary'!$B$10*12,MOD(A52-A27,'Summary'!$B$11)=0),I27,0)+IF(AND(A52&gt;A28,A52&lt;=A28+'Summary'!$B$10*12,MOD(A52-A28,'Summary'!$B$11)=0),I28,0)+IF(AND(A52&gt;A29,A52&lt;=A29+'Summary'!$B$10*12,MOD(A52-A29,'Summary'!$B$11)=0),I29,0)+IF(AND(A52&gt;A30,A52&lt;=A30+'Summary'!$B$10*12,MOD(A52-A30,'Summary'!$B$11)=0),I30,0)+IF(AND(A52&gt;A31,A52&lt;=A31+'Summary'!$B$10*12,MOD(A52-A31,'Summary'!$B$11)=0),I31,0)+IF(AND(A52&gt;A32,A52&lt;=A32+'Summary'!$B$10*12,MOD(A52-A32,'Summary'!$B$11)=0),I32,0)+IF(AND(A52&gt;A33,A52&lt;=A33+'Summary'!$B$10*12,MOD(A52-A33,'Summary'!$B$11)=0),I33,0)+IF(AND(A52&gt;A34,A52&lt;=A34+'Summary'!$B$10*12,MOD(A52-A34,'Summary'!$B$11)=0),I34,0)+IF(AND(A52&gt;A35,A52&lt;=A35+'Summary'!$B$10*12,MOD(A52-A35,'Summary'!$B$11)=0),I35,0)+IF(AND(A52&gt;A36,A52&lt;=A36+'Summary'!$B$10*12,MOD(A52-A36,'Summary'!$B$11)=0),I36,0)+IF(AND(A52&gt;A37,A52&lt;=A37+'Summary'!$B$10*12,MOD(A52-A37,'Summary'!$B$11)=0),I37,0)+IF(AND(A52&gt;A38,A52&lt;=A38+'Summary'!$B$10*12,MOD(A52-A38,'Summary'!$B$11)=0),I38,0)+IF(AND(A52&gt;A39,A52&lt;=A39+'Summary'!$B$10*12,MOD(A52-A39,'Summary'!$B$11)=0),I39,0)+IF(AND(A52&gt;A40,A52&lt;=A40+'Summary'!$B$10*12,MOD(A52-A40,'Summary'!$B$11)=0),I40,0)+IF(AND(A52&gt;A41,A52&lt;=A41+'Summary'!$B$10*12,MOD(A52-A41,'Summary'!$B$11)=0),I41,0)+IF(AND(A52&gt;A42,A52&lt;=A42+'Summary'!$B$10*12,MOD(A52-A42,'Summary'!$B$11)=0),I42,0)+IF(AND(A52&gt;A43,A52&lt;=A43+'Summary'!$B$10*12,MOD(A52-A43,'Summary'!$B$11)=0),I43,0)+IF(AND(A52&gt;A44,A52&lt;=A44+'Summary'!$B$10*12,MOD(A52-A44,'Summary'!$B$11)=0),I44,0)+IF(AND(A52&gt;A45,A52&lt;=A45+'Summary'!$B$10*12,MOD(A52-A45,'Summary'!$B$11)=0),I45,0)+IF(AND(A52&gt;A46,A52&lt;=A46+'Summary'!$B$10*12,MOD(A52-A46,'Summary'!$B$11)=0),I46,0)+IF(AND(A52&gt;A47,A52&lt;=A47+'Summary'!$B$10*12,MOD(A52-A47,'Summary'!$B$11)=0),I47,0)+IF(AND(A52&gt;A48,A52&lt;=A48+'Summary'!$B$10*12,MOD(A52-A48,'Summary'!$B$11)=0),I48,0)+IF(AND(A52&gt;A49,A52&lt;=A49+'Summary'!$B$10*12,MOD(A52-A49,'Summary'!$B$11)=0),I49,0)+IF(AND(A52&gt;A50,A52&lt;=A50+'Summary'!$B$10*12,MOD(A52-A50,'Summary'!$B$11)=0),I50,0)+IF(AND(A52&gt;A51,A52&lt;=A51+'Summary'!$B$10*12,MOD(A52-A51,'Summary'!$B$11)=0),I51,0))*'Summary'!$B$8/2</x:f>
        <x:v>13.769461609213618</x:v>
      </x:c>
      <x:c r="G52" s="62" t="n">
        <x:f>IF(A52=A8+'Summary'!$B$10*12,I8,0)+IF(A52=A9+'Summary'!$B$10*12,I9,0)+IF(A52=A10+'Summary'!$B$10*12,I10,0)+IF(A52=A11+'Summary'!$B$10*12,I11,0)+IF(A52=A12+'Summary'!$B$10*12,I12,0)+IF(A52=A13+'Summary'!$B$10*12,I13,0)+IF(A52=A14+'Summary'!$B$10*12,I14,0)+IF(A52=A15+'Summary'!$B$10*12,I15,0)+IF(A52=A16+'Summary'!$B$10*12,I16,0)+IF(A52=A17+'Summary'!$B$10*12,I17,0)+IF(A52=A18+'Summary'!$B$10*12,I18,0)+IF(A52=A19+'Summary'!$B$10*12,I19,0)+IF(A52=A20+'Summary'!$B$10*12,I20,0)+IF(A52=A21+'Summary'!$B$10*12,I21,0)+IF(A52=A22+'Summary'!$B$10*12,I22,0)+IF(A52=A23+'Summary'!$B$10*12,I23,0)+IF(A52=A24+'Summary'!$B$10*12,I24,0)+IF(A52=A25+'Summary'!$B$10*12,I25,0)+IF(A52=A26+'Summary'!$B$10*12,I26,0)+IF(A52=A27+'Summary'!$B$10*12,I27,0)+IF(A52=A28+'Summary'!$B$10*12,I28,0)+IF(A52=A29+'Summary'!$B$10*12,I29,0)+IF(A52=A30+'Summary'!$B$10*12,I30,0)+IF(A52=A31+'Summary'!$B$10*12,I31,0)+IF(A52=A32+'Summary'!$B$10*12,I32,0)+IF(A52=A33+'Summary'!$B$10*12,I33,0)+IF(A52=A34+'Summary'!$B$10*12,I34,0)+IF(A52=A35+'Summary'!$B$10*12,I35,0)+IF(A52=A36+'Summary'!$B$10*12,I36,0)+IF(A52=A37+'Summary'!$B$10*12,I37,0)+IF(A52=A38+'Summary'!$B$10*12,I38,0)+IF(A52=A39+'Summary'!$B$10*12,I39,0)+IF(A52=A40+'Summary'!$B$10*12,I40,0)+IF(A52=A41+'Summary'!$B$10*12,I41,0)+IF(A52=A42+'Summary'!$B$10*12,I42,0)+IF(A52=A43+'Summary'!$B$10*12,I43,0)+IF(A52=A44+'Summary'!$B$10*12,I44,0)+IF(A52=A45+'Summary'!$B$10*12,I45,0)+IF(A52=A46+'Summary'!$B$10*12,I46,0)+IF(A52=A47+'Summary'!$B$10*12,I47,0)+IF(A52=A48+'Summary'!$B$10*12,I48,0)+IF(A52=A49+'Summary'!$B$10*12,I49,0)+IF(A52=A50+'Summary'!$B$10*12,I50,0)+IF(A52=A51+'Summary'!$B$10*12,I51,0)</x:f>
        <x:v>0</x:v>
      </x:c>
      <x:c r="H52" s="62" t="n">
        <x:f>E52+D52+F52+G52</x:f>
        <x:v>113.76946160921362</x:v>
      </x:c>
      <x:c r="I52" s="62" t="n">
        <x:f>IF(B52,IF(H52&gt;='Summary'!$B$12,H52,0),0)</x:f>
        <x:v>113.76946160921362</x:v>
      </x:c>
      <x:c r="J52" s="62" t="n">
        <x:f>H52-I52</x:f>
        <x:v>0</x:v>
      </x:c>
      <x:c r="K52" s="63" t="n">
        <x:f>J52+IF(A8+'Summary'!$B$10*12&gt;A52,I8,0)+IF(A9+'Summary'!$B$10*12&gt;A52,I9,0)+IF(A10+'Summary'!$B$10*12&gt;A52,I10,0)+IF(A11+'Summary'!$B$10*12&gt;A52,I11,0)+IF(A12+'Summary'!$B$10*12&gt;A52,I12,0)+IF(A13+'Summary'!$B$10*12&gt;A52,I13,0)+IF(A14+'Summary'!$B$10*12&gt;A52,I14,0)+IF(A15+'Summary'!$B$10*12&gt;A52,I15,0)+IF(A16+'Summary'!$B$10*12&gt;A52,I16,0)+IF(A17+'Summary'!$B$10*12&gt;A52,I17,0)+IF(A18+'Summary'!$B$10*12&gt;A52,I18,0)+IF(A19+'Summary'!$B$10*12&gt;A52,I19,0)+IF(A20+'Summary'!$B$10*12&gt;A52,I20,0)+IF(A21+'Summary'!$B$10*12&gt;A52,I21,0)+IF(A22+'Summary'!$B$10*12&gt;A52,I22,0)+IF(A23+'Summary'!$B$10*12&gt;A52,I23,0)+IF(A24+'Summary'!$B$10*12&gt;A52,I24,0)+IF(A25+'Summary'!$B$10*12&gt;A52,I25,0)+IF(A26+'Summary'!$B$10*12&gt;A52,I26,0)+IF(A27+'Summary'!$B$10*12&gt;A52,I27,0)+IF(A28+'Summary'!$B$10*12&gt;A52,I28,0)+IF(A29+'Summary'!$B$10*12&gt;A52,I29,0)+IF(A30+'Summary'!$B$10*12&gt;A52,I30,0)+IF(A31+'Summary'!$B$10*12&gt;A52,I31,0)+IF(A32+'Summary'!$B$10*12&gt;A52,I32,0)+IF(A33+'Summary'!$B$10*12&gt;A52,I33,0)+IF(A34+'Summary'!$B$10*12&gt;A52,I34,0)+IF(A35+'Summary'!$B$10*12&gt;A52,I35,0)+IF(A36+'Summary'!$B$10*12&gt;A52,I36,0)+IF(A37+'Summary'!$B$10*12&gt;A52,I37,0)+IF(A38+'Summary'!$B$10*12&gt;A52,I38,0)+IF(A39+'Summary'!$B$10*12&gt;A52,I39,0)+IF(A40+'Summary'!$B$10*12&gt;A52,I40,0)+IF(A41+'Summary'!$B$10*12&gt;A52,I41,0)+IF(A42+'Summary'!$B$10*12&gt;A52,I42,0)+IF(A43+'Summary'!$B$10*12&gt;A52,I43,0)+IF(A44+'Summary'!$B$10*12&gt;A52,I44,0)+IF(A45+'Summary'!$B$10*12&gt;A52,I45,0)+IF(A46+'Summary'!$B$10*12&gt;A52,I46,0)+IF(A47+'Summary'!$B$10*12&gt;A52,I47,0)+IF(A48+'Summary'!$B$10*12&gt;A52,I48,0)+IF(A49+'Summary'!$B$10*12&gt;A52,I49,0)+IF(A50+'Summary'!$B$10*12&gt;A52,I50,0)+IF(A51+'Summary'!$B$10*12&gt;A52,I51,0)+IF(A52+'Summary'!$B$10*12&gt;A52,I52,0)</x:f>
        <x:v>16160.01635517276</x:v>
      </x:c>
    </x:row>
    <x:row r="53">
      <x:c r="A53" s="55" t="n">
        <x:v>45</x:v>
      </x:c>
      <x:c r="B53" s="71" t="b">
        <x:f>A53&lt;='Summary'!$B$9*12</x:f>
        <x:v>1</x:v>
      </x:c>
      <x:c r="C53" s="62" t="n">
        <x:f>IF(A53=0,IF('Summary'!$B$6&gt;=5,'Summary'!$B$6,0),C52)+IF(A53&lt;'Summary'!$B$9*12,IF('Summary'!$B$7&gt;=5,'Summary'!$B$7,0),0)</x:f>
        <x:v>14600</x:v>
      </x:c>
      <x:c r="D53" s="62" t="n">
        <x:f>IF(A53=0,IF('Summary'!$B$6&gt;=5,'Summary'!$B$6,0),0)+IF(A53&lt;'Summary'!$B$9*12,IF('Summary'!$B$7&gt;=5,'Summary'!$B$7,0),0)</x:f>
        <x:v>100</x:v>
      </x:c>
      <x:c r="E53" s="62" t="n">
        <x:f>J52</x:f>
        <x:v>0</x:v>
      </x:c>
      <x:c r="F53" s="62" t="n">
        <x:f>(IF(AND(A53&gt;A8,A53&lt;=A8+'Summary'!$B$10*12,MOD(A53-A8,'Summary'!$B$11)=0),I8,0)+IF(AND(A53&gt;A9,A53&lt;=A9+'Summary'!$B$10*12,MOD(A53-A9,'Summary'!$B$11)=0),I9,0)+IF(AND(A53&gt;A10,A53&lt;=A10+'Summary'!$B$10*12,MOD(A53-A10,'Summary'!$B$11)=0),I10,0)+IF(AND(A53&gt;A11,A53&lt;=A11+'Summary'!$B$10*12,MOD(A53-A11,'Summary'!$B$11)=0),I11,0)+IF(AND(A53&gt;A12,A53&lt;=A12+'Summary'!$B$10*12,MOD(A53-A12,'Summary'!$B$11)=0),I12,0)+IF(AND(A53&gt;A13,A53&lt;=A13+'Summary'!$B$10*12,MOD(A53-A13,'Summary'!$B$11)=0),I13,0)+IF(AND(A53&gt;A14,A53&lt;=A14+'Summary'!$B$10*12,MOD(A53-A14,'Summary'!$B$11)=0),I14,0)+IF(AND(A53&gt;A15,A53&lt;=A15+'Summary'!$B$10*12,MOD(A53-A15,'Summary'!$B$11)=0),I15,0)+IF(AND(A53&gt;A16,A53&lt;=A16+'Summary'!$B$10*12,MOD(A53-A16,'Summary'!$B$11)=0),I16,0)+IF(AND(A53&gt;A17,A53&lt;=A17+'Summary'!$B$10*12,MOD(A53-A17,'Summary'!$B$11)=0),I17,0)+IF(AND(A53&gt;A18,A53&lt;=A18+'Summary'!$B$10*12,MOD(A53-A18,'Summary'!$B$11)=0),I18,0)+IF(AND(A53&gt;A19,A53&lt;=A19+'Summary'!$B$10*12,MOD(A53-A19,'Summary'!$B$11)=0),I19,0)+IF(AND(A53&gt;A20,A53&lt;=A20+'Summary'!$B$10*12,MOD(A53-A20,'Summary'!$B$11)=0),I20,0)+IF(AND(A53&gt;A21,A53&lt;=A21+'Summary'!$B$10*12,MOD(A53-A21,'Summary'!$B$11)=0),I21,0)+IF(AND(A53&gt;A22,A53&lt;=A22+'Summary'!$B$10*12,MOD(A53-A22,'Summary'!$B$11)=0),I22,0)+IF(AND(A53&gt;A23,A53&lt;=A23+'Summary'!$B$10*12,MOD(A53-A23,'Summary'!$B$11)=0),I23,0)+IF(AND(A53&gt;A24,A53&lt;=A24+'Summary'!$B$10*12,MOD(A53-A24,'Summary'!$B$11)=0),I24,0)+IF(AND(A53&gt;A25,A53&lt;=A25+'Summary'!$B$10*12,MOD(A53-A25,'Summary'!$B$11)=0),I25,0)+IF(AND(A53&gt;A26,A53&lt;=A26+'Summary'!$B$10*12,MOD(A53-A26,'Summary'!$B$11)=0),I26,0)+IF(AND(A53&gt;A27,A53&lt;=A27+'Summary'!$B$10*12,MOD(A53-A27,'Summary'!$B$11)=0),I27,0)+IF(AND(A53&gt;A28,A53&lt;=A28+'Summary'!$B$10*12,MOD(A53-A28,'Summary'!$B$11)=0),I28,0)+IF(AND(A53&gt;A29,A53&lt;=A29+'Summary'!$B$10*12,MOD(A53-A29,'Summary'!$B$11)=0),I29,0)+IF(AND(A53&gt;A30,A53&lt;=A30+'Summary'!$B$10*12,MOD(A53-A30,'Summary'!$B$11)=0),I30,0)+IF(AND(A53&gt;A31,A53&lt;=A31+'Summary'!$B$10*12,MOD(A53-A31,'Summary'!$B$11)=0),I31,0)+IF(AND(A53&gt;A32,A53&lt;=A32+'Summary'!$B$10*12,MOD(A53-A32,'Summary'!$B$11)=0),I32,0)+IF(AND(A53&gt;A33,A53&lt;=A33+'Summary'!$B$10*12,MOD(A53-A33,'Summary'!$B$11)=0),I33,0)+IF(AND(A53&gt;A34,A53&lt;=A34+'Summary'!$B$10*12,MOD(A53-A34,'Summary'!$B$11)=0),I34,0)+IF(AND(A53&gt;A35,A53&lt;=A35+'Summary'!$B$10*12,MOD(A53-A35,'Summary'!$B$11)=0),I35,0)+IF(AND(A53&gt;A36,A53&lt;=A36+'Summary'!$B$10*12,MOD(A53-A36,'Summary'!$B$11)=0),I36,0)+IF(AND(A53&gt;A37,A53&lt;=A37+'Summary'!$B$10*12,MOD(A53-A37,'Summary'!$B$11)=0),I37,0)+IF(AND(A53&gt;A38,A53&lt;=A38+'Summary'!$B$10*12,MOD(A53-A38,'Summary'!$B$11)=0),I38,0)+IF(AND(A53&gt;A39,A53&lt;=A39+'Summary'!$B$10*12,MOD(A53-A39,'Summary'!$B$11)=0),I39,0)+IF(AND(A53&gt;A40,A53&lt;=A40+'Summary'!$B$10*12,MOD(A53-A40,'Summary'!$B$11)=0),I40,0)+IF(AND(A53&gt;A41,A53&lt;=A41+'Summary'!$B$10*12,MOD(A53-A41,'Summary'!$B$11)=0),I41,0)+IF(AND(A53&gt;A42,A53&lt;=A42+'Summary'!$B$10*12,MOD(A53-A42,'Summary'!$B$11)=0),I42,0)+IF(AND(A53&gt;A43,A53&lt;=A43+'Summary'!$B$10*12,MOD(A53-A43,'Summary'!$B$11)=0),I43,0)+IF(AND(A53&gt;A44,A53&lt;=A44+'Summary'!$B$10*12,MOD(A53-A44,'Summary'!$B$11)=0),I44,0)+IF(AND(A53&gt;A45,A53&lt;=A45+'Summary'!$B$10*12,MOD(A53-A45,'Summary'!$B$11)=0),I45,0)+IF(AND(A53&gt;A46,A53&lt;=A46+'Summary'!$B$10*12,MOD(A53-A46,'Summary'!$B$11)=0),I46,0)+IF(AND(A53&gt;A47,A53&lt;=A47+'Summary'!$B$10*12,MOD(A53-A47,'Summary'!$B$11)=0),I47,0)+IF(AND(A53&gt;A48,A53&lt;=A48+'Summary'!$B$10*12,MOD(A53-A48,'Summary'!$B$11)=0),I48,0)+IF(AND(A53&gt;A49,A53&lt;=A49+'Summary'!$B$10*12,MOD(A53-A49,'Summary'!$B$11)=0),I49,0)+IF(AND(A53&gt;A50,A53&lt;=A50+'Summary'!$B$10*12,MOD(A53-A50,'Summary'!$B$11)=0),I50,0)+IF(AND(A53&gt;A51,A53&lt;=A51+'Summary'!$B$10*12,MOD(A53-A51,'Summary'!$B$11)=0),I51,0)+IF(AND(A53&gt;A52,A53&lt;=A52+'Summary'!$B$10*12,MOD(A53-A52,'Summary'!$B$11)=0),I52,0))*'Summary'!$B$8/2</x:f>
        <x:v>13.769461609213618</x:v>
      </x:c>
      <x:c r="G53" s="62" t="n">
        <x:f>IF(A53=A8+'Summary'!$B$10*12,I8,0)+IF(A53=A9+'Summary'!$B$10*12,I9,0)+IF(A53=A10+'Summary'!$B$10*12,I10,0)+IF(A53=A11+'Summary'!$B$10*12,I11,0)+IF(A53=A12+'Summary'!$B$10*12,I12,0)+IF(A53=A13+'Summary'!$B$10*12,I13,0)+IF(A53=A14+'Summary'!$B$10*12,I14,0)+IF(A53=A15+'Summary'!$B$10*12,I15,0)+IF(A53=A16+'Summary'!$B$10*12,I16,0)+IF(A53=A17+'Summary'!$B$10*12,I17,0)+IF(A53=A18+'Summary'!$B$10*12,I18,0)+IF(A53=A19+'Summary'!$B$10*12,I19,0)+IF(A53=A20+'Summary'!$B$10*12,I20,0)+IF(A53=A21+'Summary'!$B$10*12,I21,0)+IF(A53=A22+'Summary'!$B$10*12,I22,0)+IF(A53=A23+'Summary'!$B$10*12,I23,0)+IF(A53=A24+'Summary'!$B$10*12,I24,0)+IF(A53=A25+'Summary'!$B$10*12,I25,0)+IF(A53=A26+'Summary'!$B$10*12,I26,0)+IF(A53=A27+'Summary'!$B$10*12,I27,0)+IF(A53=A28+'Summary'!$B$10*12,I28,0)+IF(A53=A29+'Summary'!$B$10*12,I29,0)+IF(A53=A30+'Summary'!$B$10*12,I30,0)+IF(A53=A31+'Summary'!$B$10*12,I31,0)+IF(A53=A32+'Summary'!$B$10*12,I32,0)+IF(A53=A33+'Summary'!$B$10*12,I33,0)+IF(A53=A34+'Summary'!$B$10*12,I34,0)+IF(A53=A35+'Summary'!$B$10*12,I35,0)+IF(A53=A36+'Summary'!$B$10*12,I36,0)+IF(A53=A37+'Summary'!$B$10*12,I37,0)+IF(A53=A38+'Summary'!$B$10*12,I38,0)+IF(A53=A39+'Summary'!$B$10*12,I39,0)+IF(A53=A40+'Summary'!$B$10*12,I40,0)+IF(A53=A41+'Summary'!$B$10*12,I41,0)+IF(A53=A42+'Summary'!$B$10*12,I42,0)+IF(A53=A43+'Summary'!$B$10*12,I43,0)+IF(A53=A44+'Summary'!$B$10*12,I44,0)+IF(A53=A45+'Summary'!$B$10*12,I45,0)+IF(A53=A46+'Summary'!$B$10*12,I46,0)+IF(A53=A47+'Summary'!$B$10*12,I47,0)+IF(A53=A48+'Summary'!$B$10*12,I48,0)+IF(A53=A49+'Summary'!$B$10*12,I49,0)+IF(A53=A50+'Summary'!$B$10*12,I50,0)+IF(A53=A51+'Summary'!$B$10*12,I51,0)+IF(A53=A52+'Summary'!$B$10*12,I52,0)</x:f>
        <x:v>0</x:v>
      </x:c>
      <x:c r="H53" s="62" t="n">
        <x:f>E53+D53+F53+G53</x:f>
        <x:v>113.76946160921362</x:v>
      </x:c>
      <x:c r="I53" s="62" t="n">
        <x:f>IF(B53,IF(H53&gt;='Summary'!$B$12,H53,0),0)</x:f>
        <x:v>113.76946160921362</x:v>
      </x:c>
      <x:c r="J53" s="62" t="n">
        <x:f>H53-I53</x:f>
        <x:v>0</x:v>
      </x:c>
      <x:c r="K53" s="63" t="n">
        <x:f>J53+IF(A8+'Summary'!$B$10*12&gt;A53,I8,0)+IF(A9+'Summary'!$B$10*12&gt;A53,I9,0)+IF(A10+'Summary'!$B$10*12&gt;A53,I10,0)+IF(A11+'Summary'!$B$10*12&gt;A53,I11,0)+IF(A12+'Summary'!$B$10*12&gt;A53,I12,0)+IF(A13+'Summary'!$B$10*12&gt;A53,I13,0)+IF(A14+'Summary'!$B$10*12&gt;A53,I14,0)+IF(A15+'Summary'!$B$10*12&gt;A53,I15,0)+IF(A16+'Summary'!$B$10*12&gt;A53,I16,0)+IF(A17+'Summary'!$B$10*12&gt;A53,I17,0)+IF(A18+'Summary'!$B$10*12&gt;A53,I18,0)+IF(A19+'Summary'!$B$10*12&gt;A53,I19,0)+IF(A20+'Summary'!$B$10*12&gt;A53,I20,0)+IF(A21+'Summary'!$B$10*12&gt;A53,I21,0)+IF(A22+'Summary'!$B$10*12&gt;A53,I22,0)+IF(A23+'Summary'!$B$10*12&gt;A53,I23,0)+IF(A24+'Summary'!$B$10*12&gt;A53,I24,0)+IF(A25+'Summary'!$B$10*12&gt;A53,I25,0)+IF(A26+'Summary'!$B$10*12&gt;A53,I26,0)+IF(A27+'Summary'!$B$10*12&gt;A53,I27,0)+IF(A28+'Summary'!$B$10*12&gt;A53,I28,0)+IF(A29+'Summary'!$B$10*12&gt;A53,I29,0)+IF(A30+'Summary'!$B$10*12&gt;A53,I30,0)+IF(A31+'Summary'!$B$10*12&gt;A53,I31,0)+IF(A32+'Summary'!$B$10*12&gt;A53,I32,0)+IF(A33+'Summary'!$B$10*12&gt;A53,I33,0)+IF(A34+'Summary'!$B$10*12&gt;A53,I34,0)+IF(A35+'Summary'!$B$10*12&gt;A53,I35,0)+IF(A36+'Summary'!$B$10*12&gt;A53,I36,0)+IF(A37+'Summary'!$B$10*12&gt;A53,I37,0)+IF(A38+'Summary'!$B$10*12&gt;A53,I38,0)+IF(A39+'Summary'!$B$10*12&gt;A53,I39,0)+IF(A40+'Summary'!$B$10*12&gt;A53,I40,0)+IF(A41+'Summary'!$B$10*12&gt;A53,I41,0)+IF(A42+'Summary'!$B$10*12&gt;A53,I42,0)+IF(A43+'Summary'!$B$10*12&gt;A53,I43,0)+IF(A44+'Summary'!$B$10*12&gt;A53,I44,0)+IF(A45+'Summary'!$B$10*12&gt;A53,I45,0)+IF(A46+'Summary'!$B$10*12&gt;A53,I46,0)+IF(A47+'Summary'!$B$10*12&gt;A53,I47,0)+IF(A48+'Summary'!$B$10*12&gt;A53,I48,0)+IF(A49+'Summary'!$B$10*12&gt;A53,I49,0)+IF(A50+'Summary'!$B$10*12&gt;A53,I50,0)+IF(A51+'Summary'!$B$10*12&gt;A53,I51,0)+IF(A52+'Summary'!$B$10*12&gt;A53,I52,0)+IF(A53+'Summary'!$B$10*12&gt;A53,I53,0)</x:f>
        <x:v>16273.785816781974</x:v>
      </x:c>
    </x:row>
    <x:row r="54">
      <x:c r="A54" s="55" t="n">
        <x:v>46</x:v>
      </x:c>
      <x:c r="B54" s="71" t="b">
        <x:f>A54&lt;='Summary'!$B$9*12</x:f>
        <x:v>1</x:v>
      </x:c>
      <x:c r="C54" s="62" t="n">
        <x:f>IF(A54=0,IF('Summary'!$B$6&gt;=5,'Summary'!$B$6,0),C53)+IF(A54&lt;'Summary'!$B$9*12,IF('Summary'!$B$7&gt;=5,'Summary'!$B$7,0),0)</x:f>
        <x:v>14700</x:v>
      </x:c>
      <x:c r="D54" s="62" t="n">
        <x:f>IF(A54=0,IF('Summary'!$B$6&gt;=5,'Summary'!$B$6,0),0)+IF(A54&lt;'Summary'!$B$9*12,IF('Summary'!$B$7&gt;=5,'Summary'!$B$7,0),0)</x:f>
        <x:v>100</x:v>
      </x:c>
      <x:c r="E54" s="62" t="n">
        <x:f>J53</x:f>
        <x:v>0</x:v>
      </x:c>
      <x:c r="F54" s="62" t="n">
        <x:f>(IF(AND(A54&gt;A8,A54&lt;=A8+'Summary'!$B$10*12,MOD(A54-A8,'Summary'!$B$11)=0),I8,0)+IF(AND(A54&gt;A9,A54&lt;=A9+'Summary'!$B$10*12,MOD(A54-A9,'Summary'!$B$11)=0),I9,0)+IF(AND(A54&gt;A10,A54&lt;=A10+'Summary'!$B$10*12,MOD(A54-A10,'Summary'!$B$11)=0),I10,0)+IF(AND(A54&gt;A11,A54&lt;=A11+'Summary'!$B$10*12,MOD(A54-A11,'Summary'!$B$11)=0),I11,0)+IF(AND(A54&gt;A12,A54&lt;=A12+'Summary'!$B$10*12,MOD(A54-A12,'Summary'!$B$11)=0),I12,0)+IF(AND(A54&gt;A13,A54&lt;=A13+'Summary'!$B$10*12,MOD(A54-A13,'Summary'!$B$11)=0),I13,0)+IF(AND(A54&gt;A14,A54&lt;=A14+'Summary'!$B$10*12,MOD(A54-A14,'Summary'!$B$11)=0),I14,0)+IF(AND(A54&gt;A15,A54&lt;=A15+'Summary'!$B$10*12,MOD(A54-A15,'Summary'!$B$11)=0),I15,0)+IF(AND(A54&gt;A16,A54&lt;=A16+'Summary'!$B$10*12,MOD(A54-A16,'Summary'!$B$11)=0),I16,0)+IF(AND(A54&gt;A17,A54&lt;=A17+'Summary'!$B$10*12,MOD(A54-A17,'Summary'!$B$11)=0),I17,0)+IF(AND(A54&gt;A18,A54&lt;=A18+'Summary'!$B$10*12,MOD(A54-A18,'Summary'!$B$11)=0),I18,0)+IF(AND(A54&gt;A19,A54&lt;=A19+'Summary'!$B$10*12,MOD(A54-A19,'Summary'!$B$11)=0),I19,0)+IF(AND(A54&gt;A20,A54&lt;=A20+'Summary'!$B$10*12,MOD(A54-A20,'Summary'!$B$11)=0),I20,0)+IF(AND(A54&gt;A21,A54&lt;=A21+'Summary'!$B$10*12,MOD(A54-A21,'Summary'!$B$11)=0),I21,0)+IF(AND(A54&gt;A22,A54&lt;=A22+'Summary'!$B$10*12,MOD(A54-A22,'Summary'!$B$11)=0),I22,0)+IF(AND(A54&gt;A23,A54&lt;=A23+'Summary'!$B$10*12,MOD(A54-A23,'Summary'!$B$11)=0),I23,0)+IF(AND(A54&gt;A24,A54&lt;=A24+'Summary'!$B$10*12,MOD(A54-A24,'Summary'!$B$11)=0),I24,0)+IF(AND(A54&gt;A25,A54&lt;=A25+'Summary'!$B$10*12,MOD(A54-A25,'Summary'!$B$11)=0),I25,0)+IF(AND(A54&gt;A26,A54&lt;=A26+'Summary'!$B$10*12,MOD(A54-A26,'Summary'!$B$11)=0),I26,0)+IF(AND(A54&gt;A27,A54&lt;=A27+'Summary'!$B$10*12,MOD(A54-A27,'Summary'!$B$11)=0),I27,0)+IF(AND(A54&gt;A28,A54&lt;=A28+'Summary'!$B$10*12,MOD(A54-A28,'Summary'!$B$11)=0),I28,0)+IF(AND(A54&gt;A29,A54&lt;=A29+'Summary'!$B$10*12,MOD(A54-A29,'Summary'!$B$11)=0),I29,0)+IF(AND(A54&gt;A30,A54&lt;=A30+'Summary'!$B$10*12,MOD(A54-A30,'Summary'!$B$11)=0),I30,0)+IF(AND(A54&gt;A31,A54&lt;=A31+'Summary'!$B$10*12,MOD(A54-A31,'Summary'!$B$11)=0),I31,0)+IF(AND(A54&gt;A32,A54&lt;=A32+'Summary'!$B$10*12,MOD(A54-A32,'Summary'!$B$11)=0),I32,0)+IF(AND(A54&gt;A33,A54&lt;=A33+'Summary'!$B$10*12,MOD(A54-A33,'Summary'!$B$11)=0),I33,0)+IF(AND(A54&gt;A34,A54&lt;=A34+'Summary'!$B$10*12,MOD(A54-A34,'Summary'!$B$11)=0),I34,0)+IF(AND(A54&gt;A35,A54&lt;=A35+'Summary'!$B$10*12,MOD(A54-A35,'Summary'!$B$11)=0),I35,0)+IF(AND(A54&gt;A36,A54&lt;=A36+'Summary'!$B$10*12,MOD(A54-A36,'Summary'!$B$11)=0),I36,0)+IF(AND(A54&gt;A37,A54&lt;=A37+'Summary'!$B$10*12,MOD(A54-A37,'Summary'!$B$11)=0),I37,0)+IF(AND(A54&gt;A38,A54&lt;=A38+'Summary'!$B$10*12,MOD(A54-A38,'Summary'!$B$11)=0),I38,0)+IF(AND(A54&gt;A39,A54&lt;=A39+'Summary'!$B$10*12,MOD(A54-A39,'Summary'!$B$11)=0),I39,0)+IF(AND(A54&gt;A40,A54&lt;=A40+'Summary'!$B$10*12,MOD(A54-A40,'Summary'!$B$11)=0),I40,0)+IF(AND(A54&gt;A41,A54&lt;=A41+'Summary'!$B$10*12,MOD(A54-A41,'Summary'!$B$11)=0),I41,0)+IF(AND(A54&gt;A42,A54&lt;=A42+'Summary'!$B$10*12,MOD(A54-A42,'Summary'!$B$11)=0),I42,0)+IF(AND(A54&gt;A43,A54&lt;=A43+'Summary'!$B$10*12,MOD(A54-A43,'Summary'!$B$11)=0),I43,0)+IF(AND(A54&gt;A44,A54&lt;=A44+'Summary'!$B$10*12,MOD(A54-A44,'Summary'!$B$11)=0),I44,0)+IF(AND(A54&gt;A45,A54&lt;=A45+'Summary'!$B$10*12,MOD(A54-A45,'Summary'!$B$11)=0),I45,0)+IF(AND(A54&gt;A46,A54&lt;=A46+'Summary'!$B$10*12,MOD(A54-A46,'Summary'!$B$11)=0),I46,0)+IF(AND(A54&gt;A47,A54&lt;=A47+'Summary'!$B$10*12,MOD(A54-A47,'Summary'!$B$11)=0),I47,0)+IF(AND(A54&gt;A48,A54&lt;=A48+'Summary'!$B$10*12,MOD(A54-A48,'Summary'!$B$11)=0),I48,0)+IF(AND(A54&gt;A49,A54&lt;=A49+'Summary'!$B$10*12,MOD(A54-A49,'Summary'!$B$11)=0),I49,0)+IF(AND(A54&gt;A50,A54&lt;=A50+'Summary'!$B$10*12,MOD(A54-A50,'Summary'!$B$11)=0),I50,0)+IF(AND(A54&gt;A51,A54&lt;=A51+'Summary'!$B$10*12,MOD(A54-A51,'Summary'!$B$11)=0),I51,0)+IF(AND(A54&gt;A52,A54&lt;=A52+'Summary'!$B$10*12,MOD(A54-A52,'Summary'!$B$11)=0),I52,0)+IF(AND(A54&gt;A53,A54&lt;=A53+'Summary'!$B$10*12,MOD(A54-A53,'Summary'!$B$11)=0),I53,0))*'Summary'!$B$8/2</x:f>
        <x:v>13.769461609213618</x:v>
      </x:c>
      <x:c r="G54" s="62" t="n">
        <x:f>IF(A54=A8+'Summary'!$B$10*12,I8,0)+IF(A54=A9+'Summary'!$B$10*12,I9,0)+IF(A54=A10+'Summary'!$B$10*12,I10,0)+IF(A54=A11+'Summary'!$B$10*12,I11,0)+IF(A54=A12+'Summary'!$B$10*12,I12,0)+IF(A54=A13+'Summary'!$B$10*12,I13,0)+IF(A54=A14+'Summary'!$B$10*12,I14,0)+IF(A54=A15+'Summary'!$B$10*12,I15,0)+IF(A54=A16+'Summary'!$B$10*12,I16,0)+IF(A54=A17+'Summary'!$B$10*12,I17,0)+IF(A54=A18+'Summary'!$B$10*12,I18,0)+IF(A54=A19+'Summary'!$B$10*12,I19,0)+IF(A54=A20+'Summary'!$B$10*12,I20,0)+IF(A54=A21+'Summary'!$B$10*12,I21,0)+IF(A54=A22+'Summary'!$B$10*12,I22,0)+IF(A54=A23+'Summary'!$B$10*12,I23,0)+IF(A54=A24+'Summary'!$B$10*12,I24,0)+IF(A54=A25+'Summary'!$B$10*12,I25,0)+IF(A54=A26+'Summary'!$B$10*12,I26,0)+IF(A54=A27+'Summary'!$B$10*12,I27,0)+IF(A54=A28+'Summary'!$B$10*12,I28,0)+IF(A54=A29+'Summary'!$B$10*12,I29,0)+IF(A54=A30+'Summary'!$B$10*12,I30,0)+IF(A54=A31+'Summary'!$B$10*12,I31,0)+IF(A54=A32+'Summary'!$B$10*12,I32,0)+IF(A54=A33+'Summary'!$B$10*12,I33,0)+IF(A54=A34+'Summary'!$B$10*12,I34,0)+IF(A54=A35+'Summary'!$B$10*12,I35,0)+IF(A54=A36+'Summary'!$B$10*12,I36,0)+IF(A54=A37+'Summary'!$B$10*12,I37,0)+IF(A54=A38+'Summary'!$B$10*12,I38,0)+IF(A54=A39+'Summary'!$B$10*12,I39,0)+IF(A54=A40+'Summary'!$B$10*12,I40,0)+IF(A54=A41+'Summary'!$B$10*12,I41,0)+IF(A54=A42+'Summary'!$B$10*12,I42,0)+IF(A54=A43+'Summary'!$B$10*12,I43,0)+IF(A54=A44+'Summary'!$B$10*12,I44,0)+IF(A54=A45+'Summary'!$B$10*12,I45,0)+IF(A54=A46+'Summary'!$B$10*12,I46,0)+IF(A54=A47+'Summary'!$B$10*12,I47,0)+IF(A54=A48+'Summary'!$B$10*12,I48,0)+IF(A54=A49+'Summary'!$B$10*12,I49,0)+IF(A54=A50+'Summary'!$B$10*12,I50,0)+IF(A54=A51+'Summary'!$B$10*12,I51,0)+IF(A54=A52+'Summary'!$B$10*12,I52,0)+IF(A54=A53+'Summary'!$B$10*12,I53,0)</x:f>
        <x:v>0</x:v>
      </x:c>
      <x:c r="H54" s="62" t="n">
        <x:f>E54+D54+F54+G54</x:f>
        <x:v>113.76946160921362</x:v>
      </x:c>
      <x:c r="I54" s="62" t="n">
        <x:f>IF(B54,IF(H54&gt;='Summary'!$B$12,H54,0),0)</x:f>
        <x:v>113.76946160921362</x:v>
      </x:c>
      <x:c r="J54" s="62" t="n">
        <x:f>H54-I54</x:f>
        <x:v>0</x:v>
      </x:c>
      <x:c r="K54" s="63" t="n">
        <x:f>J54+IF(A8+'Summary'!$B$10*12&gt;A54,I8,0)+IF(A9+'Summary'!$B$10*12&gt;A54,I9,0)+IF(A10+'Summary'!$B$10*12&gt;A54,I10,0)+IF(A11+'Summary'!$B$10*12&gt;A54,I11,0)+IF(A12+'Summary'!$B$10*12&gt;A54,I12,0)+IF(A13+'Summary'!$B$10*12&gt;A54,I13,0)+IF(A14+'Summary'!$B$10*12&gt;A54,I14,0)+IF(A15+'Summary'!$B$10*12&gt;A54,I15,0)+IF(A16+'Summary'!$B$10*12&gt;A54,I16,0)+IF(A17+'Summary'!$B$10*12&gt;A54,I17,0)+IF(A18+'Summary'!$B$10*12&gt;A54,I18,0)+IF(A19+'Summary'!$B$10*12&gt;A54,I19,0)+IF(A20+'Summary'!$B$10*12&gt;A54,I20,0)+IF(A21+'Summary'!$B$10*12&gt;A54,I21,0)+IF(A22+'Summary'!$B$10*12&gt;A54,I22,0)+IF(A23+'Summary'!$B$10*12&gt;A54,I23,0)+IF(A24+'Summary'!$B$10*12&gt;A54,I24,0)+IF(A25+'Summary'!$B$10*12&gt;A54,I25,0)+IF(A26+'Summary'!$B$10*12&gt;A54,I26,0)+IF(A27+'Summary'!$B$10*12&gt;A54,I27,0)+IF(A28+'Summary'!$B$10*12&gt;A54,I28,0)+IF(A29+'Summary'!$B$10*12&gt;A54,I29,0)+IF(A30+'Summary'!$B$10*12&gt;A54,I30,0)+IF(A31+'Summary'!$B$10*12&gt;A54,I31,0)+IF(A32+'Summary'!$B$10*12&gt;A54,I32,0)+IF(A33+'Summary'!$B$10*12&gt;A54,I33,0)+IF(A34+'Summary'!$B$10*12&gt;A54,I34,0)+IF(A35+'Summary'!$B$10*12&gt;A54,I35,0)+IF(A36+'Summary'!$B$10*12&gt;A54,I36,0)+IF(A37+'Summary'!$B$10*12&gt;A54,I37,0)+IF(A38+'Summary'!$B$10*12&gt;A54,I38,0)+IF(A39+'Summary'!$B$10*12&gt;A54,I39,0)+IF(A40+'Summary'!$B$10*12&gt;A54,I40,0)+IF(A41+'Summary'!$B$10*12&gt;A54,I41,0)+IF(A42+'Summary'!$B$10*12&gt;A54,I42,0)+IF(A43+'Summary'!$B$10*12&gt;A54,I43,0)+IF(A44+'Summary'!$B$10*12&gt;A54,I44,0)+IF(A45+'Summary'!$B$10*12&gt;A54,I45,0)+IF(A46+'Summary'!$B$10*12&gt;A54,I46,0)+IF(A47+'Summary'!$B$10*12&gt;A54,I47,0)+IF(A48+'Summary'!$B$10*12&gt;A54,I48,0)+IF(A49+'Summary'!$B$10*12&gt;A54,I49,0)+IF(A50+'Summary'!$B$10*12&gt;A54,I50,0)+IF(A51+'Summary'!$B$10*12&gt;A54,I51,0)+IF(A52+'Summary'!$B$10*12&gt;A54,I52,0)+IF(A53+'Summary'!$B$10*12&gt;A54,I53,0)+IF(A54+'Summary'!$B$10*12&gt;A54,I54,0)</x:f>
        <x:v>16387.555278391188</x:v>
      </x:c>
    </x:row>
    <x:row r="55">
      <x:c r="A55" s="55" t="n">
        <x:v>47</x:v>
      </x:c>
      <x:c r="B55" s="71" t="b">
        <x:f>A55&lt;='Summary'!$B$9*12</x:f>
        <x:v>1</x:v>
      </x:c>
      <x:c r="C55" s="62" t="n">
        <x:f>IF(A55=0,IF('Summary'!$B$6&gt;=5,'Summary'!$B$6,0),C54)+IF(A55&lt;'Summary'!$B$9*12,IF('Summary'!$B$7&gt;=5,'Summary'!$B$7,0),0)</x:f>
        <x:v>14800</x:v>
      </x:c>
      <x:c r="D55" s="62" t="n">
        <x:f>IF(A55=0,IF('Summary'!$B$6&gt;=5,'Summary'!$B$6,0),0)+IF(A55&lt;'Summary'!$B$9*12,IF('Summary'!$B$7&gt;=5,'Summary'!$B$7,0),0)</x:f>
        <x:v>100</x:v>
      </x:c>
      <x:c r="E55" s="62" t="n">
        <x:f>J54</x:f>
        <x:v>0</x:v>
      </x:c>
      <x:c r="F55" s="62" t="n">
        <x:f>(IF(AND(A55&gt;A8,A55&lt;=A8+'Summary'!$B$10*12,MOD(A55-A8,'Summary'!$B$11)=0),I8,0)+IF(AND(A55&gt;A9,A55&lt;=A9+'Summary'!$B$10*12,MOD(A55-A9,'Summary'!$B$11)=0),I9,0)+IF(AND(A55&gt;A10,A55&lt;=A10+'Summary'!$B$10*12,MOD(A55-A10,'Summary'!$B$11)=0),I10,0)+IF(AND(A55&gt;A11,A55&lt;=A11+'Summary'!$B$10*12,MOD(A55-A11,'Summary'!$B$11)=0),I11,0)+IF(AND(A55&gt;A12,A55&lt;=A12+'Summary'!$B$10*12,MOD(A55-A12,'Summary'!$B$11)=0),I12,0)+IF(AND(A55&gt;A13,A55&lt;=A13+'Summary'!$B$10*12,MOD(A55-A13,'Summary'!$B$11)=0),I13,0)+IF(AND(A55&gt;A14,A55&lt;=A14+'Summary'!$B$10*12,MOD(A55-A14,'Summary'!$B$11)=0),I14,0)+IF(AND(A55&gt;A15,A55&lt;=A15+'Summary'!$B$10*12,MOD(A55-A15,'Summary'!$B$11)=0),I15,0)+IF(AND(A55&gt;A16,A55&lt;=A16+'Summary'!$B$10*12,MOD(A55-A16,'Summary'!$B$11)=0),I16,0)+IF(AND(A55&gt;A17,A55&lt;=A17+'Summary'!$B$10*12,MOD(A55-A17,'Summary'!$B$11)=0),I17,0)+IF(AND(A55&gt;A18,A55&lt;=A18+'Summary'!$B$10*12,MOD(A55-A18,'Summary'!$B$11)=0),I18,0)+IF(AND(A55&gt;A19,A55&lt;=A19+'Summary'!$B$10*12,MOD(A55-A19,'Summary'!$B$11)=0),I19,0)+IF(AND(A55&gt;A20,A55&lt;=A20+'Summary'!$B$10*12,MOD(A55-A20,'Summary'!$B$11)=0),I20,0)+IF(AND(A55&gt;A21,A55&lt;=A21+'Summary'!$B$10*12,MOD(A55-A21,'Summary'!$B$11)=0),I21,0)+IF(AND(A55&gt;A22,A55&lt;=A22+'Summary'!$B$10*12,MOD(A55-A22,'Summary'!$B$11)=0),I22,0)+IF(AND(A55&gt;A23,A55&lt;=A23+'Summary'!$B$10*12,MOD(A55-A23,'Summary'!$B$11)=0),I23,0)+IF(AND(A55&gt;A24,A55&lt;=A24+'Summary'!$B$10*12,MOD(A55-A24,'Summary'!$B$11)=0),I24,0)+IF(AND(A55&gt;A25,A55&lt;=A25+'Summary'!$B$10*12,MOD(A55-A25,'Summary'!$B$11)=0),I25,0)+IF(AND(A55&gt;A26,A55&lt;=A26+'Summary'!$B$10*12,MOD(A55-A26,'Summary'!$B$11)=0),I26,0)+IF(AND(A55&gt;A27,A55&lt;=A27+'Summary'!$B$10*12,MOD(A55-A27,'Summary'!$B$11)=0),I27,0)+IF(AND(A55&gt;A28,A55&lt;=A28+'Summary'!$B$10*12,MOD(A55-A28,'Summary'!$B$11)=0),I28,0)+IF(AND(A55&gt;A29,A55&lt;=A29+'Summary'!$B$10*12,MOD(A55-A29,'Summary'!$B$11)=0),I29,0)+IF(AND(A55&gt;A30,A55&lt;=A30+'Summary'!$B$10*12,MOD(A55-A30,'Summary'!$B$11)=0),I30,0)+IF(AND(A55&gt;A31,A55&lt;=A31+'Summary'!$B$10*12,MOD(A55-A31,'Summary'!$B$11)=0),I31,0)+IF(AND(A55&gt;A32,A55&lt;=A32+'Summary'!$B$10*12,MOD(A55-A32,'Summary'!$B$11)=0),I32,0)+IF(AND(A55&gt;A33,A55&lt;=A33+'Summary'!$B$10*12,MOD(A55-A33,'Summary'!$B$11)=0),I33,0)+IF(AND(A55&gt;A34,A55&lt;=A34+'Summary'!$B$10*12,MOD(A55-A34,'Summary'!$B$11)=0),I34,0)+IF(AND(A55&gt;A35,A55&lt;=A35+'Summary'!$B$10*12,MOD(A55-A35,'Summary'!$B$11)=0),I35,0)+IF(AND(A55&gt;A36,A55&lt;=A36+'Summary'!$B$10*12,MOD(A55-A36,'Summary'!$B$11)=0),I36,0)+IF(AND(A55&gt;A37,A55&lt;=A37+'Summary'!$B$10*12,MOD(A55-A37,'Summary'!$B$11)=0),I37,0)+IF(AND(A55&gt;A38,A55&lt;=A38+'Summary'!$B$10*12,MOD(A55-A38,'Summary'!$B$11)=0),I38,0)+IF(AND(A55&gt;A39,A55&lt;=A39+'Summary'!$B$10*12,MOD(A55-A39,'Summary'!$B$11)=0),I39,0)+IF(AND(A55&gt;A40,A55&lt;=A40+'Summary'!$B$10*12,MOD(A55-A40,'Summary'!$B$11)=0),I40,0)+IF(AND(A55&gt;A41,A55&lt;=A41+'Summary'!$B$10*12,MOD(A55-A41,'Summary'!$B$11)=0),I41,0)+IF(AND(A55&gt;A42,A55&lt;=A42+'Summary'!$B$10*12,MOD(A55-A42,'Summary'!$B$11)=0),I42,0)+IF(AND(A55&gt;A43,A55&lt;=A43+'Summary'!$B$10*12,MOD(A55-A43,'Summary'!$B$11)=0),I43,0)+IF(AND(A55&gt;A44,A55&lt;=A44+'Summary'!$B$10*12,MOD(A55-A44,'Summary'!$B$11)=0),I44,0)+IF(AND(A55&gt;A45,A55&lt;=A45+'Summary'!$B$10*12,MOD(A55-A45,'Summary'!$B$11)=0),I45,0)+IF(AND(A55&gt;A46,A55&lt;=A46+'Summary'!$B$10*12,MOD(A55-A46,'Summary'!$B$11)=0),I46,0)+IF(AND(A55&gt;A47,A55&lt;=A47+'Summary'!$B$10*12,MOD(A55-A47,'Summary'!$B$11)=0),I47,0)+IF(AND(A55&gt;A48,A55&lt;=A48+'Summary'!$B$10*12,MOD(A55-A48,'Summary'!$B$11)=0),I48,0)+IF(AND(A55&gt;A49,A55&lt;=A49+'Summary'!$B$10*12,MOD(A55-A49,'Summary'!$B$11)=0),I49,0)+IF(AND(A55&gt;A50,A55&lt;=A50+'Summary'!$B$10*12,MOD(A55-A50,'Summary'!$B$11)=0),I50,0)+IF(AND(A55&gt;A51,A55&lt;=A51+'Summary'!$B$10*12,MOD(A55-A51,'Summary'!$B$11)=0),I51,0)+IF(AND(A55&gt;A52,A55&lt;=A52+'Summary'!$B$10*12,MOD(A55-A52,'Summary'!$B$11)=0),I52,0)+IF(AND(A55&gt;A53,A55&lt;=A53+'Summary'!$B$10*12,MOD(A55-A53,'Summary'!$B$11)=0),I53,0)+IF(AND(A55&gt;A54,A55&lt;=A54+'Summary'!$B$10*12,MOD(A55-A54,'Summary'!$B$11)=0),I54,0))*'Summary'!$B$8/2</x:f>
        <x:v>13.769461609213618</x:v>
      </x:c>
      <x:c r="G55" s="62" t="n">
        <x:f>IF(A55=A8+'Summary'!$B$10*12,I8,0)+IF(A55=A9+'Summary'!$B$10*12,I9,0)+IF(A55=A10+'Summary'!$B$10*12,I10,0)+IF(A55=A11+'Summary'!$B$10*12,I11,0)+IF(A55=A12+'Summary'!$B$10*12,I12,0)+IF(A55=A13+'Summary'!$B$10*12,I13,0)+IF(A55=A14+'Summary'!$B$10*12,I14,0)+IF(A55=A15+'Summary'!$B$10*12,I15,0)+IF(A55=A16+'Summary'!$B$10*12,I16,0)+IF(A55=A17+'Summary'!$B$10*12,I17,0)+IF(A55=A18+'Summary'!$B$10*12,I18,0)+IF(A55=A19+'Summary'!$B$10*12,I19,0)+IF(A55=A20+'Summary'!$B$10*12,I20,0)+IF(A55=A21+'Summary'!$B$10*12,I21,0)+IF(A55=A22+'Summary'!$B$10*12,I22,0)+IF(A55=A23+'Summary'!$B$10*12,I23,0)+IF(A55=A24+'Summary'!$B$10*12,I24,0)+IF(A55=A25+'Summary'!$B$10*12,I25,0)+IF(A55=A26+'Summary'!$B$10*12,I26,0)+IF(A55=A27+'Summary'!$B$10*12,I27,0)+IF(A55=A28+'Summary'!$B$10*12,I28,0)+IF(A55=A29+'Summary'!$B$10*12,I29,0)+IF(A55=A30+'Summary'!$B$10*12,I30,0)+IF(A55=A31+'Summary'!$B$10*12,I31,0)+IF(A55=A32+'Summary'!$B$10*12,I32,0)+IF(A55=A33+'Summary'!$B$10*12,I33,0)+IF(A55=A34+'Summary'!$B$10*12,I34,0)+IF(A55=A35+'Summary'!$B$10*12,I35,0)+IF(A55=A36+'Summary'!$B$10*12,I36,0)+IF(A55=A37+'Summary'!$B$10*12,I37,0)+IF(A55=A38+'Summary'!$B$10*12,I38,0)+IF(A55=A39+'Summary'!$B$10*12,I39,0)+IF(A55=A40+'Summary'!$B$10*12,I40,0)+IF(A55=A41+'Summary'!$B$10*12,I41,0)+IF(A55=A42+'Summary'!$B$10*12,I42,0)+IF(A55=A43+'Summary'!$B$10*12,I43,0)+IF(A55=A44+'Summary'!$B$10*12,I44,0)+IF(A55=A45+'Summary'!$B$10*12,I45,0)+IF(A55=A46+'Summary'!$B$10*12,I46,0)+IF(A55=A47+'Summary'!$B$10*12,I47,0)+IF(A55=A48+'Summary'!$B$10*12,I48,0)+IF(A55=A49+'Summary'!$B$10*12,I49,0)+IF(A55=A50+'Summary'!$B$10*12,I50,0)+IF(A55=A51+'Summary'!$B$10*12,I51,0)+IF(A55=A52+'Summary'!$B$10*12,I52,0)+IF(A55=A53+'Summary'!$B$10*12,I53,0)+IF(A55=A54+'Summary'!$B$10*12,I54,0)</x:f>
        <x:v>0</x:v>
      </x:c>
      <x:c r="H55" s="62" t="n">
        <x:f>E55+D55+F55+G55</x:f>
        <x:v>113.76946160921362</x:v>
      </x:c>
      <x:c r="I55" s="62" t="n">
        <x:f>IF(B55,IF(H55&gt;='Summary'!$B$12,H55,0),0)</x:f>
        <x:v>113.76946160921362</x:v>
      </x:c>
      <x:c r="J55" s="62" t="n">
        <x:f>H55-I55</x:f>
        <x:v>0</x:v>
      </x:c>
      <x:c r="K55" s="63" t="n">
        <x:f>J55+IF(A8+'Summary'!$B$10*12&gt;A55,I8,0)+IF(A9+'Summary'!$B$10*12&gt;A55,I9,0)+IF(A10+'Summary'!$B$10*12&gt;A55,I10,0)+IF(A11+'Summary'!$B$10*12&gt;A55,I11,0)+IF(A12+'Summary'!$B$10*12&gt;A55,I12,0)+IF(A13+'Summary'!$B$10*12&gt;A55,I13,0)+IF(A14+'Summary'!$B$10*12&gt;A55,I14,0)+IF(A15+'Summary'!$B$10*12&gt;A55,I15,0)+IF(A16+'Summary'!$B$10*12&gt;A55,I16,0)+IF(A17+'Summary'!$B$10*12&gt;A55,I17,0)+IF(A18+'Summary'!$B$10*12&gt;A55,I18,0)+IF(A19+'Summary'!$B$10*12&gt;A55,I19,0)+IF(A20+'Summary'!$B$10*12&gt;A55,I20,0)+IF(A21+'Summary'!$B$10*12&gt;A55,I21,0)+IF(A22+'Summary'!$B$10*12&gt;A55,I22,0)+IF(A23+'Summary'!$B$10*12&gt;A55,I23,0)+IF(A24+'Summary'!$B$10*12&gt;A55,I24,0)+IF(A25+'Summary'!$B$10*12&gt;A55,I25,0)+IF(A26+'Summary'!$B$10*12&gt;A55,I26,0)+IF(A27+'Summary'!$B$10*12&gt;A55,I27,0)+IF(A28+'Summary'!$B$10*12&gt;A55,I28,0)+IF(A29+'Summary'!$B$10*12&gt;A55,I29,0)+IF(A30+'Summary'!$B$10*12&gt;A55,I30,0)+IF(A31+'Summary'!$B$10*12&gt;A55,I31,0)+IF(A32+'Summary'!$B$10*12&gt;A55,I32,0)+IF(A33+'Summary'!$B$10*12&gt;A55,I33,0)+IF(A34+'Summary'!$B$10*12&gt;A55,I34,0)+IF(A35+'Summary'!$B$10*12&gt;A55,I35,0)+IF(A36+'Summary'!$B$10*12&gt;A55,I36,0)+IF(A37+'Summary'!$B$10*12&gt;A55,I37,0)+IF(A38+'Summary'!$B$10*12&gt;A55,I38,0)+IF(A39+'Summary'!$B$10*12&gt;A55,I39,0)+IF(A40+'Summary'!$B$10*12&gt;A55,I40,0)+IF(A41+'Summary'!$B$10*12&gt;A55,I41,0)+IF(A42+'Summary'!$B$10*12&gt;A55,I42,0)+IF(A43+'Summary'!$B$10*12&gt;A55,I43,0)+IF(A44+'Summary'!$B$10*12&gt;A55,I44,0)+IF(A45+'Summary'!$B$10*12&gt;A55,I45,0)+IF(A46+'Summary'!$B$10*12&gt;A55,I46,0)+IF(A47+'Summary'!$B$10*12&gt;A55,I47,0)+IF(A48+'Summary'!$B$10*12&gt;A55,I48,0)+IF(A49+'Summary'!$B$10*12&gt;A55,I49,0)+IF(A50+'Summary'!$B$10*12&gt;A55,I50,0)+IF(A51+'Summary'!$B$10*12&gt;A55,I51,0)+IF(A52+'Summary'!$B$10*12&gt;A55,I52,0)+IF(A53+'Summary'!$B$10*12&gt;A55,I53,0)+IF(A54+'Summary'!$B$10*12&gt;A55,I54,0)+IF(A55+'Summary'!$B$10*12&gt;A55,I55,0)</x:f>
        <x:v>16501.3247400004</x:v>
      </x:c>
    </x:row>
    <x:row r="56">
      <x:c r="A56" s="55" t="n">
        <x:v>48</x:v>
      </x:c>
      <x:c r="B56" s="71" t="b">
        <x:f>A56&lt;='Summary'!$B$9*12</x:f>
        <x:v>1</x:v>
      </x:c>
      <x:c r="C56" s="62" t="n">
        <x:f>IF(A56=0,IF('Summary'!$B$6&gt;=5,'Summary'!$B$6,0),C55)+IF(A56&lt;'Summary'!$B$9*12,IF('Summary'!$B$7&gt;=5,'Summary'!$B$7,0),0)</x:f>
        <x:v>14900</x:v>
      </x:c>
      <x:c r="D56" s="62" t="n">
        <x:f>IF(A56=0,IF('Summary'!$B$6&gt;=5,'Summary'!$B$6,0),0)+IF(A56&lt;'Summary'!$B$9*12,IF('Summary'!$B$7&gt;=5,'Summary'!$B$7,0),0)</x:f>
        <x:v>100</x:v>
      </x:c>
      <x:c r="E56" s="62" t="n">
        <x:f>J55</x:f>
        <x:v>0</x:v>
      </x:c>
      <x:c r="F56" s="62" t="n">
        <x:f>(IF(AND(A56&gt;A8,A56&lt;=A8+'Summary'!$B$10*12,MOD(A56-A8,'Summary'!$B$11)=0),I8,0)+IF(AND(A56&gt;A9,A56&lt;=A9+'Summary'!$B$10*12,MOD(A56-A9,'Summary'!$B$11)=0),I9,0)+IF(AND(A56&gt;A10,A56&lt;=A10+'Summary'!$B$10*12,MOD(A56-A10,'Summary'!$B$11)=0),I10,0)+IF(AND(A56&gt;A11,A56&lt;=A11+'Summary'!$B$10*12,MOD(A56-A11,'Summary'!$B$11)=0),I11,0)+IF(AND(A56&gt;A12,A56&lt;=A12+'Summary'!$B$10*12,MOD(A56-A12,'Summary'!$B$11)=0),I12,0)+IF(AND(A56&gt;A13,A56&lt;=A13+'Summary'!$B$10*12,MOD(A56-A13,'Summary'!$B$11)=0),I13,0)+IF(AND(A56&gt;A14,A56&lt;=A14+'Summary'!$B$10*12,MOD(A56-A14,'Summary'!$B$11)=0),I14,0)+IF(AND(A56&gt;A15,A56&lt;=A15+'Summary'!$B$10*12,MOD(A56-A15,'Summary'!$B$11)=0),I15,0)+IF(AND(A56&gt;A16,A56&lt;=A16+'Summary'!$B$10*12,MOD(A56-A16,'Summary'!$B$11)=0),I16,0)+IF(AND(A56&gt;A17,A56&lt;=A17+'Summary'!$B$10*12,MOD(A56-A17,'Summary'!$B$11)=0),I17,0)+IF(AND(A56&gt;A18,A56&lt;=A18+'Summary'!$B$10*12,MOD(A56-A18,'Summary'!$B$11)=0),I18,0)+IF(AND(A56&gt;A19,A56&lt;=A19+'Summary'!$B$10*12,MOD(A56-A19,'Summary'!$B$11)=0),I19,0)+IF(AND(A56&gt;A20,A56&lt;=A20+'Summary'!$B$10*12,MOD(A56-A20,'Summary'!$B$11)=0),I20,0)+IF(AND(A56&gt;A21,A56&lt;=A21+'Summary'!$B$10*12,MOD(A56-A21,'Summary'!$B$11)=0),I21,0)+IF(AND(A56&gt;A22,A56&lt;=A22+'Summary'!$B$10*12,MOD(A56-A22,'Summary'!$B$11)=0),I22,0)+IF(AND(A56&gt;A23,A56&lt;=A23+'Summary'!$B$10*12,MOD(A56-A23,'Summary'!$B$11)=0),I23,0)+IF(AND(A56&gt;A24,A56&lt;=A24+'Summary'!$B$10*12,MOD(A56-A24,'Summary'!$B$11)=0),I24,0)+IF(AND(A56&gt;A25,A56&lt;=A25+'Summary'!$B$10*12,MOD(A56-A25,'Summary'!$B$11)=0),I25,0)+IF(AND(A56&gt;A26,A56&lt;=A26+'Summary'!$B$10*12,MOD(A56-A26,'Summary'!$B$11)=0),I26,0)+IF(AND(A56&gt;A27,A56&lt;=A27+'Summary'!$B$10*12,MOD(A56-A27,'Summary'!$B$11)=0),I27,0)+IF(AND(A56&gt;A28,A56&lt;=A28+'Summary'!$B$10*12,MOD(A56-A28,'Summary'!$B$11)=0),I28,0)+IF(AND(A56&gt;A29,A56&lt;=A29+'Summary'!$B$10*12,MOD(A56-A29,'Summary'!$B$11)=0),I29,0)+IF(AND(A56&gt;A30,A56&lt;=A30+'Summary'!$B$10*12,MOD(A56-A30,'Summary'!$B$11)=0),I30,0)+IF(AND(A56&gt;A31,A56&lt;=A31+'Summary'!$B$10*12,MOD(A56-A31,'Summary'!$B$11)=0),I31,0)+IF(AND(A56&gt;A32,A56&lt;=A32+'Summary'!$B$10*12,MOD(A56-A32,'Summary'!$B$11)=0),I32,0)+IF(AND(A56&gt;A33,A56&lt;=A33+'Summary'!$B$10*12,MOD(A56-A33,'Summary'!$B$11)=0),I33,0)+IF(AND(A56&gt;A34,A56&lt;=A34+'Summary'!$B$10*12,MOD(A56-A34,'Summary'!$B$11)=0),I34,0)+IF(AND(A56&gt;A35,A56&lt;=A35+'Summary'!$B$10*12,MOD(A56-A35,'Summary'!$B$11)=0),I35,0)+IF(AND(A56&gt;A36,A56&lt;=A36+'Summary'!$B$10*12,MOD(A56-A36,'Summary'!$B$11)=0),I36,0)+IF(AND(A56&gt;A37,A56&lt;=A37+'Summary'!$B$10*12,MOD(A56-A37,'Summary'!$B$11)=0),I37,0)+IF(AND(A56&gt;A38,A56&lt;=A38+'Summary'!$B$10*12,MOD(A56-A38,'Summary'!$B$11)=0),I38,0)+IF(AND(A56&gt;A39,A56&lt;=A39+'Summary'!$B$10*12,MOD(A56-A39,'Summary'!$B$11)=0),I39,0)+IF(AND(A56&gt;A40,A56&lt;=A40+'Summary'!$B$10*12,MOD(A56-A40,'Summary'!$B$11)=0),I40,0)+IF(AND(A56&gt;A41,A56&lt;=A41+'Summary'!$B$10*12,MOD(A56-A41,'Summary'!$B$11)=0),I41,0)+IF(AND(A56&gt;A42,A56&lt;=A42+'Summary'!$B$10*12,MOD(A56-A42,'Summary'!$B$11)=0),I42,0)+IF(AND(A56&gt;A43,A56&lt;=A43+'Summary'!$B$10*12,MOD(A56-A43,'Summary'!$B$11)=0),I43,0)+IF(AND(A56&gt;A44,A56&lt;=A44+'Summary'!$B$10*12,MOD(A56-A44,'Summary'!$B$11)=0),I44,0)+IF(AND(A56&gt;A45,A56&lt;=A45+'Summary'!$B$10*12,MOD(A56-A45,'Summary'!$B$11)=0),I45,0)+IF(AND(A56&gt;A46,A56&lt;=A46+'Summary'!$B$10*12,MOD(A56-A46,'Summary'!$B$11)=0),I46,0)+IF(AND(A56&gt;A47,A56&lt;=A47+'Summary'!$B$10*12,MOD(A56-A47,'Summary'!$B$11)=0),I47,0)+IF(AND(A56&gt;A48,A56&lt;=A48+'Summary'!$B$10*12,MOD(A56-A48,'Summary'!$B$11)=0),I48,0)+IF(AND(A56&gt;A49,A56&lt;=A49+'Summary'!$B$10*12,MOD(A56-A49,'Summary'!$B$11)=0),I49,0)+IF(AND(A56&gt;A50,A56&lt;=A50+'Summary'!$B$10*12,MOD(A56-A50,'Summary'!$B$11)=0),I50,0)+IF(AND(A56&gt;A51,A56&lt;=A51+'Summary'!$B$10*12,MOD(A56-A51,'Summary'!$B$11)=0),I51,0)+IF(AND(A56&gt;A52,A56&lt;=A52+'Summary'!$B$10*12,MOD(A56-A52,'Summary'!$B$11)=0),I52,0)+IF(AND(A56&gt;A53,A56&lt;=A53+'Summary'!$B$10*12,MOD(A56-A53,'Summary'!$B$11)=0),I53,0)+IF(AND(A56&gt;A54,A56&lt;=A54+'Summary'!$B$10*12,MOD(A56-A54,'Summary'!$B$11)=0),I54,0)+IF(AND(A56&gt;A55,A56&lt;=A55+'Summary'!$B$10*12,MOD(A56-A55,'Summary'!$B$11)=0),I55,0))*'Summary'!$B$8/2</x:f>
        <x:v>227.49677218828236</x:v>
      </x:c>
      <x:c r="G56" s="62" t="n">
        <x:f>IF(A56=A8+'Summary'!$B$10*12,I8,0)+IF(A56=A9+'Summary'!$B$10*12,I9,0)+IF(A56=A10+'Summary'!$B$10*12,I10,0)+IF(A56=A11+'Summary'!$B$10*12,I11,0)+IF(A56=A12+'Summary'!$B$10*12,I12,0)+IF(A56=A13+'Summary'!$B$10*12,I13,0)+IF(A56=A14+'Summary'!$B$10*12,I14,0)+IF(A56=A15+'Summary'!$B$10*12,I15,0)+IF(A56=A16+'Summary'!$B$10*12,I16,0)+IF(A56=A17+'Summary'!$B$10*12,I17,0)+IF(A56=A18+'Summary'!$B$10*12,I18,0)+IF(A56=A19+'Summary'!$B$10*12,I19,0)+IF(A56=A20+'Summary'!$B$10*12,I20,0)+IF(A56=A21+'Summary'!$B$10*12,I21,0)+IF(A56=A22+'Summary'!$B$10*12,I22,0)+IF(A56=A23+'Summary'!$B$10*12,I23,0)+IF(A56=A24+'Summary'!$B$10*12,I24,0)+IF(A56=A25+'Summary'!$B$10*12,I25,0)+IF(A56=A26+'Summary'!$B$10*12,I26,0)+IF(A56=A27+'Summary'!$B$10*12,I27,0)+IF(A56=A28+'Summary'!$B$10*12,I28,0)+IF(A56=A29+'Summary'!$B$10*12,I29,0)+IF(A56=A30+'Summary'!$B$10*12,I30,0)+IF(A56=A31+'Summary'!$B$10*12,I31,0)+IF(A56=A32+'Summary'!$B$10*12,I32,0)+IF(A56=A33+'Summary'!$B$10*12,I33,0)+IF(A56=A34+'Summary'!$B$10*12,I34,0)+IF(A56=A35+'Summary'!$B$10*12,I35,0)+IF(A56=A36+'Summary'!$B$10*12,I36,0)+IF(A56=A37+'Summary'!$B$10*12,I37,0)+IF(A56=A38+'Summary'!$B$10*12,I38,0)+IF(A56=A39+'Summary'!$B$10*12,I39,0)+IF(A56=A40+'Summary'!$B$10*12,I40,0)+IF(A56=A41+'Summary'!$B$10*12,I41,0)+IF(A56=A42+'Summary'!$B$10*12,I42,0)+IF(A56=A43+'Summary'!$B$10*12,I43,0)+IF(A56=A44+'Summary'!$B$10*12,I44,0)+IF(A56=A45+'Summary'!$B$10*12,I45,0)+IF(A56=A46+'Summary'!$B$10*12,I46,0)+IF(A56=A47+'Summary'!$B$10*12,I47,0)+IF(A56=A48+'Summary'!$B$10*12,I48,0)+IF(A56=A49+'Summary'!$B$10*12,I49,0)+IF(A56=A50+'Summary'!$B$10*12,I50,0)+IF(A56=A51+'Summary'!$B$10*12,I51,0)+IF(A56=A52+'Summary'!$B$10*12,I52,0)+IF(A56=A53+'Summary'!$B$10*12,I53,0)+IF(A56=A54+'Summary'!$B$10*12,I54,0)+IF(A56=A55+'Summary'!$B$10*12,I55,0)</x:f>
        <x:v>0</x:v>
      </x:c>
      <x:c r="H56" s="62" t="n">
        <x:f>E56+D56+F56+G56</x:f>
        <x:v>327.49677218828236</x:v>
      </x:c>
      <x:c r="I56" s="62" t="n">
        <x:f>IF(B56,IF(H56&gt;='Summary'!$B$12,H56,0),0)</x:f>
        <x:v>327.49677218828236</x:v>
      </x:c>
      <x:c r="J56" s="62" t="n">
        <x:f>H56-I56</x:f>
        <x:v>0</x:v>
      </x:c>
      <x:c r="K56" s="63" t="n">
        <x:f>J56+IF(A8+'Summary'!$B$10*12&gt;A56,I8,0)+IF(A9+'Summary'!$B$10*12&gt;A56,I9,0)+IF(A10+'Summary'!$B$10*12&gt;A56,I10,0)+IF(A11+'Summary'!$B$10*12&gt;A56,I11,0)+IF(A12+'Summary'!$B$10*12&gt;A56,I12,0)+IF(A13+'Summary'!$B$10*12&gt;A56,I13,0)+IF(A14+'Summary'!$B$10*12&gt;A56,I14,0)+IF(A15+'Summary'!$B$10*12&gt;A56,I15,0)+IF(A16+'Summary'!$B$10*12&gt;A56,I16,0)+IF(A17+'Summary'!$B$10*12&gt;A56,I17,0)+IF(A18+'Summary'!$B$10*12&gt;A56,I18,0)+IF(A19+'Summary'!$B$10*12&gt;A56,I19,0)+IF(A20+'Summary'!$B$10*12&gt;A56,I20,0)+IF(A21+'Summary'!$B$10*12&gt;A56,I21,0)+IF(A22+'Summary'!$B$10*12&gt;A56,I22,0)+IF(A23+'Summary'!$B$10*12&gt;A56,I23,0)+IF(A24+'Summary'!$B$10*12&gt;A56,I24,0)+IF(A25+'Summary'!$B$10*12&gt;A56,I25,0)+IF(A26+'Summary'!$B$10*12&gt;A56,I26,0)+IF(A27+'Summary'!$B$10*12&gt;A56,I27,0)+IF(A28+'Summary'!$B$10*12&gt;A56,I28,0)+IF(A29+'Summary'!$B$10*12&gt;A56,I29,0)+IF(A30+'Summary'!$B$10*12&gt;A56,I30,0)+IF(A31+'Summary'!$B$10*12&gt;A56,I31,0)+IF(A32+'Summary'!$B$10*12&gt;A56,I32,0)+IF(A33+'Summary'!$B$10*12&gt;A56,I33,0)+IF(A34+'Summary'!$B$10*12&gt;A56,I34,0)+IF(A35+'Summary'!$B$10*12&gt;A56,I35,0)+IF(A36+'Summary'!$B$10*12&gt;A56,I36,0)+IF(A37+'Summary'!$B$10*12&gt;A56,I37,0)+IF(A38+'Summary'!$B$10*12&gt;A56,I38,0)+IF(A39+'Summary'!$B$10*12&gt;A56,I39,0)+IF(A40+'Summary'!$B$10*12&gt;A56,I40,0)+IF(A41+'Summary'!$B$10*12&gt;A56,I41,0)+IF(A42+'Summary'!$B$10*12&gt;A56,I42,0)+IF(A43+'Summary'!$B$10*12&gt;A56,I43,0)+IF(A44+'Summary'!$B$10*12&gt;A56,I44,0)+IF(A45+'Summary'!$B$10*12&gt;A56,I45,0)+IF(A46+'Summary'!$B$10*12&gt;A56,I46,0)+IF(A47+'Summary'!$B$10*12&gt;A56,I47,0)+IF(A48+'Summary'!$B$10*12&gt;A56,I48,0)+IF(A49+'Summary'!$B$10*12&gt;A56,I49,0)+IF(A50+'Summary'!$B$10*12&gt;A56,I50,0)+IF(A51+'Summary'!$B$10*12&gt;A56,I51,0)+IF(A52+'Summary'!$B$10*12&gt;A56,I52,0)+IF(A53+'Summary'!$B$10*12&gt;A56,I53,0)+IF(A54+'Summary'!$B$10*12&gt;A56,I54,0)+IF(A55+'Summary'!$B$10*12&gt;A56,I55,0)+IF(A56+'Summary'!$B$10*12&gt;A56,I56,0)</x:f>
        <x:v>16828.821512188682</x:v>
      </x:c>
    </x:row>
    <x:row r="57">
      <x:c r="A57" s="55" t="n">
        <x:v>49</x:v>
      </x:c>
      <x:c r="B57" s="71" t="b">
        <x:f>A57&lt;='Summary'!$B$9*12</x:f>
        <x:v>1</x:v>
      </x:c>
      <x:c r="C57" s="62" t="n">
        <x:f>IF(A57=0,IF('Summary'!$B$6&gt;=5,'Summary'!$B$6,0),C56)+IF(A57&lt;'Summary'!$B$9*12,IF('Summary'!$B$7&gt;=5,'Summary'!$B$7,0),0)</x:f>
        <x:v>15000</x:v>
      </x:c>
      <x:c r="D57" s="62" t="n">
        <x:f>IF(A57=0,IF('Summary'!$B$6&gt;=5,'Summary'!$B$6,0),0)+IF(A57&lt;'Summary'!$B$9*12,IF('Summary'!$B$7&gt;=5,'Summary'!$B$7,0),0)</x:f>
        <x:v>100</x:v>
      </x:c>
      <x:c r="E57" s="62" t="n">
        <x:f>J56</x:f>
        <x:v>0</x:v>
      </x:c>
      <x:c r="F57" s="62" t="n">
        <x:f>(IF(AND(A57&gt;A8,A57&lt;=A8+'Summary'!$B$10*12,MOD(A57-A8,'Summary'!$B$11)=0),I8,0)+IF(AND(A57&gt;A9,A57&lt;=A9+'Summary'!$B$10*12,MOD(A57-A9,'Summary'!$B$11)=0),I9,0)+IF(AND(A57&gt;A10,A57&lt;=A10+'Summary'!$B$10*12,MOD(A57-A10,'Summary'!$B$11)=0),I10,0)+IF(AND(A57&gt;A11,A57&lt;=A11+'Summary'!$B$10*12,MOD(A57-A11,'Summary'!$B$11)=0),I11,0)+IF(AND(A57&gt;A12,A57&lt;=A12+'Summary'!$B$10*12,MOD(A57-A12,'Summary'!$B$11)=0),I12,0)+IF(AND(A57&gt;A13,A57&lt;=A13+'Summary'!$B$10*12,MOD(A57-A13,'Summary'!$B$11)=0),I13,0)+IF(AND(A57&gt;A14,A57&lt;=A14+'Summary'!$B$10*12,MOD(A57-A14,'Summary'!$B$11)=0),I14,0)+IF(AND(A57&gt;A15,A57&lt;=A15+'Summary'!$B$10*12,MOD(A57-A15,'Summary'!$B$11)=0),I15,0)+IF(AND(A57&gt;A16,A57&lt;=A16+'Summary'!$B$10*12,MOD(A57-A16,'Summary'!$B$11)=0),I16,0)+IF(AND(A57&gt;A17,A57&lt;=A17+'Summary'!$B$10*12,MOD(A57-A17,'Summary'!$B$11)=0),I17,0)+IF(AND(A57&gt;A18,A57&lt;=A18+'Summary'!$B$10*12,MOD(A57-A18,'Summary'!$B$11)=0),I18,0)+IF(AND(A57&gt;A19,A57&lt;=A19+'Summary'!$B$10*12,MOD(A57-A19,'Summary'!$B$11)=0),I19,0)+IF(AND(A57&gt;A20,A57&lt;=A20+'Summary'!$B$10*12,MOD(A57-A20,'Summary'!$B$11)=0),I20,0)+IF(AND(A57&gt;A21,A57&lt;=A21+'Summary'!$B$10*12,MOD(A57-A21,'Summary'!$B$11)=0),I21,0)+IF(AND(A57&gt;A22,A57&lt;=A22+'Summary'!$B$10*12,MOD(A57-A22,'Summary'!$B$11)=0),I22,0)+IF(AND(A57&gt;A23,A57&lt;=A23+'Summary'!$B$10*12,MOD(A57-A23,'Summary'!$B$11)=0),I23,0)+IF(AND(A57&gt;A24,A57&lt;=A24+'Summary'!$B$10*12,MOD(A57-A24,'Summary'!$B$11)=0),I24,0)+IF(AND(A57&gt;A25,A57&lt;=A25+'Summary'!$B$10*12,MOD(A57-A25,'Summary'!$B$11)=0),I25,0)+IF(AND(A57&gt;A26,A57&lt;=A26+'Summary'!$B$10*12,MOD(A57-A26,'Summary'!$B$11)=0),I26,0)+IF(AND(A57&gt;A27,A57&lt;=A27+'Summary'!$B$10*12,MOD(A57-A27,'Summary'!$B$11)=0),I27,0)+IF(AND(A57&gt;A28,A57&lt;=A28+'Summary'!$B$10*12,MOD(A57-A28,'Summary'!$B$11)=0),I28,0)+IF(AND(A57&gt;A29,A57&lt;=A29+'Summary'!$B$10*12,MOD(A57-A29,'Summary'!$B$11)=0),I29,0)+IF(AND(A57&gt;A30,A57&lt;=A30+'Summary'!$B$10*12,MOD(A57-A30,'Summary'!$B$11)=0),I30,0)+IF(AND(A57&gt;A31,A57&lt;=A31+'Summary'!$B$10*12,MOD(A57-A31,'Summary'!$B$11)=0),I31,0)+IF(AND(A57&gt;A32,A57&lt;=A32+'Summary'!$B$10*12,MOD(A57-A32,'Summary'!$B$11)=0),I32,0)+IF(AND(A57&gt;A33,A57&lt;=A33+'Summary'!$B$10*12,MOD(A57-A33,'Summary'!$B$11)=0),I33,0)+IF(AND(A57&gt;A34,A57&lt;=A34+'Summary'!$B$10*12,MOD(A57-A34,'Summary'!$B$11)=0),I34,0)+IF(AND(A57&gt;A35,A57&lt;=A35+'Summary'!$B$10*12,MOD(A57-A35,'Summary'!$B$11)=0),I35,0)+IF(AND(A57&gt;A36,A57&lt;=A36+'Summary'!$B$10*12,MOD(A57-A36,'Summary'!$B$11)=0),I36,0)+IF(AND(A57&gt;A37,A57&lt;=A37+'Summary'!$B$10*12,MOD(A57-A37,'Summary'!$B$11)=0),I37,0)+IF(AND(A57&gt;A38,A57&lt;=A38+'Summary'!$B$10*12,MOD(A57-A38,'Summary'!$B$11)=0),I38,0)+IF(AND(A57&gt;A39,A57&lt;=A39+'Summary'!$B$10*12,MOD(A57-A39,'Summary'!$B$11)=0),I39,0)+IF(AND(A57&gt;A40,A57&lt;=A40+'Summary'!$B$10*12,MOD(A57-A40,'Summary'!$B$11)=0),I40,0)+IF(AND(A57&gt;A41,A57&lt;=A41+'Summary'!$B$10*12,MOD(A57-A41,'Summary'!$B$11)=0),I41,0)+IF(AND(A57&gt;A42,A57&lt;=A42+'Summary'!$B$10*12,MOD(A57-A42,'Summary'!$B$11)=0),I42,0)+IF(AND(A57&gt;A43,A57&lt;=A43+'Summary'!$B$10*12,MOD(A57-A43,'Summary'!$B$11)=0),I43,0)+IF(AND(A57&gt;A44,A57&lt;=A44+'Summary'!$B$10*12,MOD(A57-A44,'Summary'!$B$11)=0),I44,0)+IF(AND(A57&gt;A45,A57&lt;=A45+'Summary'!$B$10*12,MOD(A57-A45,'Summary'!$B$11)=0),I45,0)+IF(AND(A57&gt;A46,A57&lt;=A46+'Summary'!$B$10*12,MOD(A57-A46,'Summary'!$B$11)=0),I46,0)+IF(AND(A57&gt;A47,A57&lt;=A47+'Summary'!$B$10*12,MOD(A57-A47,'Summary'!$B$11)=0),I47,0)+IF(AND(A57&gt;A48,A57&lt;=A48+'Summary'!$B$10*12,MOD(A57-A48,'Summary'!$B$11)=0),I48,0)+IF(AND(A57&gt;A49,A57&lt;=A49+'Summary'!$B$10*12,MOD(A57-A49,'Summary'!$B$11)=0),I49,0)+IF(AND(A57&gt;A50,A57&lt;=A50+'Summary'!$B$10*12,MOD(A57-A50,'Summary'!$B$11)=0),I50,0)+IF(AND(A57&gt;A51,A57&lt;=A51+'Summary'!$B$10*12,MOD(A57-A51,'Summary'!$B$11)=0),I51,0)+IF(AND(A57&gt;A52,A57&lt;=A52+'Summary'!$B$10*12,MOD(A57-A52,'Summary'!$B$11)=0),I52,0)+IF(AND(A57&gt;A53,A57&lt;=A53+'Summary'!$B$10*12,MOD(A57-A53,'Summary'!$B$11)=0),I53,0)+IF(AND(A57&gt;A54,A57&lt;=A54+'Summary'!$B$10*12,MOD(A57-A54,'Summary'!$B$11)=0),I54,0)+IF(AND(A57&gt;A55,A57&lt;=A55+'Summary'!$B$10*12,MOD(A57-A55,'Summary'!$B$11)=0),I55,0)+IF(AND(A57&gt;A56,A57&lt;=A56+'Summary'!$B$10*12,MOD(A57-A56,'Summary'!$B$11)=0),I56,0))*'Summary'!$B$8/2</x:f>
        <x:v>15.885573595144992</x:v>
      </x:c>
      <x:c r="G57" s="62" t="n">
        <x:f>IF(A57=A8+'Summary'!$B$10*12,I8,0)+IF(A57=A9+'Summary'!$B$10*12,I9,0)+IF(A57=A10+'Summary'!$B$10*12,I10,0)+IF(A57=A11+'Summary'!$B$10*12,I11,0)+IF(A57=A12+'Summary'!$B$10*12,I12,0)+IF(A57=A13+'Summary'!$B$10*12,I13,0)+IF(A57=A14+'Summary'!$B$10*12,I14,0)+IF(A57=A15+'Summary'!$B$10*12,I15,0)+IF(A57=A16+'Summary'!$B$10*12,I16,0)+IF(A57=A17+'Summary'!$B$10*12,I17,0)+IF(A57=A18+'Summary'!$B$10*12,I18,0)+IF(A57=A19+'Summary'!$B$10*12,I19,0)+IF(A57=A20+'Summary'!$B$10*12,I20,0)+IF(A57=A21+'Summary'!$B$10*12,I21,0)+IF(A57=A22+'Summary'!$B$10*12,I22,0)+IF(A57=A23+'Summary'!$B$10*12,I23,0)+IF(A57=A24+'Summary'!$B$10*12,I24,0)+IF(A57=A25+'Summary'!$B$10*12,I25,0)+IF(A57=A26+'Summary'!$B$10*12,I26,0)+IF(A57=A27+'Summary'!$B$10*12,I27,0)+IF(A57=A28+'Summary'!$B$10*12,I28,0)+IF(A57=A29+'Summary'!$B$10*12,I29,0)+IF(A57=A30+'Summary'!$B$10*12,I30,0)+IF(A57=A31+'Summary'!$B$10*12,I31,0)+IF(A57=A32+'Summary'!$B$10*12,I32,0)+IF(A57=A33+'Summary'!$B$10*12,I33,0)+IF(A57=A34+'Summary'!$B$10*12,I34,0)+IF(A57=A35+'Summary'!$B$10*12,I35,0)+IF(A57=A36+'Summary'!$B$10*12,I36,0)+IF(A57=A37+'Summary'!$B$10*12,I37,0)+IF(A57=A38+'Summary'!$B$10*12,I38,0)+IF(A57=A39+'Summary'!$B$10*12,I39,0)+IF(A57=A40+'Summary'!$B$10*12,I40,0)+IF(A57=A41+'Summary'!$B$10*12,I41,0)+IF(A57=A42+'Summary'!$B$10*12,I42,0)+IF(A57=A43+'Summary'!$B$10*12,I43,0)+IF(A57=A44+'Summary'!$B$10*12,I44,0)+IF(A57=A45+'Summary'!$B$10*12,I45,0)+IF(A57=A46+'Summary'!$B$10*12,I46,0)+IF(A57=A47+'Summary'!$B$10*12,I47,0)+IF(A57=A48+'Summary'!$B$10*12,I48,0)+IF(A57=A49+'Summary'!$B$10*12,I49,0)+IF(A57=A50+'Summary'!$B$10*12,I50,0)+IF(A57=A51+'Summary'!$B$10*12,I51,0)+IF(A57=A52+'Summary'!$B$10*12,I52,0)+IF(A57=A53+'Summary'!$B$10*12,I53,0)+IF(A57=A54+'Summary'!$B$10*12,I54,0)+IF(A57=A55+'Summary'!$B$10*12,I55,0)+IF(A57=A56+'Summary'!$B$10*12,I56,0)</x:f>
        <x:v>0</x:v>
      </x:c>
      <x:c r="H57" s="62" t="n">
        <x:f>E57+D57+F57+G57</x:f>
        <x:v>115.88557359514499</x:v>
      </x:c>
      <x:c r="I57" s="62" t="n">
        <x:f>IF(B57,IF(H57&gt;='Summary'!$B$12,H57,0),0)</x:f>
        <x:v>115.88557359514499</x:v>
      </x:c>
      <x:c r="J57" s="62" t="n">
        <x:f>H57-I57</x:f>
        <x:v>0</x:v>
      </x:c>
      <x:c r="K57" s="63" t="n">
        <x:f>J57+IF(A8+'Summary'!$B$10*12&gt;A57,I8,0)+IF(A9+'Summary'!$B$10*12&gt;A57,I9,0)+IF(A10+'Summary'!$B$10*12&gt;A57,I10,0)+IF(A11+'Summary'!$B$10*12&gt;A57,I11,0)+IF(A12+'Summary'!$B$10*12&gt;A57,I12,0)+IF(A13+'Summary'!$B$10*12&gt;A57,I13,0)+IF(A14+'Summary'!$B$10*12&gt;A57,I14,0)+IF(A15+'Summary'!$B$10*12&gt;A57,I15,0)+IF(A16+'Summary'!$B$10*12&gt;A57,I16,0)+IF(A17+'Summary'!$B$10*12&gt;A57,I17,0)+IF(A18+'Summary'!$B$10*12&gt;A57,I18,0)+IF(A19+'Summary'!$B$10*12&gt;A57,I19,0)+IF(A20+'Summary'!$B$10*12&gt;A57,I20,0)+IF(A21+'Summary'!$B$10*12&gt;A57,I21,0)+IF(A22+'Summary'!$B$10*12&gt;A57,I22,0)+IF(A23+'Summary'!$B$10*12&gt;A57,I23,0)+IF(A24+'Summary'!$B$10*12&gt;A57,I24,0)+IF(A25+'Summary'!$B$10*12&gt;A57,I25,0)+IF(A26+'Summary'!$B$10*12&gt;A57,I26,0)+IF(A27+'Summary'!$B$10*12&gt;A57,I27,0)+IF(A28+'Summary'!$B$10*12&gt;A57,I28,0)+IF(A29+'Summary'!$B$10*12&gt;A57,I29,0)+IF(A30+'Summary'!$B$10*12&gt;A57,I30,0)+IF(A31+'Summary'!$B$10*12&gt;A57,I31,0)+IF(A32+'Summary'!$B$10*12&gt;A57,I32,0)+IF(A33+'Summary'!$B$10*12&gt;A57,I33,0)+IF(A34+'Summary'!$B$10*12&gt;A57,I34,0)+IF(A35+'Summary'!$B$10*12&gt;A57,I35,0)+IF(A36+'Summary'!$B$10*12&gt;A57,I36,0)+IF(A37+'Summary'!$B$10*12&gt;A57,I37,0)+IF(A38+'Summary'!$B$10*12&gt;A57,I38,0)+IF(A39+'Summary'!$B$10*12&gt;A57,I39,0)+IF(A40+'Summary'!$B$10*12&gt;A57,I40,0)+IF(A41+'Summary'!$B$10*12&gt;A57,I41,0)+IF(A42+'Summary'!$B$10*12&gt;A57,I42,0)+IF(A43+'Summary'!$B$10*12&gt;A57,I43,0)+IF(A44+'Summary'!$B$10*12&gt;A57,I44,0)+IF(A45+'Summary'!$B$10*12&gt;A57,I45,0)+IF(A46+'Summary'!$B$10*12&gt;A57,I46,0)+IF(A47+'Summary'!$B$10*12&gt;A57,I47,0)+IF(A48+'Summary'!$B$10*12&gt;A57,I48,0)+IF(A49+'Summary'!$B$10*12&gt;A57,I49,0)+IF(A50+'Summary'!$B$10*12&gt;A57,I50,0)+IF(A51+'Summary'!$B$10*12&gt;A57,I51,0)+IF(A52+'Summary'!$B$10*12&gt;A57,I52,0)+IF(A53+'Summary'!$B$10*12&gt;A57,I53,0)+IF(A54+'Summary'!$B$10*12&gt;A57,I54,0)+IF(A55+'Summary'!$B$10*12&gt;A57,I55,0)+IF(A56+'Summary'!$B$10*12&gt;A57,I56,0)+IF(A57+'Summary'!$B$10*12&gt;A57,I57,0)</x:f>
        <x:v>16944.707085783826</x:v>
      </x:c>
    </x:row>
    <x:row r="58">
      <x:c r="A58" s="55" t="n">
        <x:v>50</x:v>
      </x:c>
      <x:c r="B58" s="71" t="b">
        <x:f>A58&lt;='Summary'!$B$9*12</x:f>
        <x:v>1</x:v>
      </x:c>
      <x:c r="C58" s="62" t="n">
        <x:f>IF(A58=0,IF('Summary'!$B$6&gt;=5,'Summary'!$B$6,0),C57)+IF(A58&lt;'Summary'!$B$9*12,IF('Summary'!$B$7&gt;=5,'Summary'!$B$7,0),0)</x:f>
        <x:v>15100</x:v>
      </x:c>
      <x:c r="D58" s="62" t="n">
        <x:f>IF(A58=0,IF('Summary'!$B$6&gt;=5,'Summary'!$B$6,0),0)+IF(A58&lt;'Summary'!$B$9*12,IF('Summary'!$B$7&gt;=5,'Summary'!$B$7,0),0)</x:f>
        <x:v>100</x:v>
      </x:c>
      <x:c r="E58" s="62" t="n">
        <x:f>J57</x:f>
        <x:v>0</x:v>
      </x:c>
      <x:c r="F58" s="62" t="n">
        <x:f>(IF(AND(A58&gt;A8,A58&lt;=A8+'Summary'!$B$10*12,MOD(A58-A8,'Summary'!$B$11)=0),I8,0)+IF(AND(A58&gt;A9,A58&lt;=A9+'Summary'!$B$10*12,MOD(A58-A9,'Summary'!$B$11)=0),I9,0)+IF(AND(A58&gt;A10,A58&lt;=A10+'Summary'!$B$10*12,MOD(A58-A10,'Summary'!$B$11)=0),I10,0)+IF(AND(A58&gt;A11,A58&lt;=A11+'Summary'!$B$10*12,MOD(A58-A11,'Summary'!$B$11)=0),I11,0)+IF(AND(A58&gt;A12,A58&lt;=A12+'Summary'!$B$10*12,MOD(A58-A12,'Summary'!$B$11)=0),I12,0)+IF(AND(A58&gt;A13,A58&lt;=A13+'Summary'!$B$10*12,MOD(A58-A13,'Summary'!$B$11)=0),I13,0)+IF(AND(A58&gt;A14,A58&lt;=A14+'Summary'!$B$10*12,MOD(A58-A14,'Summary'!$B$11)=0),I14,0)+IF(AND(A58&gt;A15,A58&lt;=A15+'Summary'!$B$10*12,MOD(A58-A15,'Summary'!$B$11)=0),I15,0)+IF(AND(A58&gt;A16,A58&lt;=A16+'Summary'!$B$10*12,MOD(A58-A16,'Summary'!$B$11)=0),I16,0)+IF(AND(A58&gt;A17,A58&lt;=A17+'Summary'!$B$10*12,MOD(A58-A17,'Summary'!$B$11)=0),I17,0)+IF(AND(A58&gt;A18,A58&lt;=A18+'Summary'!$B$10*12,MOD(A58-A18,'Summary'!$B$11)=0),I18,0)+IF(AND(A58&gt;A19,A58&lt;=A19+'Summary'!$B$10*12,MOD(A58-A19,'Summary'!$B$11)=0),I19,0)+IF(AND(A58&gt;A20,A58&lt;=A20+'Summary'!$B$10*12,MOD(A58-A20,'Summary'!$B$11)=0),I20,0)+IF(AND(A58&gt;A21,A58&lt;=A21+'Summary'!$B$10*12,MOD(A58-A21,'Summary'!$B$11)=0),I21,0)+IF(AND(A58&gt;A22,A58&lt;=A22+'Summary'!$B$10*12,MOD(A58-A22,'Summary'!$B$11)=0),I22,0)+IF(AND(A58&gt;A23,A58&lt;=A23+'Summary'!$B$10*12,MOD(A58-A23,'Summary'!$B$11)=0),I23,0)+IF(AND(A58&gt;A24,A58&lt;=A24+'Summary'!$B$10*12,MOD(A58-A24,'Summary'!$B$11)=0),I24,0)+IF(AND(A58&gt;A25,A58&lt;=A25+'Summary'!$B$10*12,MOD(A58-A25,'Summary'!$B$11)=0),I25,0)+IF(AND(A58&gt;A26,A58&lt;=A26+'Summary'!$B$10*12,MOD(A58-A26,'Summary'!$B$11)=0),I26,0)+IF(AND(A58&gt;A27,A58&lt;=A27+'Summary'!$B$10*12,MOD(A58-A27,'Summary'!$B$11)=0),I27,0)+IF(AND(A58&gt;A28,A58&lt;=A28+'Summary'!$B$10*12,MOD(A58-A28,'Summary'!$B$11)=0),I28,0)+IF(AND(A58&gt;A29,A58&lt;=A29+'Summary'!$B$10*12,MOD(A58-A29,'Summary'!$B$11)=0),I29,0)+IF(AND(A58&gt;A30,A58&lt;=A30+'Summary'!$B$10*12,MOD(A58-A30,'Summary'!$B$11)=0),I30,0)+IF(AND(A58&gt;A31,A58&lt;=A31+'Summary'!$B$10*12,MOD(A58-A31,'Summary'!$B$11)=0),I31,0)+IF(AND(A58&gt;A32,A58&lt;=A32+'Summary'!$B$10*12,MOD(A58-A32,'Summary'!$B$11)=0),I32,0)+IF(AND(A58&gt;A33,A58&lt;=A33+'Summary'!$B$10*12,MOD(A58-A33,'Summary'!$B$11)=0),I33,0)+IF(AND(A58&gt;A34,A58&lt;=A34+'Summary'!$B$10*12,MOD(A58-A34,'Summary'!$B$11)=0),I34,0)+IF(AND(A58&gt;A35,A58&lt;=A35+'Summary'!$B$10*12,MOD(A58-A35,'Summary'!$B$11)=0),I35,0)+IF(AND(A58&gt;A36,A58&lt;=A36+'Summary'!$B$10*12,MOD(A58-A36,'Summary'!$B$11)=0),I36,0)+IF(AND(A58&gt;A37,A58&lt;=A37+'Summary'!$B$10*12,MOD(A58-A37,'Summary'!$B$11)=0),I37,0)+IF(AND(A58&gt;A38,A58&lt;=A38+'Summary'!$B$10*12,MOD(A58-A38,'Summary'!$B$11)=0),I38,0)+IF(AND(A58&gt;A39,A58&lt;=A39+'Summary'!$B$10*12,MOD(A58-A39,'Summary'!$B$11)=0),I39,0)+IF(AND(A58&gt;A40,A58&lt;=A40+'Summary'!$B$10*12,MOD(A58-A40,'Summary'!$B$11)=0),I40,0)+IF(AND(A58&gt;A41,A58&lt;=A41+'Summary'!$B$10*12,MOD(A58-A41,'Summary'!$B$11)=0),I41,0)+IF(AND(A58&gt;A42,A58&lt;=A42+'Summary'!$B$10*12,MOD(A58-A42,'Summary'!$B$11)=0),I42,0)+IF(AND(A58&gt;A43,A58&lt;=A43+'Summary'!$B$10*12,MOD(A58-A43,'Summary'!$B$11)=0),I43,0)+IF(AND(A58&gt;A44,A58&lt;=A44+'Summary'!$B$10*12,MOD(A58-A44,'Summary'!$B$11)=0),I44,0)+IF(AND(A58&gt;A45,A58&lt;=A45+'Summary'!$B$10*12,MOD(A58-A45,'Summary'!$B$11)=0),I45,0)+IF(AND(A58&gt;A46,A58&lt;=A46+'Summary'!$B$10*12,MOD(A58-A46,'Summary'!$B$11)=0),I46,0)+IF(AND(A58&gt;A47,A58&lt;=A47+'Summary'!$B$10*12,MOD(A58-A47,'Summary'!$B$11)=0),I47,0)+IF(AND(A58&gt;A48,A58&lt;=A48+'Summary'!$B$10*12,MOD(A58-A48,'Summary'!$B$11)=0),I48,0)+IF(AND(A58&gt;A49,A58&lt;=A49+'Summary'!$B$10*12,MOD(A58-A49,'Summary'!$B$11)=0),I49,0)+IF(AND(A58&gt;A50,A58&lt;=A50+'Summary'!$B$10*12,MOD(A58-A50,'Summary'!$B$11)=0),I50,0)+IF(AND(A58&gt;A51,A58&lt;=A51+'Summary'!$B$10*12,MOD(A58-A51,'Summary'!$B$11)=0),I51,0)+IF(AND(A58&gt;A52,A58&lt;=A52+'Summary'!$B$10*12,MOD(A58-A52,'Summary'!$B$11)=0),I52,0)+IF(AND(A58&gt;A53,A58&lt;=A53+'Summary'!$B$10*12,MOD(A58-A53,'Summary'!$B$11)=0),I53,0)+IF(AND(A58&gt;A54,A58&lt;=A54+'Summary'!$B$10*12,MOD(A58-A54,'Summary'!$B$11)=0),I54,0)+IF(AND(A58&gt;A55,A58&lt;=A55+'Summary'!$B$10*12,MOD(A58-A55,'Summary'!$B$11)=0),I55,0)+IF(AND(A58&gt;A56,A58&lt;=A56+'Summary'!$B$10*12,MOD(A58-A56,'Summary'!$B$11)=0),I56,0)+IF(AND(A58&gt;A57,A58&lt;=A57+'Summary'!$B$10*12,MOD(A58-A57,'Summary'!$B$11)=0),I57,0))*'Summary'!$B$8/2</x:f>
        <x:v>15.885573595144992</x:v>
      </x:c>
      <x:c r="G58" s="62" t="n">
        <x:f>IF(A58=A8+'Summary'!$B$10*12,I8,0)+IF(A58=A9+'Summary'!$B$10*12,I9,0)+IF(A58=A10+'Summary'!$B$10*12,I10,0)+IF(A58=A11+'Summary'!$B$10*12,I11,0)+IF(A58=A12+'Summary'!$B$10*12,I12,0)+IF(A58=A13+'Summary'!$B$10*12,I13,0)+IF(A58=A14+'Summary'!$B$10*12,I14,0)+IF(A58=A15+'Summary'!$B$10*12,I15,0)+IF(A58=A16+'Summary'!$B$10*12,I16,0)+IF(A58=A17+'Summary'!$B$10*12,I17,0)+IF(A58=A18+'Summary'!$B$10*12,I18,0)+IF(A58=A19+'Summary'!$B$10*12,I19,0)+IF(A58=A20+'Summary'!$B$10*12,I20,0)+IF(A58=A21+'Summary'!$B$10*12,I21,0)+IF(A58=A22+'Summary'!$B$10*12,I22,0)+IF(A58=A23+'Summary'!$B$10*12,I23,0)+IF(A58=A24+'Summary'!$B$10*12,I24,0)+IF(A58=A25+'Summary'!$B$10*12,I25,0)+IF(A58=A26+'Summary'!$B$10*12,I26,0)+IF(A58=A27+'Summary'!$B$10*12,I27,0)+IF(A58=A28+'Summary'!$B$10*12,I28,0)+IF(A58=A29+'Summary'!$B$10*12,I29,0)+IF(A58=A30+'Summary'!$B$10*12,I30,0)+IF(A58=A31+'Summary'!$B$10*12,I31,0)+IF(A58=A32+'Summary'!$B$10*12,I32,0)+IF(A58=A33+'Summary'!$B$10*12,I33,0)+IF(A58=A34+'Summary'!$B$10*12,I34,0)+IF(A58=A35+'Summary'!$B$10*12,I35,0)+IF(A58=A36+'Summary'!$B$10*12,I36,0)+IF(A58=A37+'Summary'!$B$10*12,I37,0)+IF(A58=A38+'Summary'!$B$10*12,I38,0)+IF(A58=A39+'Summary'!$B$10*12,I39,0)+IF(A58=A40+'Summary'!$B$10*12,I40,0)+IF(A58=A41+'Summary'!$B$10*12,I41,0)+IF(A58=A42+'Summary'!$B$10*12,I42,0)+IF(A58=A43+'Summary'!$B$10*12,I43,0)+IF(A58=A44+'Summary'!$B$10*12,I44,0)+IF(A58=A45+'Summary'!$B$10*12,I45,0)+IF(A58=A46+'Summary'!$B$10*12,I46,0)+IF(A58=A47+'Summary'!$B$10*12,I47,0)+IF(A58=A48+'Summary'!$B$10*12,I48,0)+IF(A58=A49+'Summary'!$B$10*12,I49,0)+IF(A58=A50+'Summary'!$B$10*12,I50,0)+IF(A58=A51+'Summary'!$B$10*12,I51,0)+IF(A58=A52+'Summary'!$B$10*12,I52,0)+IF(A58=A53+'Summary'!$B$10*12,I53,0)+IF(A58=A54+'Summary'!$B$10*12,I54,0)+IF(A58=A55+'Summary'!$B$10*12,I55,0)+IF(A58=A56+'Summary'!$B$10*12,I56,0)+IF(A58=A57+'Summary'!$B$10*12,I57,0)</x:f>
        <x:v>0</x:v>
      </x:c>
      <x:c r="H58" s="62" t="n">
        <x:f>E58+D58+F58+G58</x:f>
        <x:v>115.88557359514499</x:v>
      </x:c>
      <x:c r="I58" s="62" t="n">
        <x:f>IF(B58,IF(H58&gt;='Summary'!$B$12,H58,0),0)</x:f>
        <x:v>115.88557359514499</x:v>
      </x:c>
      <x:c r="J58" s="62" t="n">
        <x:f>H58-I58</x:f>
        <x:v>0</x:v>
      </x:c>
      <x:c r="K58" s="63" t="n">
        <x:f>J58+IF(A8+'Summary'!$B$10*12&gt;A58,I8,0)+IF(A9+'Summary'!$B$10*12&gt;A58,I9,0)+IF(A10+'Summary'!$B$10*12&gt;A58,I10,0)+IF(A11+'Summary'!$B$10*12&gt;A58,I11,0)+IF(A12+'Summary'!$B$10*12&gt;A58,I12,0)+IF(A13+'Summary'!$B$10*12&gt;A58,I13,0)+IF(A14+'Summary'!$B$10*12&gt;A58,I14,0)+IF(A15+'Summary'!$B$10*12&gt;A58,I15,0)+IF(A16+'Summary'!$B$10*12&gt;A58,I16,0)+IF(A17+'Summary'!$B$10*12&gt;A58,I17,0)+IF(A18+'Summary'!$B$10*12&gt;A58,I18,0)+IF(A19+'Summary'!$B$10*12&gt;A58,I19,0)+IF(A20+'Summary'!$B$10*12&gt;A58,I20,0)+IF(A21+'Summary'!$B$10*12&gt;A58,I21,0)+IF(A22+'Summary'!$B$10*12&gt;A58,I22,0)+IF(A23+'Summary'!$B$10*12&gt;A58,I23,0)+IF(A24+'Summary'!$B$10*12&gt;A58,I24,0)+IF(A25+'Summary'!$B$10*12&gt;A58,I25,0)+IF(A26+'Summary'!$B$10*12&gt;A58,I26,0)+IF(A27+'Summary'!$B$10*12&gt;A58,I27,0)+IF(A28+'Summary'!$B$10*12&gt;A58,I28,0)+IF(A29+'Summary'!$B$10*12&gt;A58,I29,0)+IF(A30+'Summary'!$B$10*12&gt;A58,I30,0)+IF(A31+'Summary'!$B$10*12&gt;A58,I31,0)+IF(A32+'Summary'!$B$10*12&gt;A58,I32,0)+IF(A33+'Summary'!$B$10*12&gt;A58,I33,0)+IF(A34+'Summary'!$B$10*12&gt;A58,I34,0)+IF(A35+'Summary'!$B$10*12&gt;A58,I35,0)+IF(A36+'Summary'!$B$10*12&gt;A58,I36,0)+IF(A37+'Summary'!$B$10*12&gt;A58,I37,0)+IF(A38+'Summary'!$B$10*12&gt;A58,I38,0)+IF(A39+'Summary'!$B$10*12&gt;A58,I39,0)+IF(A40+'Summary'!$B$10*12&gt;A58,I40,0)+IF(A41+'Summary'!$B$10*12&gt;A58,I41,0)+IF(A42+'Summary'!$B$10*12&gt;A58,I42,0)+IF(A43+'Summary'!$B$10*12&gt;A58,I43,0)+IF(A44+'Summary'!$B$10*12&gt;A58,I44,0)+IF(A45+'Summary'!$B$10*12&gt;A58,I45,0)+IF(A46+'Summary'!$B$10*12&gt;A58,I46,0)+IF(A47+'Summary'!$B$10*12&gt;A58,I47,0)+IF(A48+'Summary'!$B$10*12&gt;A58,I48,0)+IF(A49+'Summary'!$B$10*12&gt;A58,I49,0)+IF(A50+'Summary'!$B$10*12&gt;A58,I50,0)+IF(A51+'Summary'!$B$10*12&gt;A58,I51,0)+IF(A52+'Summary'!$B$10*12&gt;A58,I52,0)+IF(A53+'Summary'!$B$10*12&gt;A58,I53,0)+IF(A54+'Summary'!$B$10*12&gt;A58,I54,0)+IF(A55+'Summary'!$B$10*12&gt;A58,I55,0)+IF(A56+'Summary'!$B$10*12&gt;A58,I56,0)+IF(A57+'Summary'!$B$10*12&gt;A58,I57,0)+IF(A58+'Summary'!$B$10*12&gt;A58,I58,0)</x:f>
        <x:v>17060.59265937897</x:v>
      </x:c>
    </x:row>
    <x:row r="59">
      <x:c r="A59" s="55" t="n">
        <x:v>51</x:v>
      </x:c>
      <x:c r="B59" s="71" t="b">
        <x:f>A59&lt;='Summary'!$B$9*12</x:f>
        <x:v>1</x:v>
      </x:c>
      <x:c r="C59" s="62" t="n">
        <x:f>IF(A59=0,IF('Summary'!$B$6&gt;=5,'Summary'!$B$6,0),C58)+IF(A59&lt;'Summary'!$B$9*12,IF('Summary'!$B$7&gt;=5,'Summary'!$B$7,0),0)</x:f>
        <x:v>15200</x:v>
      </x:c>
      <x:c r="D59" s="62" t="n">
        <x:f>IF(A59=0,IF('Summary'!$B$6&gt;=5,'Summary'!$B$6,0),0)+IF(A59&lt;'Summary'!$B$9*12,IF('Summary'!$B$7&gt;=5,'Summary'!$B$7,0),0)</x:f>
        <x:v>100</x:v>
      </x:c>
      <x:c r="E59" s="62" t="n">
        <x:f>J58</x:f>
        <x:v>0</x:v>
      </x:c>
      <x:c r="F59" s="62" t="n">
        <x:f>(IF(AND(A59&gt;A8,A59&lt;=A8+'Summary'!$B$10*12,MOD(A59-A8,'Summary'!$B$11)=0),I8,0)+IF(AND(A59&gt;A9,A59&lt;=A9+'Summary'!$B$10*12,MOD(A59-A9,'Summary'!$B$11)=0),I9,0)+IF(AND(A59&gt;A10,A59&lt;=A10+'Summary'!$B$10*12,MOD(A59-A10,'Summary'!$B$11)=0),I10,0)+IF(AND(A59&gt;A11,A59&lt;=A11+'Summary'!$B$10*12,MOD(A59-A11,'Summary'!$B$11)=0),I11,0)+IF(AND(A59&gt;A12,A59&lt;=A12+'Summary'!$B$10*12,MOD(A59-A12,'Summary'!$B$11)=0),I12,0)+IF(AND(A59&gt;A13,A59&lt;=A13+'Summary'!$B$10*12,MOD(A59-A13,'Summary'!$B$11)=0),I13,0)+IF(AND(A59&gt;A14,A59&lt;=A14+'Summary'!$B$10*12,MOD(A59-A14,'Summary'!$B$11)=0),I14,0)+IF(AND(A59&gt;A15,A59&lt;=A15+'Summary'!$B$10*12,MOD(A59-A15,'Summary'!$B$11)=0),I15,0)+IF(AND(A59&gt;A16,A59&lt;=A16+'Summary'!$B$10*12,MOD(A59-A16,'Summary'!$B$11)=0),I16,0)+IF(AND(A59&gt;A17,A59&lt;=A17+'Summary'!$B$10*12,MOD(A59-A17,'Summary'!$B$11)=0),I17,0)+IF(AND(A59&gt;A18,A59&lt;=A18+'Summary'!$B$10*12,MOD(A59-A18,'Summary'!$B$11)=0),I18,0)+IF(AND(A59&gt;A19,A59&lt;=A19+'Summary'!$B$10*12,MOD(A59-A19,'Summary'!$B$11)=0),I19,0)+IF(AND(A59&gt;A20,A59&lt;=A20+'Summary'!$B$10*12,MOD(A59-A20,'Summary'!$B$11)=0),I20,0)+IF(AND(A59&gt;A21,A59&lt;=A21+'Summary'!$B$10*12,MOD(A59-A21,'Summary'!$B$11)=0),I21,0)+IF(AND(A59&gt;A22,A59&lt;=A22+'Summary'!$B$10*12,MOD(A59-A22,'Summary'!$B$11)=0),I22,0)+IF(AND(A59&gt;A23,A59&lt;=A23+'Summary'!$B$10*12,MOD(A59-A23,'Summary'!$B$11)=0),I23,0)+IF(AND(A59&gt;A24,A59&lt;=A24+'Summary'!$B$10*12,MOD(A59-A24,'Summary'!$B$11)=0),I24,0)+IF(AND(A59&gt;A25,A59&lt;=A25+'Summary'!$B$10*12,MOD(A59-A25,'Summary'!$B$11)=0),I25,0)+IF(AND(A59&gt;A26,A59&lt;=A26+'Summary'!$B$10*12,MOD(A59-A26,'Summary'!$B$11)=0),I26,0)+IF(AND(A59&gt;A27,A59&lt;=A27+'Summary'!$B$10*12,MOD(A59-A27,'Summary'!$B$11)=0),I27,0)+IF(AND(A59&gt;A28,A59&lt;=A28+'Summary'!$B$10*12,MOD(A59-A28,'Summary'!$B$11)=0),I28,0)+IF(AND(A59&gt;A29,A59&lt;=A29+'Summary'!$B$10*12,MOD(A59-A29,'Summary'!$B$11)=0),I29,0)+IF(AND(A59&gt;A30,A59&lt;=A30+'Summary'!$B$10*12,MOD(A59-A30,'Summary'!$B$11)=0),I30,0)+IF(AND(A59&gt;A31,A59&lt;=A31+'Summary'!$B$10*12,MOD(A59-A31,'Summary'!$B$11)=0),I31,0)+IF(AND(A59&gt;A32,A59&lt;=A32+'Summary'!$B$10*12,MOD(A59-A32,'Summary'!$B$11)=0),I32,0)+IF(AND(A59&gt;A33,A59&lt;=A33+'Summary'!$B$10*12,MOD(A59-A33,'Summary'!$B$11)=0),I33,0)+IF(AND(A59&gt;A34,A59&lt;=A34+'Summary'!$B$10*12,MOD(A59-A34,'Summary'!$B$11)=0),I34,0)+IF(AND(A59&gt;A35,A59&lt;=A35+'Summary'!$B$10*12,MOD(A59-A35,'Summary'!$B$11)=0),I35,0)+IF(AND(A59&gt;A36,A59&lt;=A36+'Summary'!$B$10*12,MOD(A59-A36,'Summary'!$B$11)=0),I36,0)+IF(AND(A59&gt;A37,A59&lt;=A37+'Summary'!$B$10*12,MOD(A59-A37,'Summary'!$B$11)=0),I37,0)+IF(AND(A59&gt;A38,A59&lt;=A38+'Summary'!$B$10*12,MOD(A59-A38,'Summary'!$B$11)=0),I38,0)+IF(AND(A59&gt;A39,A59&lt;=A39+'Summary'!$B$10*12,MOD(A59-A39,'Summary'!$B$11)=0),I39,0)+IF(AND(A59&gt;A40,A59&lt;=A40+'Summary'!$B$10*12,MOD(A59-A40,'Summary'!$B$11)=0),I40,0)+IF(AND(A59&gt;A41,A59&lt;=A41+'Summary'!$B$10*12,MOD(A59-A41,'Summary'!$B$11)=0),I41,0)+IF(AND(A59&gt;A42,A59&lt;=A42+'Summary'!$B$10*12,MOD(A59-A42,'Summary'!$B$11)=0),I42,0)+IF(AND(A59&gt;A43,A59&lt;=A43+'Summary'!$B$10*12,MOD(A59-A43,'Summary'!$B$11)=0),I43,0)+IF(AND(A59&gt;A44,A59&lt;=A44+'Summary'!$B$10*12,MOD(A59-A44,'Summary'!$B$11)=0),I44,0)+IF(AND(A59&gt;A45,A59&lt;=A45+'Summary'!$B$10*12,MOD(A59-A45,'Summary'!$B$11)=0),I45,0)+IF(AND(A59&gt;A46,A59&lt;=A46+'Summary'!$B$10*12,MOD(A59-A46,'Summary'!$B$11)=0),I46,0)+IF(AND(A59&gt;A47,A59&lt;=A47+'Summary'!$B$10*12,MOD(A59-A47,'Summary'!$B$11)=0),I47,0)+IF(AND(A59&gt;A48,A59&lt;=A48+'Summary'!$B$10*12,MOD(A59-A48,'Summary'!$B$11)=0),I48,0)+IF(AND(A59&gt;A49,A59&lt;=A49+'Summary'!$B$10*12,MOD(A59-A49,'Summary'!$B$11)=0),I49,0)+IF(AND(A59&gt;A50,A59&lt;=A50+'Summary'!$B$10*12,MOD(A59-A50,'Summary'!$B$11)=0),I50,0)+IF(AND(A59&gt;A51,A59&lt;=A51+'Summary'!$B$10*12,MOD(A59-A51,'Summary'!$B$11)=0),I51,0)+IF(AND(A59&gt;A52,A59&lt;=A52+'Summary'!$B$10*12,MOD(A59-A52,'Summary'!$B$11)=0),I52,0)+IF(AND(A59&gt;A53,A59&lt;=A53+'Summary'!$B$10*12,MOD(A59-A53,'Summary'!$B$11)=0),I53,0)+IF(AND(A59&gt;A54,A59&lt;=A54+'Summary'!$B$10*12,MOD(A59-A54,'Summary'!$B$11)=0),I54,0)+IF(AND(A59&gt;A55,A59&lt;=A55+'Summary'!$B$10*12,MOD(A59-A55,'Summary'!$B$11)=0),I55,0)+IF(AND(A59&gt;A56,A59&lt;=A56+'Summary'!$B$10*12,MOD(A59-A56,'Summary'!$B$11)=0),I56,0)+IF(AND(A59&gt;A57,A59&lt;=A57+'Summary'!$B$10*12,MOD(A59-A57,'Summary'!$B$11)=0),I57,0)+IF(AND(A59&gt;A58,A59&lt;=A58+'Summary'!$B$10*12,MOD(A59-A58,'Summary'!$B$11)=0),I58,0))*'Summary'!$B$8/2</x:f>
        <x:v>15.885573595144992</x:v>
      </x:c>
      <x:c r="G59" s="62" t="n">
        <x:f>IF(A59=A8+'Summary'!$B$10*12,I8,0)+IF(A59=A9+'Summary'!$B$10*12,I9,0)+IF(A59=A10+'Summary'!$B$10*12,I10,0)+IF(A59=A11+'Summary'!$B$10*12,I11,0)+IF(A59=A12+'Summary'!$B$10*12,I12,0)+IF(A59=A13+'Summary'!$B$10*12,I13,0)+IF(A59=A14+'Summary'!$B$10*12,I14,0)+IF(A59=A15+'Summary'!$B$10*12,I15,0)+IF(A59=A16+'Summary'!$B$10*12,I16,0)+IF(A59=A17+'Summary'!$B$10*12,I17,0)+IF(A59=A18+'Summary'!$B$10*12,I18,0)+IF(A59=A19+'Summary'!$B$10*12,I19,0)+IF(A59=A20+'Summary'!$B$10*12,I20,0)+IF(A59=A21+'Summary'!$B$10*12,I21,0)+IF(A59=A22+'Summary'!$B$10*12,I22,0)+IF(A59=A23+'Summary'!$B$10*12,I23,0)+IF(A59=A24+'Summary'!$B$10*12,I24,0)+IF(A59=A25+'Summary'!$B$10*12,I25,0)+IF(A59=A26+'Summary'!$B$10*12,I26,0)+IF(A59=A27+'Summary'!$B$10*12,I27,0)+IF(A59=A28+'Summary'!$B$10*12,I28,0)+IF(A59=A29+'Summary'!$B$10*12,I29,0)+IF(A59=A30+'Summary'!$B$10*12,I30,0)+IF(A59=A31+'Summary'!$B$10*12,I31,0)+IF(A59=A32+'Summary'!$B$10*12,I32,0)+IF(A59=A33+'Summary'!$B$10*12,I33,0)+IF(A59=A34+'Summary'!$B$10*12,I34,0)+IF(A59=A35+'Summary'!$B$10*12,I35,0)+IF(A59=A36+'Summary'!$B$10*12,I36,0)+IF(A59=A37+'Summary'!$B$10*12,I37,0)+IF(A59=A38+'Summary'!$B$10*12,I38,0)+IF(A59=A39+'Summary'!$B$10*12,I39,0)+IF(A59=A40+'Summary'!$B$10*12,I40,0)+IF(A59=A41+'Summary'!$B$10*12,I41,0)+IF(A59=A42+'Summary'!$B$10*12,I42,0)+IF(A59=A43+'Summary'!$B$10*12,I43,0)+IF(A59=A44+'Summary'!$B$10*12,I44,0)+IF(A59=A45+'Summary'!$B$10*12,I45,0)+IF(A59=A46+'Summary'!$B$10*12,I46,0)+IF(A59=A47+'Summary'!$B$10*12,I47,0)+IF(A59=A48+'Summary'!$B$10*12,I48,0)+IF(A59=A49+'Summary'!$B$10*12,I49,0)+IF(A59=A50+'Summary'!$B$10*12,I50,0)+IF(A59=A51+'Summary'!$B$10*12,I51,0)+IF(A59=A52+'Summary'!$B$10*12,I52,0)+IF(A59=A53+'Summary'!$B$10*12,I53,0)+IF(A59=A54+'Summary'!$B$10*12,I54,0)+IF(A59=A55+'Summary'!$B$10*12,I55,0)+IF(A59=A56+'Summary'!$B$10*12,I56,0)+IF(A59=A57+'Summary'!$B$10*12,I57,0)+IF(A59=A58+'Summary'!$B$10*12,I58,0)</x:f>
        <x:v>0</x:v>
      </x:c>
      <x:c r="H59" s="62" t="n">
        <x:f>E59+D59+F59+G59</x:f>
        <x:v>115.88557359514499</x:v>
      </x:c>
      <x:c r="I59" s="62" t="n">
        <x:f>IF(B59,IF(H59&gt;='Summary'!$B$12,H59,0),0)</x:f>
        <x:v>115.88557359514499</x:v>
      </x:c>
      <x:c r="J59" s="62" t="n">
        <x:f>H59-I59</x:f>
        <x:v>0</x:v>
      </x:c>
      <x:c r="K59" s="63" t="n">
        <x:f>J59+IF(A8+'Summary'!$B$10*12&gt;A59,I8,0)+IF(A9+'Summary'!$B$10*12&gt;A59,I9,0)+IF(A10+'Summary'!$B$10*12&gt;A59,I10,0)+IF(A11+'Summary'!$B$10*12&gt;A59,I11,0)+IF(A12+'Summary'!$B$10*12&gt;A59,I12,0)+IF(A13+'Summary'!$B$10*12&gt;A59,I13,0)+IF(A14+'Summary'!$B$10*12&gt;A59,I14,0)+IF(A15+'Summary'!$B$10*12&gt;A59,I15,0)+IF(A16+'Summary'!$B$10*12&gt;A59,I16,0)+IF(A17+'Summary'!$B$10*12&gt;A59,I17,0)+IF(A18+'Summary'!$B$10*12&gt;A59,I18,0)+IF(A19+'Summary'!$B$10*12&gt;A59,I19,0)+IF(A20+'Summary'!$B$10*12&gt;A59,I20,0)+IF(A21+'Summary'!$B$10*12&gt;A59,I21,0)+IF(A22+'Summary'!$B$10*12&gt;A59,I22,0)+IF(A23+'Summary'!$B$10*12&gt;A59,I23,0)+IF(A24+'Summary'!$B$10*12&gt;A59,I24,0)+IF(A25+'Summary'!$B$10*12&gt;A59,I25,0)+IF(A26+'Summary'!$B$10*12&gt;A59,I26,0)+IF(A27+'Summary'!$B$10*12&gt;A59,I27,0)+IF(A28+'Summary'!$B$10*12&gt;A59,I28,0)+IF(A29+'Summary'!$B$10*12&gt;A59,I29,0)+IF(A30+'Summary'!$B$10*12&gt;A59,I30,0)+IF(A31+'Summary'!$B$10*12&gt;A59,I31,0)+IF(A32+'Summary'!$B$10*12&gt;A59,I32,0)+IF(A33+'Summary'!$B$10*12&gt;A59,I33,0)+IF(A34+'Summary'!$B$10*12&gt;A59,I34,0)+IF(A35+'Summary'!$B$10*12&gt;A59,I35,0)+IF(A36+'Summary'!$B$10*12&gt;A59,I36,0)+IF(A37+'Summary'!$B$10*12&gt;A59,I37,0)+IF(A38+'Summary'!$B$10*12&gt;A59,I38,0)+IF(A39+'Summary'!$B$10*12&gt;A59,I39,0)+IF(A40+'Summary'!$B$10*12&gt;A59,I40,0)+IF(A41+'Summary'!$B$10*12&gt;A59,I41,0)+IF(A42+'Summary'!$B$10*12&gt;A59,I42,0)+IF(A43+'Summary'!$B$10*12&gt;A59,I43,0)+IF(A44+'Summary'!$B$10*12&gt;A59,I44,0)+IF(A45+'Summary'!$B$10*12&gt;A59,I45,0)+IF(A46+'Summary'!$B$10*12&gt;A59,I46,0)+IF(A47+'Summary'!$B$10*12&gt;A59,I47,0)+IF(A48+'Summary'!$B$10*12&gt;A59,I48,0)+IF(A49+'Summary'!$B$10*12&gt;A59,I49,0)+IF(A50+'Summary'!$B$10*12&gt;A59,I50,0)+IF(A51+'Summary'!$B$10*12&gt;A59,I51,0)+IF(A52+'Summary'!$B$10*12&gt;A59,I52,0)+IF(A53+'Summary'!$B$10*12&gt;A59,I53,0)+IF(A54+'Summary'!$B$10*12&gt;A59,I54,0)+IF(A55+'Summary'!$B$10*12&gt;A59,I55,0)+IF(A56+'Summary'!$B$10*12&gt;A59,I56,0)+IF(A57+'Summary'!$B$10*12&gt;A59,I57,0)+IF(A58+'Summary'!$B$10*12&gt;A59,I58,0)+IF(A59+'Summary'!$B$10*12&gt;A59,I59,0)</x:f>
        <x:v>17176.478232974114</x:v>
      </x:c>
    </x:row>
    <x:row r="60">
      <x:c r="A60" s="55" t="n">
        <x:v>52</x:v>
      </x:c>
      <x:c r="B60" s="71" t="b">
        <x:f>A60&lt;='Summary'!$B$9*12</x:f>
        <x:v>1</x:v>
      </x:c>
      <x:c r="C60" s="62" t="n">
        <x:f>IF(A60=0,IF('Summary'!$B$6&gt;=5,'Summary'!$B$6,0),C59)+IF(A60&lt;'Summary'!$B$9*12,IF('Summary'!$B$7&gt;=5,'Summary'!$B$7,0),0)</x:f>
        <x:v>15300</x:v>
      </x:c>
      <x:c r="D60" s="62" t="n">
        <x:f>IF(A60=0,IF('Summary'!$B$6&gt;=5,'Summary'!$B$6,0),0)+IF(A60&lt;'Summary'!$B$9*12,IF('Summary'!$B$7&gt;=5,'Summary'!$B$7,0),0)</x:f>
        <x:v>100</x:v>
      </x:c>
      <x:c r="E60" s="62" t="n">
        <x:f>J59</x:f>
        <x:v>0</x:v>
      </x:c>
      <x:c r="F60" s="62" t="n">
        <x:f>(IF(AND(A60&gt;A8,A60&lt;=A8+'Summary'!$B$10*12,MOD(A60-A8,'Summary'!$B$11)=0),I8,0)+IF(AND(A60&gt;A9,A60&lt;=A9+'Summary'!$B$10*12,MOD(A60-A9,'Summary'!$B$11)=0),I9,0)+IF(AND(A60&gt;A10,A60&lt;=A10+'Summary'!$B$10*12,MOD(A60-A10,'Summary'!$B$11)=0),I10,0)+IF(AND(A60&gt;A11,A60&lt;=A11+'Summary'!$B$10*12,MOD(A60-A11,'Summary'!$B$11)=0),I11,0)+IF(AND(A60&gt;A12,A60&lt;=A12+'Summary'!$B$10*12,MOD(A60-A12,'Summary'!$B$11)=0),I12,0)+IF(AND(A60&gt;A13,A60&lt;=A13+'Summary'!$B$10*12,MOD(A60-A13,'Summary'!$B$11)=0),I13,0)+IF(AND(A60&gt;A14,A60&lt;=A14+'Summary'!$B$10*12,MOD(A60-A14,'Summary'!$B$11)=0),I14,0)+IF(AND(A60&gt;A15,A60&lt;=A15+'Summary'!$B$10*12,MOD(A60-A15,'Summary'!$B$11)=0),I15,0)+IF(AND(A60&gt;A16,A60&lt;=A16+'Summary'!$B$10*12,MOD(A60-A16,'Summary'!$B$11)=0),I16,0)+IF(AND(A60&gt;A17,A60&lt;=A17+'Summary'!$B$10*12,MOD(A60-A17,'Summary'!$B$11)=0),I17,0)+IF(AND(A60&gt;A18,A60&lt;=A18+'Summary'!$B$10*12,MOD(A60-A18,'Summary'!$B$11)=0),I18,0)+IF(AND(A60&gt;A19,A60&lt;=A19+'Summary'!$B$10*12,MOD(A60-A19,'Summary'!$B$11)=0),I19,0)+IF(AND(A60&gt;A20,A60&lt;=A20+'Summary'!$B$10*12,MOD(A60-A20,'Summary'!$B$11)=0),I20,0)+IF(AND(A60&gt;A21,A60&lt;=A21+'Summary'!$B$10*12,MOD(A60-A21,'Summary'!$B$11)=0),I21,0)+IF(AND(A60&gt;A22,A60&lt;=A22+'Summary'!$B$10*12,MOD(A60-A22,'Summary'!$B$11)=0),I22,0)+IF(AND(A60&gt;A23,A60&lt;=A23+'Summary'!$B$10*12,MOD(A60-A23,'Summary'!$B$11)=0),I23,0)+IF(AND(A60&gt;A24,A60&lt;=A24+'Summary'!$B$10*12,MOD(A60-A24,'Summary'!$B$11)=0),I24,0)+IF(AND(A60&gt;A25,A60&lt;=A25+'Summary'!$B$10*12,MOD(A60-A25,'Summary'!$B$11)=0),I25,0)+IF(AND(A60&gt;A26,A60&lt;=A26+'Summary'!$B$10*12,MOD(A60-A26,'Summary'!$B$11)=0),I26,0)+IF(AND(A60&gt;A27,A60&lt;=A27+'Summary'!$B$10*12,MOD(A60-A27,'Summary'!$B$11)=0),I27,0)+IF(AND(A60&gt;A28,A60&lt;=A28+'Summary'!$B$10*12,MOD(A60-A28,'Summary'!$B$11)=0),I28,0)+IF(AND(A60&gt;A29,A60&lt;=A29+'Summary'!$B$10*12,MOD(A60-A29,'Summary'!$B$11)=0),I29,0)+IF(AND(A60&gt;A30,A60&lt;=A30+'Summary'!$B$10*12,MOD(A60-A30,'Summary'!$B$11)=0),I30,0)+IF(AND(A60&gt;A31,A60&lt;=A31+'Summary'!$B$10*12,MOD(A60-A31,'Summary'!$B$11)=0),I31,0)+IF(AND(A60&gt;A32,A60&lt;=A32+'Summary'!$B$10*12,MOD(A60-A32,'Summary'!$B$11)=0),I32,0)+IF(AND(A60&gt;A33,A60&lt;=A33+'Summary'!$B$10*12,MOD(A60-A33,'Summary'!$B$11)=0),I33,0)+IF(AND(A60&gt;A34,A60&lt;=A34+'Summary'!$B$10*12,MOD(A60-A34,'Summary'!$B$11)=0),I34,0)+IF(AND(A60&gt;A35,A60&lt;=A35+'Summary'!$B$10*12,MOD(A60-A35,'Summary'!$B$11)=0),I35,0)+IF(AND(A60&gt;A36,A60&lt;=A36+'Summary'!$B$10*12,MOD(A60-A36,'Summary'!$B$11)=0),I36,0)+IF(AND(A60&gt;A37,A60&lt;=A37+'Summary'!$B$10*12,MOD(A60-A37,'Summary'!$B$11)=0),I37,0)+IF(AND(A60&gt;A38,A60&lt;=A38+'Summary'!$B$10*12,MOD(A60-A38,'Summary'!$B$11)=0),I38,0)+IF(AND(A60&gt;A39,A60&lt;=A39+'Summary'!$B$10*12,MOD(A60-A39,'Summary'!$B$11)=0),I39,0)+IF(AND(A60&gt;A40,A60&lt;=A40+'Summary'!$B$10*12,MOD(A60-A40,'Summary'!$B$11)=0),I40,0)+IF(AND(A60&gt;A41,A60&lt;=A41+'Summary'!$B$10*12,MOD(A60-A41,'Summary'!$B$11)=0),I41,0)+IF(AND(A60&gt;A42,A60&lt;=A42+'Summary'!$B$10*12,MOD(A60-A42,'Summary'!$B$11)=0),I42,0)+IF(AND(A60&gt;A43,A60&lt;=A43+'Summary'!$B$10*12,MOD(A60-A43,'Summary'!$B$11)=0),I43,0)+IF(AND(A60&gt;A44,A60&lt;=A44+'Summary'!$B$10*12,MOD(A60-A44,'Summary'!$B$11)=0),I44,0)+IF(AND(A60&gt;A45,A60&lt;=A45+'Summary'!$B$10*12,MOD(A60-A45,'Summary'!$B$11)=0),I45,0)+IF(AND(A60&gt;A46,A60&lt;=A46+'Summary'!$B$10*12,MOD(A60-A46,'Summary'!$B$11)=0),I46,0)+IF(AND(A60&gt;A47,A60&lt;=A47+'Summary'!$B$10*12,MOD(A60-A47,'Summary'!$B$11)=0),I47,0)+IF(AND(A60&gt;A48,A60&lt;=A48+'Summary'!$B$10*12,MOD(A60-A48,'Summary'!$B$11)=0),I48,0)+IF(AND(A60&gt;A49,A60&lt;=A49+'Summary'!$B$10*12,MOD(A60-A49,'Summary'!$B$11)=0),I49,0)+IF(AND(A60&gt;A50,A60&lt;=A50+'Summary'!$B$10*12,MOD(A60-A50,'Summary'!$B$11)=0),I50,0)+IF(AND(A60&gt;A51,A60&lt;=A51+'Summary'!$B$10*12,MOD(A60-A51,'Summary'!$B$11)=0),I51,0)+IF(AND(A60&gt;A52,A60&lt;=A52+'Summary'!$B$10*12,MOD(A60-A52,'Summary'!$B$11)=0),I52,0)+IF(AND(A60&gt;A53,A60&lt;=A53+'Summary'!$B$10*12,MOD(A60-A53,'Summary'!$B$11)=0),I53,0)+IF(AND(A60&gt;A54,A60&lt;=A54+'Summary'!$B$10*12,MOD(A60-A54,'Summary'!$B$11)=0),I54,0)+IF(AND(A60&gt;A55,A60&lt;=A55+'Summary'!$B$10*12,MOD(A60-A55,'Summary'!$B$11)=0),I55,0)+IF(AND(A60&gt;A56,A60&lt;=A56+'Summary'!$B$10*12,MOD(A60-A56,'Summary'!$B$11)=0),I56,0)+IF(AND(A60&gt;A57,A60&lt;=A57+'Summary'!$B$10*12,MOD(A60-A57,'Summary'!$B$11)=0),I57,0)+IF(AND(A60&gt;A58,A60&lt;=A58+'Summary'!$B$10*12,MOD(A60-A58,'Summary'!$B$11)=0),I58,0)+IF(AND(A60&gt;A59,A60&lt;=A59+'Summary'!$B$10*12,MOD(A60-A59,'Summary'!$B$11)=0),I59,0))*'Summary'!$B$8/2</x:f>
        <x:v>15.885573595144992</x:v>
      </x:c>
      <x:c r="G60" s="62" t="n">
        <x:f>IF(A60=A8+'Summary'!$B$10*12,I8,0)+IF(A60=A9+'Summary'!$B$10*12,I9,0)+IF(A60=A10+'Summary'!$B$10*12,I10,0)+IF(A60=A11+'Summary'!$B$10*12,I11,0)+IF(A60=A12+'Summary'!$B$10*12,I12,0)+IF(A60=A13+'Summary'!$B$10*12,I13,0)+IF(A60=A14+'Summary'!$B$10*12,I14,0)+IF(A60=A15+'Summary'!$B$10*12,I15,0)+IF(A60=A16+'Summary'!$B$10*12,I16,0)+IF(A60=A17+'Summary'!$B$10*12,I17,0)+IF(A60=A18+'Summary'!$B$10*12,I18,0)+IF(A60=A19+'Summary'!$B$10*12,I19,0)+IF(A60=A20+'Summary'!$B$10*12,I20,0)+IF(A60=A21+'Summary'!$B$10*12,I21,0)+IF(A60=A22+'Summary'!$B$10*12,I22,0)+IF(A60=A23+'Summary'!$B$10*12,I23,0)+IF(A60=A24+'Summary'!$B$10*12,I24,0)+IF(A60=A25+'Summary'!$B$10*12,I25,0)+IF(A60=A26+'Summary'!$B$10*12,I26,0)+IF(A60=A27+'Summary'!$B$10*12,I27,0)+IF(A60=A28+'Summary'!$B$10*12,I28,0)+IF(A60=A29+'Summary'!$B$10*12,I29,0)+IF(A60=A30+'Summary'!$B$10*12,I30,0)+IF(A60=A31+'Summary'!$B$10*12,I31,0)+IF(A60=A32+'Summary'!$B$10*12,I32,0)+IF(A60=A33+'Summary'!$B$10*12,I33,0)+IF(A60=A34+'Summary'!$B$10*12,I34,0)+IF(A60=A35+'Summary'!$B$10*12,I35,0)+IF(A60=A36+'Summary'!$B$10*12,I36,0)+IF(A60=A37+'Summary'!$B$10*12,I37,0)+IF(A60=A38+'Summary'!$B$10*12,I38,0)+IF(A60=A39+'Summary'!$B$10*12,I39,0)+IF(A60=A40+'Summary'!$B$10*12,I40,0)+IF(A60=A41+'Summary'!$B$10*12,I41,0)+IF(A60=A42+'Summary'!$B$10*12,I42,0)+IF(A60=A43+'Summary'!$B$10*12,I43,0)+IF(A60=A44+'Summary'!$B$10*12,I44,0)+IF(A60=A45+'Summary'!$B$10*12,I45,0)+IF(A60=A46+'Summary'!$B$10*12,I46,0)+IF(A60=A47+'Summary'!$B$10*12,I47,0)+IF(A60=A48+'Summary'!$B$10*12,I48,0)+IF(A60=A49+'Summary'!$B$10*12,I49,0)+IF(A60=A50+'Summary'!$B$10*12,I50,0)+IF(A60=A51+'Summary'!$B$10*12,I51,0)+IF(A60=A52+'Summary'!$B$10*12,I52,0)+IF(A60=A53+'Summary'!$B$10*12,I53,0)+IF(A60=A54+'Summary'!$B$10*12,I54,0)+IF(A60=A55+'Summary'!$B$10*12,I55,0)+IF(A60=A56+'Summary'!$B$10*12,I56,0)+IF(A60=A57+'Summary'!$B$10*12,I57,0)+IF(A60=A58+'Summary'!$B$10*12,I58,0)+IF(A60=A59+'Summary'!$B$10*12,I59,0)</x:f>
        <x:v>0</x:v>
      </x:c>
      <x:c r="H60" s="62" t="n">
        <x:f>E60+D60+F60+G60</x:f>
        <x:v>115.88557359514499</x:v>
      </x:c>
      <x:c r="I60" s="62" t="n">
        <x:f>IF(B60,IF(H60&gt;='Summary'!$B$12,H60,0),0)</x:f>
        <x:v>115.88557359514499</x:v>
      </x:c>
      <x:c r="J60" s="62" t="n">
        <x:f>H60-I60</x:f>
        <x:v>0</x:v>
      </x:c>
      <x:c r="K60" s="63" t="n">
        <x:f>J60+IF(A8+'Summary'!$B$10*12&gt;A60,I8,0)+IF(A9+'Summary'!$B$10*12&gt;A60,I9,0)+IF(A10+'Summary'!$B$10*12&gt;A60,I10,0)+IF(A11+'Summary'!$B$10*12&gt;A60,I11,0)+IF(A12+'Summary'!$B$10*12&gt;A60,I12,0)+IF(A13+'Summary'!$B$10*12&gt;A60,I13,0)+IF(A14+'Summary'!$B$10*12&gt;A60,I14,0)+IF(A15+'Summary'!$B$10*12&gt;A60,I15,0)+IF(A16+'Summary'!$B$10*12&gt;A60,I16,0)+IF(A17+'Summary'!$B$10*12&gt;A60,I17,0)+IF(A18+'Summary'!$B$10*12&gt;A60,I18,0)+IF(A19+'Summary'!$B$10*12&gt;A60,I19,0)+IF(A20+'Summary'!$B$10*12&gt;A60,I20,0)+IF(A21+'Summary'!$B$10*12&gt;A60,I21,0)+IF(A22+'Summary'!$B$10*12&gt;A60,I22,0)+IF(A23+'Summary'!$B$10*12&gt;A60,I23,0)+IF(A24+'Summary'!$B$10*12&gt;A60,I24,0)+IF(A25+'Summary'!$B$10*12&gt;A60,I25,0)+IF(A26+'Summary'!$B$10*12&gt;A60,I26,0)+IF(A27+'Summary'!$B$10*12&gt;A60,I27,0)+IF(A28+'Summary'!$B$10*12&gt;A60,I28,0)+IF(A29+'Summary'!$B$10*12&gt;A60,I29,0)+IF(A30+'Summary'!$B$10*12&gt;A60,I30,0)+IF(A31+'Summary'!$B$10*12&gt;A60,I31,0)+IF(A32+'Summary'!$B$10*12&gt;A60,I32,0)+IF(A33+'Summary'!$B$10*12&gt;A60,I33,0)+IF(A34+'Summary'!$B$10*12&gt;A60,I34,0)+IF(A35+'Summary'!$B$10*12&gt;A60,I35,0)+IF(A36+'Summary'!$B$10*12&gt;A60,I36,0)+IF(A37+'Summary'!$B$10*12&gt;A60,I37,0)+IF(A38+'Summary'!$B$10*12&gt;A60,I38,0)+IF(A39+'Summary'!$B$10*12&gt;A60,I39,0)+IF(A40+'Summary'!$B$10*12&gt;A60,I40,0)+IF(A41+'Summary'!$B$10*12&gt;A60,I41,0)+IF(A42+'Summary'!$B$10*12&gt;A60,I42,0)+IF(A43+'Summary'!$B$10*12&gt;A60,I43,0)+IF(A44+'Summary'!$B$10*12&gt;A60,I44,0)+IF(A45+'Summary'!$B$10*12&gt;A60,I45,0)+IF(A46+'Summary'!$B$10*12&gt;A60,I46,0)+IF(A47+'Summary'!$B$10*12&gt;A60,I47,0)+IF(A48+'Summary'!$B$10*12&gt;A60,I48,0)+IF(A49+'Summary'!$B$10*12&gt;A60,I49,0)+IF(A50+'Summary'!$B$10*12&gt;A60,I50,0)+IF(A51+'Summary'!$B$10*12&gt;A60,I51,0)+IF(A52+'Summary'!$B$10*12&gt;A60,I52,0)+IF(A53+'Summary'!$B$10*12&gt;A60,I53,0)+IF(A54+'Summary'!$B$10*12&gt;A60,I54,0)+IF(A55+'Summary'!$B$10*12&gt;A60,I55,0)+IF(A56+'Summary'!$B$10*12&gt;A60,I56,0)+IF(A57+'Summary'!$B$10*12&gt;A60,I57,0)+IF(A58+'Summary'!$B$10*12&gt;A60,I58,0)+IF(A59+'Summary'!$B$10*12&gt;A60,I59,0)+IF(A60+'Summary'!$B$10*12&gt;A60,I60,0)</x:f>
        <x:v>17292.363806569258</x:v>
      </x:c>
    </x:row>
    <x:row r="61">
      <x:c r="A61" s="55" t="n">
        <x:v>53</x:v>
      </x:c>
      <x:c r="B61" s="71" t="b">
        <x:f>A61&lt;='Summary'!$B$9*12</x:f>
        <x:v>1</x:v>
      </x:c>
      <x:c r="C61" s="62" t="n">
        <x:f>IF(A61=0,IF('Summary'!$B$6&gt;=5,'Summary'!$B$6,0),C60)+IF(A61&lt;'Summary'!$B$9*12,IF('Summary'!$B$7&gt;=5,'Summary'!$B$7,0),0)</x:f>
        <x:v>15400</x:v>
      </x:c>
      <x:c r="D61" s="62" t="n">
        <x:f>IF(A61=0,IF('Summary'!$B$6&gt;=5,'Summary'!$B$6,0),0)+IF(A61&lt;'Summary'!$B$9*12,IF('Summary'!$B$7&gt;=5,'Summary'!$B$7,0),0)</x:f>
        <x:v>100</x:v>
      </x:c>
      <x:c r="E61" s="62" t="n">
        <x:f>J60</x:f>
        <x:v>0</x:v>
      </x:c>
      <x:c r="F61" s="62" t="n">
        <x:f>(IF(AND(A61&gt;A8,A61&lt;=A8+'Summary'!$B$10*12,MOD(A61-A8,'Summary'!$B$11)=0),I8,0)+IF(AND(A61&gt;A9,A61&lt;=A9+'Summary'!$B$10*12,MOD(A61-A9,'Summary'!$B$11)=0),I9,0)+IF(AND(A61&gt;A10,A61&lt;=A10+'Summary'!$B$10*12,MOD(A61-A10,'Summary'!$B$11)=0),I10,0)+IF(AND(A61&gt;A11,A61&lt;=A11+'Summary'!$B$10*12,MOD(A61-A11,'Summary'!$B$11)=0),I11,0)+IF(AND(A61&gt;A12,A61&lt;=A12+'Summary'!$B$10*12,MOD(A61-A12,'Summary'!$B$11)=0),I12,0)+IF(AND(A61&gt;A13,A61&lt;=A13+'Summary'!$B$10*12,MOD(A61-A13,'Summary'!$B$11)=0),I13,0)+IF(AND(A61&gt;A14,A61&lt;=A14+'Summary'!$B$10*12,MOD(A61-A14,'Summary'!$B$11)=0),I14,0)+IF(AND(A61&gt;A15,A61&lt;=A15+'Summary'!$B$10*12,MOD(A61-A15,'Summary'!$B$11)=0),I15,0)+IF(AND(A61&gt;A16,A61&lt;=A16+'Summary'!$B$10*12,MOD(A61-A16,'Summary'!$B$11)=0),I16,0)+IF(AND(A61&gt;A17,A61&lt;=A17+'Summary'!$B$10*12,MOD(A61-A17,'Summary'!$B$11)=0),I17,0)+IF(AND(A61&gt;A18,A61&lt;=A18+'Summary'!$B$10*12,MOD(A61-A18,'Summary'!$B$11)=0),I18,0)+IF(AND(A61&gt;A19,A61&lt;=A19+'Summary'!$B$10*12,MOD(A61-A19,'Summary'!$B$11)=0),I19,0)+IF(AND(A61&gt;A20,A61&lt;=A20+'Summary'!$B$10*12,MOD(A61-A20,'Summary'!$B$11)=0),I20,0)+IF(AND(A61&gt;A21,A61&lt;=A21+'Summary'!$B$10*12,MOD(A61-A21,'Summary'!$B$11)=0),I21,0)+IF(AND(A61&gt;A22,A61&lt;=A22+'Summary'!$B$10*12,MOD(A61-A22,'Summary'!$B$11)=0),I22,0)+IF(AND(A61&gt;A23,A61&lt;=A23+'Summary'!$B$10*12,MOD(A61-A23,'Summary'!$B$11)=0),I23,0)+IF(AND(A61&gt;A24,A61&lt;=A24+'Summary'!$B$10*12,MOD(A61-A24,'Summary'!$B$11)=0),I24,0)+IF(AND(A61&gt;A25,A61&lt;=A25+'Summary'!$B$10*12,MOD(A61-A25,'Summary'!$B$11)=0),I25,0)+IF(AND(A61&gt;A26,A61&lt;=A26+'Summary'!$B$10*12,MOD(A61-A26,'Summary'!$B$11)=0),I26,0)+IF(AND(A61&gt;A27,A61&lt;=A27+'Summary'!$B$10*12,MOD(A61-A27,'Summary'!$B$11)=0),I27,0)+IF(AND(A61&gt;A28,A61&lt;=A28+'Summary'!$B$10*12,MOD(A61-A28,'Summary'!$B$11)=0),I28,0)+IF(AND(A61&gt;A29,A61&lt;=A29+'Summary'!$B$10*12,MOD(A61-A29,'Summary'!$B$11)=0),I29,0)+IF(AND(A61&gt;A30,A61&lt;=A30+'Summary'!$B$10*12,MOD(A61-A30,'Summary'!$B$11)=0),I30,0)+IF(AND(A61&gt;A31,A61&lt;=A31+'Summary'!$B$10*12,MOD(A61-A31,'Summary'!$B$11)=0),I31,0)+IF(AND(A61&gt;A32,A61&lt;=A32+'Summary'!$B$10*12,MOD(A61-A32,'Summary'!$B$11)=0),I32,0)+IF(AND(A61&gt;A33,A61&lt;=A33+'Summary'!$B$10*12,MOD(A61-A33,'Summary'!$B$11)=0),I33,0)+IF(AND(A61&gt;A34,A61&lt;=A34+'Summary'!$B$10*12,MOD(A61-A34,'Summary'!$B$11)=0),I34,0)+IF(AND(A61&gt;A35,A61&lt;=A35+'Summary'!$B$10*12,MOD(A61-A35,'Summary'!$B$11)=0),I35,0)+IF(AND(A61&gt;A36,A61&lt;=A36+'Summary'!$B$10*12,MOD(A61-A36,'Summary'!$B$11)=0),I36,0)+IF(AND(A61&gt;A37,A61&lt;=A37+'Summary'!$B$10*12,MOD(A61-A37,'Summary'!$B$11)=0),I37,0)+IF(AND(A61&gt;A38,A61&lt;=A38+'Summary'!$B$10*12,MOD(A61-A38,'Summary'!$B$11)=0),I38,0)+IF(AND(A61&gt;A39,A61&lt;=A39+'Summary'!$B$10*12,MOD(A61-A39,'Summary'!$B$11)=0),I39,0)+IF(AND(A61&gt;A40,A61&lt;=A40+'Summary'!$B$10*12,MOD(A61-A40,'Summary'!$B$11)=0),I40,0)+IF(AND(A61&gt;A41,A61&lt;=A41+'Summary'!$B$10*12,MOD(A61-A41,'Summary'!$B$11)=0),I41,0)+IF(AND(A61&gt;A42,A61&lt;=A42+'Summary'!$B$10*12,MOD(A61-A42,'Summary'!$B$11)=0),I42,0)+IF(AND(A61&gt;A43,A61&lt;=A43+'Summary'!$B$10*12,MOD(A61-A43,'Summary'!$B$11)=0),I43,0)+IF(AND(A61&gt;A44,A61&lt;=A44+'Summary'!$B$10*12,MOD(A61-A44,'Summary'!$B$11)=0),I44,0)+IF(AND(A61&gt;A45,A61&lt;=A45+'Summary'!$B$10*12,MOD(A61-A45,'Summary'!$B$11)=0),I45,0)+IF(AND(A61&gt;A46,A61&lt;=A46+'Summary'!$B$10*12,MOD(A61-A46,'Summary'!$B$11)=0),I46,0)+IF(AND(A61&gt;A47,A61&lt;=A47+'Summary'!$B$10*12,MOD(A61-A47,'Summary'!$B$11)=0),I47,0)+IF(AND(A61&gt;A48,A61&lt;=A48+'Summary'!$B$10*12,MOD(A61-A48,'Summary'!$B$11)=0),I48,0)+IF(AND(A61&gt;A49,A61&lt;=A49+'Summary'!$B$10*12,MOD(A61-A49,'Summary'!$B$11)=0),I49,0)+IF(AND(A61&gt;A50,A61&lt;=A50+'Summary'!$B$10*12,MOD(A61-A50,'Summary'!$B$11)=0),I50,0)+IF(AND(A61&gt;A51,A61&lt;=A51+'Summary'!$B$10*12,MOD(A61-A51,'Summary'!$B$11)=0),I51,0)+IF(AND(A61&gt;A52,A61&lt;=A52+'Summary'!$B$10*12,MOD(A61-A52,'Summary'!$B$11)=0),I52,0)+IF(AND(A61&gt;A53,A61&lt;=A53+'Summary'!$B$10*12,MOD(A61-A53,'Summary'!$B$11)=0),I53,0)+IF(AND(A61&gt;A54,A61&lt;=A54+'Summary'!$B$10*12,MOD(A61-A54,'Summary'!$B$11)=0),I54,0)+IF(AND(A61&gt;A55,A61&lt;=A55+'Summary'!$B$10*12,MOD(A61-A55,'Summary'!$B$11)=0),I55,0)+IF(AND(A61&gt;A56,A61&lt;=A56+'Summary'!$B$10*12,MOD(A61-A56,'Summary'!$B$11)=0),I56,0)+IF(AND(A61&gt;A57,A61&lt;=A57+'Summary'!$B$10*12,MOD(A61-A57,'Summary'!$B$11)=0),I57,0)+IF(AND(A61&gt;A58,A61&lt;=A58+'Summary'!$B$10*12,MOD(A61-A58,'Summary'!$B$11)=0),I58,0)+IF(AND(A61&gt;A59,A61&lt;=A59+'Summary'!$B$10*12,MOD(A61-A59,'Summary'!$B$11)=0),I59,0)+IF(AND(A61&gt;A60,A61&lt;=A60+'Summary'!$B$10*12,MOD(A61-A60,'Summary'!$B$11)=0),I60,0))*'Summary'!$B$8/2</x:f>
        <x:v>15.885573595144992</x:v>
      </x:c>
      <x:c r="G61" s="62" t="n">
        <x:f>IF(A61=A8+'Summary'!$B$10*12,I8,0)+IF(A61=A9+'Summary'!$B$10*12,I9,0)+IF(A61=A10+'Summary'!$B$10*12,I10,0)+IF(A61=A11+'Summary'!$B$10*12,I11,0)+IF(A61=A12+'Summary'!$B$10*12,I12,0)+IF(A61=A13+'Summary'!$B$10*12,I13,0)+IF(A61=A14+'Summary'!$B$10*12,I14,0)+IF(A61=A15+'Summary'!$B$10*12,I15,0)+IF(A61=A16+'Summary'!$B$10*12,I16,0)+IF(A61=A17+'Summary'!$B$10*12,I17,0)+IF(A61=A18+'Summary'!$B$10*12,I18,0)+IF(A61=A19+'Summary'!$B$10*12,I19,0)+IF(A61=A20+'Summary'!$B$10*12,I20,0)+IF(A61=A21+'Summary'!$B$10*12,I21,0)+IF(A61=A22+'Summary'!$B$10*12,I22,0)+IF(A61=A23+'Summary'!$B$10*12,I23,0)+IF(A61=A24+'Summary'!$B$10*12,I24,0)+IF(A61=A25+'Summary'!$B$10*12,I25,0)+IF(A61=A26+'Summary'!$B$10*12,I26,0)+IF(A61=A27+'Summary'!$B$10*12,I27,0)+IF(A61=A28+'Summary'!$B$10*12,I28,0)+IF(A61=A29+'Summary'!$B$10*12,I29,0)+IF(A61=A30+'Summary'!$B$10*12,I30,0)+IF(A61=A31+'Summary'!$B$10*12,I31,0)+IF(A61=A32+'Summary'!$B$10*12,I32,0)+IF(A61=A33+'Summary'!$B$10*12,I33,0)+IF(A61=A34+'Summary'!$B$10*12,I34,0)+IF(A61=A35+'Summary'!$B$10*12,I35,0)+IF(A61=A36+'Summary'!$B$10*12,I36,0)+IF(A61=A37+'Summary'!$B$10*12,I37,0)+IF(A61=A38+'Summary'!$B$10*12,I38,0)+IF(A61=A39+'Summary'!$B$10*12,I39,0)+IF(A61=A40+'Summary'!$B$10*12,I40,0)+IF(A61=A41+'Summary'!$B$10*12,I41,0)+IF(A61=A42+'Summary'!$B$10*12,I42,0)+IF(A61=A43+'Summary'!$B$10*12,I43,0)+IF(A61=A44+'Summary'!$B$10*12,I44,0)+IF(A61=A45+'Summary'!$B$10*12,I45,0)+IF(A61=A46+'Summary'!$B$10*12,I46,0)+IF(A61=A47+'Summary'!$B$10*12,I47,0)+IF(A61=A48+'Summary'!$B$10*12,I48,0)+IF(A61=A49+'Summary'!$B$10*12,I49,0)+IF(A61=A50+'Summary'!$B$10*12,I50,0)+IF(A61=A51+'Summary'!$B$10*12,I51,0)+IF(A61=A52+'Summary'!$B$10*12,I52,0)+IF(A61=A53+'Summary'!$B$10*12,I53,0)+IF(A61=A54+'Summary'!$B$10*12,I54,0)+IF(A61=A55+'Summary'!$B$10*12,I55,0)+IF(A61=A56+'Summary'!$B$10*12,I56,0)+IF(A61=A57+'Summary'!$B$10*12,I57,0)+IF(A61=A58+'Summary'!$B$10*12,I58,0)+IF(A61=A59+'Summary'!$B$10*12,I59,0)+IF(A61=A60+'Summary'!$B$10*12,I60,0)</x:f>
        <x:v>0</x:v>
      </x:c>
      <x:c r="H61" s="62" t="n">
        <x:f>E61+D61+F61+G61</x:f>
        <x:v>115.88557359514499</x:v>
      </x:c>
      <x:c r="I61" s="62" t="n">
        <x:f>IF(B61,IF(H61&gt;='Summary'!$B$12,H61,0),0)</x:f>
        <x:v>115.88557359514499</x:v>
      </x:c>
      <x:c r="J61" s="62" t="n">
        <x:f>H61-I61</x:f>
        <x:v>0</x:v>
      </x:c>
      <x:c r="K61" s="63" t="n">
        <x:f>J61+IF(A8+'Summary'!$B$10*12&gt;A61,I8,0)+IF(A9+'Summary'!$B$10*12&gt;A61,I9,0)+IF(A10+'Summary'!$B$10*12&gt;A61,I10,0)+IF(A11+'Summary'!$B$10*12&gt;A61,I11,0)+IF(A12+'Summary'!$B$10*12&gt;A61,I12,0)+IF(A13+'Summary'!$B$10*12&gt;A61,I13,0)+IF(A14+'Summary'!$B$10*12&gt;A61,I14,0)+IF(A15+'Summary'!$B$10*12&gt;A61,I15,0)+IF(A16+'Summary'!$B$10*12&gt;A61,I16,0)+IF(A17+'Summary'!$B$10*12&gt;A61,I17,0)+IF(A18+'Summary'!$B$10*12&gt;A61,I18,0)+IF(A19+'Summary'!$B$10*12&gt;A61,I19,0)+IF(A20+'Summary'!$B$10*12&gt;A61,I20,0)+IF(A21+'Summary'!$B$10*12&gt;A61,I21,0)+IF(A22+'Summary'!$B$10*12&gt;A61,I22,0)+IF(A23+'Summary'!$B$10*12&gt;A61,I23,0)+IF(A24+'Summary'!$B$10*12&gt;A61,I24,0)+IF(A25+'Summary'!$B$10*12&gt;A61,I25,0)+IF(A26+'Summary'!$B$10*12&gt;A61,I26,0)+IF(A27+'Summary'!$B$10*12&gt;A61,I27,0)+IF(A28+'Summary'!$B$10*12&gt;A61,I28,0)+IF(A29+'Summary'!$B$10*12&gt;A61,I29,0)+IF(A30+'Summary'!$B$10*12&gt;A61,I30,0)+IF(A31+'Summary'!$B$10*12&gt;A61,I31,0)+IF(A32+'Summary'!$B$10*12&gt;A61,I32,0)+IF(A33+'Summary'!$B$10*12&gt;A61,I33,0)+IF(A34+'Summary'!$B$10*12&gt;A61,I34,0)+IF(A35+'Summary'!$B$10*12&gt;A61,I35,0)+IF(A36+'Summary'!$B$10*12&gt;A61,I36,0)+IF(A37+'Summary'!$B$10*12&gt;A61,I37,0)+IF(A38+'Summary'!$B$10*12&gt;A61,I38,0)+IF(A39+'Summary'!$B$10*12&gt;A61,I39,0)+IF(A40+'Summary'!$B$10*12&gt;A61,I40,0)+IF(A41+'Summary'!$B$10*12&gt;A61,I41,0)+IF(A42+'Summary'!$B$10*12&gt;A61,I42,0)+IF(A43+'Summary'!$B$10*12&gt;A61,I43,0)+IF(A44+'Summary'!$B$10*12&gt;A61,I44,0)+IF(A45+'Summary'!$B$10*12&gt;A61,I45,0)+IF(A46+'Summary'!$B$10*12&gt;A61,I46,0)+IF(A47+'Summary'!$B$10*12&gt;A61,I47,0)+IF(A48+'Summary'!$B$10*12&gt;A61,I48,0)+IF(A49+'Summary'!$B$10*12&gt;A61,I49,0)+IF(A50+'Summary'!$B$10*12&gt;A61,I50,0)+IF(A51+'Summary'!$B$10*12&gt;A61,I51,0)+IF(A52+'Summary'!$B$10*12&gt;A61,I52,0)+IF(A53+'Summary'!$B$10*12&gt;A61,I53,0)+IF(A54+'Summary'!$B$10*12&gt;A61,I54,0)+IF(A55+'Summary'!$B$10*12&gt;A61,I55,0)+IF(A56+'Summary'!$B$10*12&gt;A61,I56,0)+IF(A57+'Summary'!$B$10*12&gt;A61,I57,0)+IF(A58+'Summary'!$B$10*12&gt;A61,I58,0)+IF(A59+'Summary'!$B$10*12&gt;A61,I59,0)+IF(A60+'Summary'!$B$10*12&gt;A61,I60,0)+IF(A61+'Summary'!$B$10*12&gt;A61,I61,0)</x:f>
        <x:v>17408.2493801644</x:v>
      </x:c>
    </x:row>
    <x:row r="62">
      <x:c r="A62" s="55" t="n">
        <x:v>54</x:v>
      </x:c>
      <x:c r="B62" s="71" t="b">
        <x:f>A62&lt;='Summary'!$B$9*12</x:f>
        <x:v>1</x:v>
      </x:c>
      <x:c r="C62" s="62" t="n">
        <x:f>IF(A62=0,IF('Summary'!$B$6&gt;=5,'Summary'!$B$6,0),C61)+IF(A62&lt;'Summary'!$B$9*12,IF('Summary'!$B$7&gt;=5,'Summary'!$B$7,0),0)</x:f>
        <x:v>15500</x:v>
      </x:c>
      <x:c r="D62" s="62" t="n">
        <x:f>IF(A62=0,IF('Summary'!$B$6&gt;=5,'Summary'!$B$6,0),0)+IF(A62&lt;'Summary'!$B$9*12,IF('Summary'!$B$7&gt;=5,'Summary'!$B$7,0),0)</x:f>
        <x:v>100</x:v>
      </x:c>
      <x:c r="E62" s="62" t="n">
        <x:f>J61</x:f>
        <x:v>0</x:v>
      </x:c>
      <x:c r="F62" s="62" t="n">
        <x:f>(IF(AND(A62&gt;A8,A62&lt;=A8+'Summary'!$B$10*12,MOD(A62-A8,'Summary'!$B$11)=0),I8,0)+IF(AND(A62&gt;A9,A62&lt;=A9+'Summary'!$B$10*12,MOD(A62-A9,'Summary'!$B$11)=0),I9,0)+IF(AND(A62&gt;A10,A62&lt;=A10+'Summary'!$B$10*12,MOD(A62-A10,'Summary'!$B$11)=0),I10,0)+IF(AND(A62&gt;A11,A62&lt;=A11+'Summary'!$B$10*12,MOD(A62-A11,'Summary'!$B$11)=0),I11,0)+IF(AND(A62&gt;A12,A62&lt;=A12+'Summary'!$B$10*12,MOD(A62-A12,'Summary'!$B$11)=0),I12,0)+IF(AND(A62&gt;A13,A62&lt;=A13+'Summary'!$B$10*12,MOD(A62-A13,'Summary'!$B$11)=0),I13,0)+IF(AND(A62&gt;A14,A62&lt;=A14+'Summary'!$B$10*12,MOD(A62-A14,'Summary'!$B$11)=0),I14,0)+IF(AND(A62&gt;A15,A62&lt;=A15+'Summary'!$B$10*12,MOD(A62-A15,'Summary'!$B$11)=0),I15,0)+IF(AND(A62&gt;A16,A62&lt;=A16+'Summary'!$B$10*12,MOD(A62-A16,'Summary'!$B$11)=0),I16,0)+IF(AND(A62&gt;A17,A62&lt;=A17+'Summary'!$B$10*12,MOD(A62-A17,'Summary'!$B$11)=0),I17,0)+IF(AND(A62&gt;A18,A62&lt;=A18+'Summary'!$B$10*12,MOD(A62-A18,'Summary'!$B$11)=0),I18,0)+IF(AND(A62&gt;A19,A62&lt;=A19+'Summary'!$B$10*12,MOD(A62-A19,'Summary'!$B$11)=0),I19,0)+IF(AND(A62&gt;A20,A62&lt;=A20+'Summary'!$B$10*12,MOD(A62-A20,'Summary'!$B$11)=0),I20,0)+IF(AND(A62&gt;A21,A62&lt;=A21+'Summary'!$B$10*12,MOD(A62-A21,'Summary'!$B$11)=0),I21,0)+IF(AND(A62&gt;A22,A62&lt;=A22+'Summary'!$B$10*12,MOD(A62-A22,'Summary'!$B$11)=0),I22,0)+IF(AND(A62&gt;A23,A62&lt;=A23+'Summary'!$B$10*12,MOD(A62-A23,'Summary'!$B$11)=0),I23,0)+IF(AND(A62&gt;A24,A62&lt;=A24+'Summary'!$B$10*12,MOD(A62-A24,'Summary'!$B$11)=0),I24,0)+IF(AND(A62&gt;A25,A62&lt;=A25+'Summary'!$B$10*12,MOD(A62-A25,'Summary'!$B$11)=0),I25,0)+IF(AND(A62&gt;A26,A62&lt;=A26+'Summary'!$B$10*12,MOD(A62-A26,'Summary'!$B$11)=0),I26,0)+IF(AND(A62&gt;A27,A62&lt;=A27+'Summary'!$B$10*12,MOD(A62-A27,'Summary'!$B$11)=0),I27,0)+IF(AND(A62&gt;A28,A62&lt;=A28+'Summary'!$B$10*12,MOD(A62-A28,'Summary'!$B$11)=0),I28,0)+IF(AND(A62&gt;A29,A62&lt;=A29+'Summary'!$B$10*12,MOD(A62-A29,'Summary'!$B$11)=0),I29,0)+IF(AND(A62&gt;A30,A62&lt;=A30+'Summary'!$B$10*12,MOD(A62-A30,'Summary'!$B$11)=0),I30,0)+IF(AND(A62&gt;A31,A62&lt;=A31+'Summary'!$B$10*12,MOD(A62-A31,'Summary'!$B$11)=0),I31,0)+IF(AND(A62&gt;A32,A62&lt;=A32+'Summary'!$B$10*12,MOD(A62-A32,'Summary'!$B$11)=0),I32,0)+IF(AND(A62&gt;A33,A62&lt;=A33+'Summary'!$B$10*12,MOD(A62-A33,'Summary'!$B$11)=0),I33,0)+IF(AND(A62&gt;A34,A62&lt;=A34+'Summary'!$B$10*12,MOD(A62-A34,'Summary'!$B$11)=0),I34,0)+IF(AND(A62&gt;A35,A62&lt;=A35+'Summary'!$B$10*12,MOD(A62-A35,'Summary'!$B$11)=0),I35,0)+IF(AND(A62&gt;A36,A62&lt;=A36+'Summary'!$B$10*12,MOD(A62-A36,'Summary'!$B$11)=0),I36,0)+IF(AND(A62&gt;A37,A62&lt;=A37+'Summary'!$B$10*12,MOD(A62-A37,'Summary'!$B$11)=0),I37,0)+IF(AND(A62&gt;A38,A62&lt;=A38+'Summary'!$B$10*12,MOD(A62-A38,'Summary'!$B$11)=0),I38,0)+IF(AND(A62&gt;A39,A62&lt;=A39+'Summary'!$B$10*12,MOD(A62-A39,'Summary'!$B$11)=0),I39,0)+IF(AND(A62&gt;A40,A62&lt;=A40+'Summary'!$B$10*12,MOD(A62-A40,'Summary'!$B$11)=0),I40,0)+IF(AND(A62&gt;A41,A62&lt;=A41+'Summary'!$B$10*12,MOD(A62-A41,'Summary'!$B$11)=0),I41,0)+IF(AND(A62&gt;A42,A62&lt;=A42+'Summary'!$B$10*12,MOD(A62-A42,'Summary'!$B$11)=0),I42,0)+IF(AND(A62&gt;A43,A62&lt;=A43+'Summary'!$B$10*12,MOD(A62-A43,'Summary'!$B$11)=0),I43,0)+IF(AND(A62&gt;A44,A62&lt;=A44+'Summary'!$B$10*12,MOD(A62-A44,'Summary'!$B$11)=0),I44,0)+IF(AND(A62&gt;A45,A62&lt;=A45+'Summary'!$B$10*12,MOD(A62-A45,'Summary'!$B$11)=0),I45,0)+IF(AND(A62&gt;A46,A62&lt;=A46+'Summary'!$B$10*12,MOD(A62-A46,'Summary'!$B$11)=0),I46,0)+IF(AND(A62&gt;A47,A62&lt;=A47+'Summary'!$B$10*12,MOD(A62-A47,'Summary'!$B$11)=0),I47,0)+IF(AND(A62&gt;A48,A62&lt;=A48+'Summary'!$B$10*12,MOD(A62-A48,'Summary'!$B$11)=0),I48,0)+IF(AND(A62&gt;A49,A62&lt;=A49+'Summary'!$B$10*12,MOD(A62-A49,'Summary'!$B$11)=0),I49,0)+IF(AND(A62&gt;A50,A62&lt;=A50+'Summary'!$B$10*12,MOD(A62-A50,'Summary'!$B$11)=0),I50,0)+IF(AND(A62&gt;A51,A62&lt;=A51+'Summary'!$B$10*12,MOD(A62-A51,'Summary'!$B$11)=0),I51,0)+IF(AND(A62&gt;A52,A62&lt;=A52+'Summary'!$B$10*12,MOD(A62-A52,'Summary'!$B$11)=0),I52,0)+IF(AND(A62&gt;A53,A62&lt;=A53+'Summary'!$B$10*12,MOD(A62-A53,'Summary'!$B$11)=0),I53,0)+IF(AND(A62&gt;A54,A62&lt;=A54+'Summary'!$B$10*12,MOD(A62-A54,'Summary'!$B$11)=0),I54,0)+IF(AND(A62&gt;A55,A62&lt;=A55+'Summary'!$B$10*12,MOD(A62-A55,'Summary'!$B$11)=0),I55,0)+IF(AND(A62&gt;A56,A62&lt;=A56+'Summary'!$B$10*12,MOD(A62-A56,'Summary'!$B$11)=0),I56,0)+IF(AND(A62&gt;A57,A62&lt;=A57+'Summary'!$B$10*12,MOD(A62-A57,'Summary'!$B$11)=0),I57,0)+IF(AND(A62&gt;A58,A62&lt;=A58+'Summary'!$B$10*12,MOD(A62-A58,'Summary'!$B$11)=0),I58,0)+IF(AND(A62&gt;A59,A62&lt;=A59+'Summary'!$B$10*12,MOD(A62-A59,'Summary'!$B$11)=0),I59,0)+IF(AND(A62&gt;A60,A62&lt;=A60+'Summary'!$B$10*12,MOD(A62-A60,'Summary'!$B$11)=0),I60,0)+IF(AND(A62&gt;A61,A62&lt;=A61+'Summary'!$B$10*12,MOD(A62-A61,'Summary'!$B$11)=0),I61,0))*'Summary'!$B$8/2</x:f>
        <x:v>233.58821215098442</x:v>
      </x:c>
      <x:c r="G62" s="62" t="n">
        <x:f>IF(A62=A8+'Summary'!$B$10*12,I8,0)+IF(A62=A9+'Summary'!$B$10*12,I9,0)+IF(A62=A10+'Summary'!$B$10*12,I10,0)+IF(A62=A11+'Summary'!$B$10*12,I11,0)+IF(A62=A12+'Summary'!$B$10*12,I12,0)+IF(A62=A13+'Summary'!$B$10*12,I13,0)+IF(A62=A14+'Summary'!$B$10*12,I14,0)+IF(A62=A15+'Summary'!$B$10*12,I15,0)+IF(A62=A16+'Summary'!$B$10*12,I16,0)+IF(A62=A17+'Summary'!$B$10*12,I17,0)+IF(A62=A18+'Summary'!$B$10*12,I18,0)+IF(A62=A19+'Summary'!$B$10*12,I19,0)+IF(A62=A20+'Summary'!$B$10*12,I20,0)+IF(A62=A21+'Summary'!$B$10*12,I21,0)+IF(A62=A22+'Summary'!$B$10*12,I22,0)+IF(A62=A23+'Summary'!$B$10*12,I23,0)+IF(A62=A24+'Summary'!$B$10*12,I24,0)+IF(A62=A25+'Summary'!$B$10*12,I25,0)+IF(A62=A26+'Summary'!$B$10*12,I26,0)+IF(A62=A27+'Summary'!$B$10*12,I27,0)+IF(A62=A28+'Summary'!$B$10*12,I28,0)+IF(A62=A29+'Summary'!$B$10*12,I29,0)+IF(A62=A30+'Summary'!$B$10*12,I30,0)+IF(A62=A31+'Summary'!$B$10*12,I31,0)+IF(A62=A32+'Summary'!$B$10*12,I32,0)+IF(A62=A33+'Summary'!$B$10*12,I33,0)+IF(A62=A34+'Summary'!$B$10*12,I34,0)+IF(A62=A35+'Summary'!$B$10*12,I35,0)+IF(A62=A36+'Summary'!$B$10*12,I36,0)+IF(A62=A37+'Summary'!$B$10*12,I37,0)+IF(A62=A38+'Summary'!$B$10*12,I38,0)+IF(A62=A39+'Summary'!$B$10*12,I39,0)+IF(A62=A40+'Summary'!$B$10*12,I40,0)+IF(A62=A41+'Summary'!$B$10*12,I41,0)+IF(A62=A42+'Summary'!$B$10*12,I42,0)+IF(A62=A43+'Summary'!$B$10*12,I43,0)+IF(A62=A44+'Summary'!$B$10*12,I44,0)+IF(A62=A45+'Summary'!$B$10*12,I45,0)+IF(A62=A46+'Summary'!$B$10*12,I46,0)+IF(A62=A47+'Summary'!$B$10*12,I47,0)+IF(A62=A48+'Summary'!$B$10*12,I48,0)+IF(A62=A49+'Summary'!$B$10*12,I49,0)+IF(A62=A50+'Summary'!$B$10*12,I50,0)+IF(A62=A51+'Summary'!$B$10*12,I51,0)+IF(A62=A52+'Summary'!$B$10*12,I52,0)+IF(A62=A53+'Summary'!$B$10*12,I53,0)+IF(A62=A54+'Summary'!$B$10*12,I54,0)+IF(A62=A55+'Summary'!$B$10*12,I55,0)+IF(A62=A56+'Summary'!$B$10*12,I56,0)+IF(A62=A57+'Summary'!$B$10*12,I57,0)+IF(A62=A58+'Summary'!$B$10*12,I58,0)+IF(A62=A59+'Summary'!$B$10*12,I59,0)+IF(A62=A60+'Summary'!$B$10*12,I60,0)+IF(A62=A61+'Summary'!$B$10*12,I61,0)</x:f>
        <x:v>0</x:v>
      </x:c>
      <x:c r="H62" s="62" t="n">
        <x:f>E62+D62+F62+G62</x:f>
        <x:v>333.5882121509844</x:v>
      </x:c>
      <x:c r="I62" s="62" t="n">
        <x:f>IF(B62,IF(H62&gt;='Summary'!$B$12,H62,0),0)</x:f>
        <x:v>333.5882121509844</x:v>
      </x:c>
      <x:c r="J62" s="62" t="n">
        <x:f>H62-I62</x:f>
        <x:v>0</x:v>
      </x:c>
      <x:c r="K62" s="63" t="n">
        <x:f>J62+IF(A8+'Summary'!$B$10*12&gt;A62,I8,0)+IF(A9+'Summary'!$B$10*12&gt;A62,I9,0)+IF(A10+'Summary'!$B$10*12&gt;A62,I10,0)+IF(A11+'Summary'!$B$10*12&gt;A62,I11,0)+IF(A12+'Summary'!$B$10*12&gt;A62,I12,0)+IF(A13+'Summary'!$B$10*12&gt;A62,I13,0)+IF(A14+'Summary'!$B$10*12&gt;A62,I14,0)+IF(A15+'Summary'!$B$10*12&gt;A62,I15,0)+IF(A16+'Summary'!$B$10*12&gt;A62,I16,0)+IF(A17+'Summary'!$B$10*12&gt;A62,I17,0)+IF(A18+'Summary'!$B$10*12&gt;A62,I18,0)+IF(A19+'Summary'!$B$10*12&gt;A62,I19,0)+IF(A20+'Summary'!$B$10*12&gt;A62,I20,0)+IF(A21+'Summary'!$B$10*12&gt;A62,I21,0)+IF(A22+'Summary'!$B$10*12&gt;A62,I22,0)+IF(A23+'Summary'!$B$10*12&gt;A62,I23,0)+IF(A24+'Summary'!$B$10*12&gt;A62,I24,0)+IF(A25+'Summary'!$B$10*12&gt;A62,I25,0)+IF(A26+'Summary'!$B$10*12&gt;A62,I26,0)+IF(A27+'Summary'!$B$10*12&gt;A62,I27,0)+IF(A28+'Summary'!$B$10*12&gt;A62,I28,0)+IF(A29+'Summary'!$B$10*12&gt;A62,I29,0)+IF(A30+'Summary'!$B$10*12&gt;A62,I30,0)+IF(A31+'Summary'!$B$10*12&gt;A62,I31,0)+IF(A32+'Summary'!$B$10*12&gt;A62,I32,0)+IF(A33+'Summary'!$B$10*12&gt;A62,I33,0)+IF(A34+'Summary'!$B$10*12&gt;A62,I34,0)+IF(A35+'Summary'!$B$10*12&gt;A62,I35,0)+IF(A36+'Summary'!$B$10*12&gt;A62,I36,0)+IF(A37+'Summary'!$B$10*12&gt;A62,I37,0)+IF(A38+'Summary'!$B$10*12&gt;A62,I38,0)+IF(A39+'Summary'!$B$10*12&gt;A62,I39,0)+IF(A40+'Summary'!$B$10*12&gt;A62,I40,0)+IF(A41+'Summary'!$B$10*12&gt;A62,I41,0)+IF(A42+'Summary'!$B$10*12&gt;A62,I42,0)+IF(A43+'Summary'!$B$10*12&gt;A62,I43,0)+IF(A44+'Summary'!$B$10*12&gt;A62,I44,0)+IF(A45+'Summary'!$B$10*12&gt;A62,I45,0)+IF(A46+'Summary'!$B$10*12&gt;A62,I46,0)+IF(A47+'Summary'!$B$10*12&gt;A62,I47,0)+IF(A48+'Summary'!$B$10*12&gt;A62,I48,0)+IF(A49+'Summary'!$B$10*12&gt;A62,I49,0)+IF(A50+'Summary'!$B$10*12&gt;A62,I50,0)+IF(A51+'Summary'!$B$10*12&gt;A62,I51,0)+IF(A52+'Summary'!$B$10*12&gt;A62,I52,0)+IF(A53+'Summary'!$B$10*12&gt;A62,I53,0)+IF(A54+'Summary'!$B$10*12&gt;A62,I54,0)+IF(A55+'Summary'!$B$10*12&gt;A62,I55,0)+IF(A56+'Summary'!$B$10*12&gt;A62,I56,0)+IF(A57+'Summary'!$B$10*12&gt;A62,I57,0)+IF(A58+'Summary'!$B$10*12&gt;A62,I58,0)+IF(A59+'Summary'!$B$10*12&gt;A62,I59,0)+IF(A60+'Summary'!$B$10*12&gt;A62,I60,0)+IF(A61+'Summary'!$B$10*12&gt;A62,I61,0)+IF(A62+'Summary'!$B$10*12&gt;A62,I62,0)</x:f>
        <x:v>17741.837592315387</x:v>
      </x:c>
    </x:row>
    <x:row r="63">
      <x:c r="A63" s="55" t="n">
        <x:v>55</x:v>
      </x:c>
      <x:c r="B63" s="71" t="b">
        <x:f>A63&lt;='Summary'!$B$9*12</x:f>
        <x:v>1</x:v>
      </x:c>
      <x:c r="C63" s="62" t="n">
        <x:f>IF(A63=0,IF('Summary'!$B$6&gt;=5,'Summary'!$B$6,0),C62)+IF(A63&lt;'Summary'!$B$9*12,IF('Summary'!$B$7&gt;=5,'Summary'!$B$7,0),0)</x:f>
        <x:v>15600</x:v>
      </x:c>
      <x:c r="D63" s="62" t="n">
        <x:f>IF(A63=0,IF('Summary'!$B$6&gt;=5,'Summary'!$B$6,0),0)+IF(A63&lt;'Summary'!$B$9*12,IF('Summary'!$B$7&gt;=5,'Summary'!$B$7,0),0)</x:f>
        <x:v>100</x:v>
      </x:c>
      <x:c r="E63" s="62" t="n">
        <x:f>J62</x:f>
        <x:v>0</x:v>
      </x:c>
      <x:c r="F63" s="62" t="n">
        <x:f>(IF(AND(A63&gt;A8,A63&lt;=A8+'Summary'!$B$10*12,MOD(A63-A8,'Summary'!$B$11)=0),I8,0)+IF(AND(A63&gt;A9,A63&lt;=A9+'Summary'!$B$10*12,MOD(A63-A9,'Summary'!$B$11)=0),I9,0)+IF(AND(A63&gt;A10,A63&lt;=A10+'Summary'!$B$10*12,MOD(A63-A10,'Summary'!$B$11)=0),I10,0)+IF(AND(A63&gt;A11,A63&lt;=A11+'Summary'!$B$10*12,MOD(A63-A11,'Summary'!$B$11)=0),I11,0)+IF(AND(A63&gt;A12,A63&lt;=A12+'Summary'!$B$10*12,MOD(A63-A12,'Summary'!$B$11)=0),I12,0)+IF(AND(A63&gt;A13,A63&lt;=A13+'Summary'!$B$10*12,MOD(A63-A13,'Summary'!$B$11)=0),I13,0)+IF(AND(A63&gt;A14,A63&lt;=A14+'Summary'!$B$10*12,MOD(A63-A14,'Summary'!$B$11)=0),I14,0)+IF(AND(A63&gt;A15,A63&lt;=A15+'Summary'!$B$10*12,MOD(A63-A15,'Summary'!$B$11)=0),I15,0)+IF(AND(A63&gt;A16,A63&lt;=A16+'Summary'!$B$10*12,MOD(A63-A16,'Summary'!$B$11)=0),I16,0)+IF(AND(A63&gt;A17,A63&lt;=A17+'Summary'!$B$10*12,MOD(A63-A17,'Summary'!$B$11)=0),I17,0)+IF(AND(A63&gt;A18,A63&lt;=A18+'Summary'!$B$10*12,MOD(A63-A18,'Summary'!$B$11)=0),I18,0)+IF(AND(A63&gt;A19,A63&lt;=A19+'Summary'!$B$10*12,MOD(A63-A19,'Summary'!$B$11)=0),I19,0)+IF(AND(A63&gt;A20,A63&lt;=A20+'Summary'!$B$10*12,MOD(A63-A20,'Summary'!$B$11)=0),I20,0)+IF(AND(A63&gt;A21,A63&lt;=A21+'Summary'!$B$10*12,MOD(A63-A21,'Summary'!$B$11)=0),I21,0)+IF(AND(A63&gt;A22,A63&lt;=A22+'Summary'!$B$10*12,MOD(A63-A22,'Summary'!$B$11)=0),I22,0)+IF(AND(A63&gt;A23,A63&lt;=A23+'Summary'!$B$10*12,MOD(A63-A23,'Summary'!$B$11)=0),I23,0)+IF(AND(A63&gt;A24,A63&lt;=A24+'Summary'!$B$10*12,MOD(A63-A24,'Summary'!$B$11)=0),I24,0)+IF(AND(A63&gt;A25,A63&lt;=A25+'Summary'!$B$10*12,MOD(A63-A25,'Summary'!$B$11)=0),I25,0)+IF(AND(A63&gt;A26,A63&lt;=A26+'Summary'!$B$10*12,MOD(A63-A26,'Summary'!$B$11)=0),I26,0)+IF(AND(A63&gt;A27,A63&lt;=A27+'Summary'!$B$10*12,MOD(A63-A27,'Summary'!$B$11)=0),I27,0)+IF(AND(A63&gt;A28,A63&lt;=A28+'Summary'!$B$10*12,MOD(A63-A28,'Summary'!$B$11)=0),I28,0)+IF(AND(A63&gt;A29,A63&lt;=A29+'Summary'!$B$10*12,MOD(A63-A29,'Summary'!$B$11)=0),I29,0)+IF(AND(A63&gt;A30,A63&lt;=A30+'Summary'!$B$10*12,MOD(A63-A30,'Summary'!$B$11)=0),I30,0)+IF(AND(A63&gt;A31,A63&lt;=A31+'Summary'!$B$10*12,MOD(A63-A31,'Summary'!$B$11)=0),I31,0)+IF(AND(A63&gt;A32,A63&lt;=A32+'Summary'!$B$10*12,MOD(A63-A32,'Summary'!$B$11)=0),I32,0)+IF(AND(A63&gt;A33,A63&lt;=A33+'Summary'!$B$10*12,MOD(A63-A33,'Summary'!$B$11)=0),I33,0)+IF(AND(A63&gt;A34,A63&lt;=A34+'Summary'!$B$10*12,MOD(A63-A34,'Summary'!$B$11)=0),I34,0)+IF(AND(A63&gt;A35,A63&lt;=A35+'Summary'!$B$10*12,MOD(A63-A35,'Summary'!$B$11)=0),I35,0)+IF(AND(A63&gt;A36,A63&lt;=A36+'Summary'!$B$10*12,MOD(A63-A36,'Summary'!$B$11)=0),I36,0)+IF(AND(A63&gt;A37,A63&lt;=A37+'Summary'!$B$10*12,MOD(A63-A37,'Summary'!$B$11)=0),I37,0)+IF(AND(A63&gt;A38,A63&lt;=A38+'Summary'!$B$10*12,MOD(A63-A38,'Summary'!$B$11)=0),I38,0)+IF(AND(A63&gt;A39,A63&lt;=A39+'Summary'!$B$10*12,MOD(A63-A39,'Summary'!$B$11)=0),I39,0)+IF(AND(A63&gt;A40,A63&lt;=A40+'Summary'!$B$10*12,MOD(A63-A40,'Summary'!$B$11)=0),I40,0)+IF(AND(A63&gt;A41,A63&lt;=A41+'Summary'!$B$10*12,MOD(A63-A41,'Summary'!$B$11)=0),I41,0)+IF(AND(A63&gt;A42,A63&lt;=A42+'Summary'!$B$10*12,MOD(A63-A42,'Summary'!$B$11)=0),I42,0)+IF(AND(A63&gt;A43,A63&lt;=A43+'Summary'!$B$10*12,MOD(A63-A43,'Summary'!$B$11)=0),I43,0)+IF(AND(A63&gt;A44,A63&lt;=A44+'Summary'!$B$10*12,MOD(A63-A44,'Summary'!$B$11)=0),I44,0)+IF(AND(A63&gt;A45,A63&lt;=A45+'Summary'!$B$10*12,MOD(A63-A45,'Summary'!$B$11)=0),I45,0)+IF(AND(A63&gt;A46,A63&lt;=A46+'Summary'!$B$10*12,MOD(A63-A46,'Summary'!$B$11)=0),I46,0)+IF(AND(A63&gt;A47,A63&lt;=A47+'Summary'!$B$10*12,MOD(A63-A47,'Summary'!$B$11)=0),I47,0)+IF(AND(A63&gt;A48,A63&lt;=A48+'Summary'!$B$10*12,MOD(A63-A48,'Summary'!$B$11)=0),I48,0)+IF(AND(A63&gt;A49,A63&lt;=A49+'Summary'!$B$10*12,MOD(A63-A49,'Summary'!$B$11)=0),I49,0)+IF(AND(A63&gt;A50,A63&lt;=A50+'Summary'!$B$10*12,MOD(A63-A50,'Summary'!$B$11)=0),I50,0)+IF(AND(A63&gt;A51,A63&lt;=A51+'Summary'!$B$10*12,MOD(A63-A51,'Summary'!$B$11)=0),I51,0)+IF(AND(A63&gt;A52,A63&lt;=A52+'Summary'!$B$10*12,MOD(A63-A52,'Summary'!$B$11)=0),I52,0)+IF(AND(A63&gt;A53,A63&lt;=A53+'Summary'!$B$10*12,MOD(A63-A53,'Summary'!$B$11)=0),I53,0)+IF(AND(A63&gt;A54,A63&lt;=A54+'Summary'!$B$10*12,MOD(A63-A54,'Summary'!$B$11)=0),I54,0)+IF(AND(A63&gt;A55,A63&lt;=A55+'Summary'!$B$10*12,MOD(A63-A55,'Summary'!$B$11)=0),I55,0)+IF(AND(A63&gt;A56,A63&lt;=A56+'Summary'!$B$10*12,MOD(A63-A56,'Summary'!$B$11)=0),I56,0)+IF(AND(A63&gt;A57,A63&lt;=A57+'Summary'!$B$10*12,MOD(A63-A57,'Summary'!$B$11)=0),I57,0)+IF(AND(A63&gt;A58,A63&lt;=A58+'Summary'!$B$10*12,MOD(A63-A58,'Summary'!$B$11)=0),I58,0)+IF(AND(A63&gt;A59,A63&lt;=A59+'Summary'!$B$10*12,MOD(A63-A59,'Summary'!$B$11)=0),I59,0)+IF(AND(A63&gt;A60,A63&lt;=A60+'Summary'!$B$10*12,MOD(A63-A60,'Summary'!$B$11)=0),I60,0)+IF(AND(A63&gt;A61,A63&lt;=A61+'Summary'!$B$10*12,MOD(A63-A61,'Summary'!$B$11)=0),I61,0)+IF(AND(A63&gt;A62,A63&lt;=A62+'Summary'!$B$10*12,MOD(A63-A62,'Summary'!$B$11)=0),I62,0))*'Summary'!$B$8/2</x:f>
        <x:v>18.041045264014688</x:v>
      </x:c>
      <x:c r="G63" s="62" t="n">
        <x:f>IF(A63=A8+'Summary'!$B$10*12,I8,0)+IF(A63=A9+'Summary'!$B$10*12,I9,0)+IF(A63=A10+'Summary'!$B$10*12,I10,0)+IF(A63=A11+'Summary'!$B$10*12,I11,0)+IF(A63=A12+'Summary'!$B$10*12,I12,0)+IF(A63=A13+'Summary'!$B$10*12,I13,0)+IF(A63=A14+'Summary'!$B$10*12,I14,0)+IF(A63=A15+'Summary'!$B$10*12,I15,0)+IF(A63=A16+'Summary'!$B$10*12,I16,0)+IF(A63=A17+'Summary'!$B$10*12,I17,0)+IF(A63=A18+'Summary'!$B$10*12,I18,0)+IF(A63=A19+'Summary'!$B$10*12,I19,0)+IF(A63=A20+'Summary'!$B$10*12,I20,0)+IF(A63=A21+'Summary'!$B$10*12,I21,0)+IF(A63=A22+'Summary'!$B$10*12,I22,0)+IF(A63=A23+'Summary'!$B$10*12,I23,0)+IF(A63=A24+'Summary'!$B$10*12,I24,0)+IF(A63=A25+'Summary'!$B$10*12,I25,0)+IF(A63=A26+'Summary'!$B$10*12,I26,0)+IF(A63=A27+'Summary'!$B$10*12,I27,0)+IF(A63=A28+'Summary'!$B$10*12,I28,0)+IF(A63=A29+'Summary'!$B$10*12,I29,0)+IF(A63=A30+'Summary'!$B$10*12,I30,0)+IF(A63=A31+'Summary'!$B$10*12,I31,0)+IF(A63=A32+'Summary'!$B$10*12,I32,0)+IF(A63=A33+'Summary'!$B$10*12,I33,0)+IF(A63=A34+'Summary'!$B$10*12,I34,0)+IF(A63=A35+'Summary'!$B$10*12,I35,0)+IF(A63=A36+'Summary'!$B$10*12,I36,0)+IF(A63=A37+'Summary'!$B$10*12,I37,0)+IF(A63=A38+'Summary'!$B$10*12,I38,0)+IF(A63=A39+'Summary'!$B$10*12,I39,0)+IF(A63=A40+'Summary'!$B$10*12,I40,0)+IF(A63=A41+'Summary'!$B$10*12,I41,0)+IF(A63=A42+'Summary'!$B$10*12,I42,0)+IF(A63=A43+'Summary'!$B$10*12,I43,0)+IF(A63=A44+'Summary'!$B$10*12,I44,0)+IF(A63=A45+'Summary'!$B$10*12,I45,0)+IF(A63=A46+'Summary'!$B$10*12,I46,0)+IF(A63=A47+'Summary'!$B$10*12,I47,0)+IF(A63=A48+'Summary'!$B$10*12,I48,0)+IF(A63=A49+'Summary'!$B$10*12,I49,0)+IF(A63=A50+'Summary'!$B$10*12,I50,0)+IF(A63=A51+'Summary'!$B$10*12,I51,0)+IF(A63=A52+'Summary'!$B$10*12,I52,0)+IF(A63=A53+'Summary'!$B$10*12,I53,0)+IF(A63=A54+'Summary'!$B$10*12,I54,0)+IF(A63=A55+'Summary'!$B$10*12,I55,0)+IF(A63=A56+'Summary'!$B$10*12,I56,0)+IF(A63=A57+'Summary'!$B$10*12,I57,0)+IF(A63=A58+'Summary'!$B$10*12,I58,0)+IF(A63=A59+'Summary'!$B$10*12,I59,0)+IF(A63=A60+'Summary'!$B$10*12,I60,0)+IF(A63=A61+'Summary'!$B$10*12,I61,0)+IF(A63=A62+'Summary'!$B$10*12,I62,0)</x:f>
        <x:v>0</x:v>
      </x:c>
      <x:c r="H63" s="62" t="n">
        <x:f>E63+D63+F63+G63</x:f>
        <x:v>118.04104526401468</x:v>
      </x:c>
      <x:c r="I63" s="62" t="n">
        <x:f>IF(B63,IF(H63&gt;='Summary'!$B$12,H63,0),0)</x:f>
        <x:v>118.04104526401468</x:v>
      </x:c>
      <x:c r="J63" s="62" t="n">
        <x:f>H63-I63</x:f>
        <x:v>0</x:v>
      </x:c>
      <x:c r="K63" s="63" t="n">
        <x:f>J63+IF(A8+'Summary'!$B$10*12&gt;A63,I8,0)+IF(A9+'Summary'!$B$10*12&gt;A63,I9,0)+IF(A10+'Summary'!$B$10*12&gt;A63,I10,0)+IF(A11+'Summary'!$B$10*12&gt;A63,I11,0)+IF(A12+'Summary'!$B$10*12&gt;A63,I12,0)+IF(A13+'Summary'!$B$10*12&gt;A63,I13,0)+IF(A14+'Summary'!$B$10*12&gt;A63,I14,0)+IF(A15+'Summary'!$B$10*12&gt;A63,I15,0)+IF(A16+'Summary'!$B$10*12&gt;A63,I16,0)+IF(A17+'Summary'!$B$10*12&gt;A63,I17,0)+IF(A18+'Summary'!$B$10*12&gt;A63,I18,0)+IF(A19+'Summary'!$B$10*12&gt;A63,I19,0)+IF(A20+'Summary'!$B$10*12&gt;A63,I20,0)+IF(A21+'Summary'!$B$10*12&gt;A63,I21,0)+IF(A22+'Summary'!$B$10*12&gt;A63,I22,0)+IF(A23+'Summary'!$B$10*12&gt;A63,I23,0)+IF(A24+'Summary'!$B$10*12&gt;A63,I24,0)+IF(A25+'Summary'!$B$10*12&gt;A63,I25,0)+IF(A26+'Summary'!$B$10*12&gt;A63,I26,0)+IF(A27+'Summary'!$B$10*12&gt;A63,I27,0)+IF(A28+'Summary'!$B$10*12&gt;A63,I28,0)+IF(A29+'Summary'!$B$10*12&gt;A63,I29,0)+IF(A30+'Summary'!$B$10*12&gt;A63,I30,0)+IF(A31+'Summary'!$B$10*12&gt;A63,I31,0)+IF(A32+'Summary'!$B$10*12&gt;A63,I32,0)+IF(A33+'Summary'!$B$10*12&gt;A63,I33,0)+IF(A34+'Summary'!$B$10*12&gt;A63,I34,0)+IF(A35+'Summary'!$B$10*12&gt;A63,I35,0)+IF(A36+'Summary'!$B$10*12&gt;A63,I36,0)+IF(A37+'Summary'!$B$10*12&gt;A63,I37,0)+IF(A38+'Summary'!$B$10*12&gt;A63,I38,0)+IF(A39+'Summary'!$B$10*12&gt;A63,I39,0)+IF(A40+'Summary'!$B$10*12&gt;A63,I40,0)+IF(A41+'Summary'!$B$10*12&gt;A63,I41,0)+IF(A42+'Summary'!$B$10*12&gt;A63,I42,0)+IF(A43+'Summary'!$B$10*12&gt;A63,I43,0)+IF(A44+'Summary'!$B$10*12&gt;A63,I44,0)+IF(A45+'Summary'!$B$10*12&gt;A63,I45,0)+IF(A46+'Summary'!$B$10*12&gt;A63,I46,0)+IF(A47+'Summary'!$B$10*12&gt;A63,I47,0)+IF(A48+'Summary'!$B$10*12&gt;A63,I48,0)+IF(A49+'Summary'!$B$10*12&gt;A63,I49,0)+IF(A50+'Summary'!$B$10*12&gt;A63,I50,0)+IF(A51+'Summary'!$B$10*12&gt;A63,I51,0)+IF(A52+'Summary'!$B$10*12&gt;A63,I52,0)+IF(A53+'Summary'!$B$10*12&gt;A63,I53,0)+IF(A54+'Summary'!$B$10*12&gt;A63,I54,0)+IF(A55+'Summary'!$B$10*12&gt;A63,I55,0)+IF(A56+'Summary'!$B$10*12&gt;A63,I56,0)+IF(A57+'Summary'!$B$10*12&gt;A63,I57,0)+IF(A58+'Summary'!$B$10*12&gt;A63,I58,0)+IF(A59+'Summary'!$B$10*12&gt;A63,I59,0)+IF(A60+'Summary'!$B$10*12&gt;A63,I60,0)+IF(A61+'Summary'!$B$10*12&gt;A63,I61,0)+IF(A62+'Summary'!$B$10*12&gt;A63,I62,0)+IF(A63+'Summary'!$B$10*12&gt;A63,I63,0)</x:f>
        <x:v>17859.8786375794</x:v>
      </x:c>
    </x:row>
    <x:row r="64">
      <x:c r="A64" s="55" t="n">
        <x:v>56</x:v>
      </x:c>
      <x:c r="B64" s="71" t="b">
        <x:f>A64&lt;='Summary'!$B$9*12</x:f>
        <x:v>1</x:v>
      </x:c>
      <x:c r="C64" s="62" t="n">
        <x:f>IF(A64=0,IF('Summary'!$B$6&gt;=5,'Summary'!$B$6,0),C63)+IF(A64&lt;'Summary'!$B$9*12,IF('Summary'!$B$7&gt;=5,'Summary'!$B$7,0),0)</x:f>
        <x:v>15700</x:v>
      </x:c>
      <x:c r="D64" s="62" t="n">
        <x:f>IF(A64=0,IF('Summary'!$B$6&gt;=5,'Summary'!$B$6,0),0)+IF(A64&lt;'Summary'!$B$9*12,IF('Summary'!$B$7&gt;=5,'Summary'!$B$7,0),0)</x:f>
        <x:v>100</x:v>
      </x:c>
      <x:c r="E64" s="62" t="n">
        <x:f>J63</x:f>
        <x:v>0</x:v>
      </x:c>
      <x:c r="F64" s="62" t="n">
        <x:f>(IF(AND(A64&gt;A8,A64&lt;=A8+'Summary'!$B$10*12,MOD(A64-A8,'Summary'!$B$11)=0),I8,0)+IF(AND(A64&gt;A9,A64&lt;=A9+'Summary'!$B$10*12,MOD(A64-A9,'Summary'!$B$11)=0),I9,0)+IF(AND(A64&gt;A10,A64&lt;=A10+'Summary'!$B$10*12,MOD(A64-A10,'Summary'!$B$11)=0),I10,0)+IF(AND(A64&gt;A11,A64&lt;=A11+'Summary'!$B$10*12,MOD(A64-A11,'Summary'!$B$11)=0),I11,0)+IF(AND(A64&gt;A12,A64&lt;=A12+'Summary'!$B$10*12,MOD(A64-A12,'Summary'!$B$11)=0),I12,0)+IF(AND(A64&gt;A13,A64&lt;=A13+'Summary'!$B$10*12,MOD(A64-A13,'Summary'!$B$11)=0),I13,0)+IF(AND(A64&gt;A14,A64&lt;=A14+'Summary'!$B$10*12,MOD(A64-A14,'Summary'!$B$11)=0),I14,0)+IF(AND(A64&gt;A15,A64&lt;=A15+'Summary'!$B$10*12,MOD(A64-A15,'Summary'!$B$11)=0),I15,0)+IF(AND(A64&gt;A16,A64&lt;=A16+'Summary'!$B$10*12,MOD(A64-A16,'Summary'!$B$11)=0),I16,0)+IF(AND(A64&gt;A17,A64&lt;=A17+'Summary'!$B$10*12,MOD(A64-A17,'Summary'!$B$11)=0),I17,0)+IF(AND(A64&gt;A18,A64&lt;=A18+'Summary'!$B$10*12,MOD(A64-A18,'Summary'!$B$11)=0),I18,0)+IF(AND(A64&gt;A19,A64&lt;=A19+'Summary'!$B$10*12,MOD(A64-A19,'Summary'!$B$11)=0),I19,0)+IF(AND(A64&gt;A20,A64&lt;=A20+'Summary'!$B$10*12,MOD(A64-A20,'Summary'!$B$11)=0),I20,0)+IF(AND(A64&gt;A21,A64&lt;=A21+'Summary'!$B$10*12,MOD(A64-A21,'Summary'!$B$11)=0),I21,0)+IF(AND(A64&gt;A22,A64&lt;=A22+'Summary'!$B$10*12,MOD(A64-A22,'Summary'!$B$11)=0),I22,0)+IF(AND(A64&gt;A23,A64&lt;=A23+'Summary'!$B$10*12,MOD(A64-A23,'Summary'!$B$11)=0),I23,0)+IF(AND(A64&gt;A24,A64&lt;=A24+'Summary'!$B$10*12,MOD(A64-A24,'Summary'!$B$11)=0),I24,0)+IF(AND(A64&gt;A25,A64&lt;=A25+'Summary'!$B$10*12,MOD(A64-A25,'Summary'!$B$11)=0),I25,0)+IF(AND(A64&gt;A26,A64&lt;=A26+'Summary'!$B$10*12,MOD(A64-A26,'Summary'!$B$11)=0),I26,0)+IF(AND(A64&gt;A27,A64&lt;=A27+'Summary'!$B$10*12,MOD(A64-A27,'Summary'!$B$11)=0),I27,0)+IF(AND(A64&gt;A28,A64&lt;=A28+'Summary'!$B$10*12,MOD(A64-A28,'Summary'!$B$11)=0),I28,0)+IF(AND(A64&gt;A29,A64&lt;=A29+'Summary'!$B$10*12,MOD(A64-A29,'Summary'!$B$11)=0),I29,0)+IF(AND(A64&gt;A30,A64&lt;=A30+'Summary'!$B$10*12,MOD(A64-A30,'Summary'!$B$11)=0),I30,0)+IF(AND(A64&gt;A31,A64&lt;=A31+'Summary'!$B$10*12,MOD(A64-A31,'Summary'!$B$11)=0),I31,0)+IF(AND(A64&gt;A32,A64&lt;=A32+'Summary'!$B$10*12,MOD(A64-A32,'Summary'!$B$11)=0),I32,0)+IF(AND(A64&gt;A33,A64&lt;=A33+'Summary'!$B$10*12,MOD(A64-A33,'Summary'!$B$11)=0),I33,0)+IF(AND(A64&gt;A34,A64&lt;=A34+'Summary'!$B$10*12,MOD(A64-A34,'Summary'!$B$11)=0),I34,0)+IF(AND(A64&gt;A35,A64&lt;=A35+'Summary'!$B$10*12,MOD(A64-A35,'Summary'!$B$11)=0),I35,0)+IF(AND(A64&gt;A36,A64&lt;=A36+'Summary'!$B$10*12,MOD(A64-A36,'Summary'!$B$11)=0),I36,0)+IF(AND(A64&gt;A37,A64&lt;=A37+'Summary'!$B$10*12,MOD(A64-A37,'Summary'!$B$11)=0),I37,0)+IF(AND(A64&gt;A38,A64&lt;=A38+'Summary'!$B$10*12,MOD(A64-A38,'Summary'!$B$11)=0),I38,0)+IF(AND(A64&gt;A39,A64&lt;=A39+'Summary'!$B$10*12,MOD(A64-A39,'Summary'!$B$11)=0),I39,0)+IF(AND(A64&gt;A40,A64&lt;=A40+'Summary'!$B$10*12,MOD(A64-A40,'Summary'!$B$11)=0),I40,0)+IF(AND(A64&gt;A41,A64&lt;=A41+'Summary'!$B$10*12,MOD(A64-A41,'Summary'!$B$11)=0),I41,0)+IF(AND(A64&gt;A42,A64&lt;=A42+'Summary'!$B$10*12,MOD(A64-A42,'Summary'!$B$11)=0),I42,0)+IF(AND(A64&gt;A43,A64&lt;=A43+'Summary'!$B$10*12,MOD(A64-A43,'Summary'!$B$11)=0),I43,0)+IF(AND(A64&gt;A44,A64&lt;=A44+'Summary'!$B$10*12,MOD(A64-A44,'Summary'!$B$11)=0),I44,0)+IF(AND(A64&gt;A45,A64&lt;=A45+'Summary'!$B$10*12,MOD(A64-A45,'Summary'!$B$11)=0),I45,0)+IF(AND(A64&gt;A46,A64&lt;=A46+'Summary'!$B$10*12,MOD(A64-A46,'Summary'!$B$11)=0),I46,0)+IF(AND(A64&gt;A47,A64&lt;=A47+'Summary'!$B$10*12,MOD(A64-A47,'Summary'!$B$11)=0),I47,0)+IF(AND(A64&gt;A48,A64&lt;=A48+'Summary'!$B$10*12,MOD(A64-A48,'Summary'!$B$11)=0),I48,0)+IF(AND(A64&gt;A49,A64&lt;=A49+'Summary'!$B$10*12,MOD(A64-A49,'Summary'!$B$11)=0),I49,0)+IF(AND(A64&gt;A50,A64&lt;=A50+'Summary'!$B$10*12,MOD(A64-A50,'Summary'!$B$11)=0),I50,0)+IF(AND(A64&gt;A51,A64&lt;=A51+'Summary'!$B$10*12,MOD(A64-A51,'Summary'!$B$11)=0),I51,0)+IF(AND(A64&gt;A52,A64&lt;=A52+'Summary'!$B$10*12,MOD(A64-A52,'Summary'!$B$11)=0),I52,0)+IF(AND(A64&gt;A53,A64&lt;=A53+'Summary'!$B$10*12,MOD(A64-A53,'Summary'!$B$11)=0),I53,0)+IF(AND(A64&gt;A54,A64&lt;=A54+'Summary'!$B$10*12,MOD(A64-A54,'Summary'!$B$11)=0),I54,0)+IF(AND(A64&gt;A55,A64&lt;=A55+'Summary'!$B$10*12,MOD(A64-A55,'Summary'!$B$11)=0),I55,0)+IF(AND(A64&gt;A56,A64&lt;=A56+'Summary'!$B$10*12,MOD(A64-A56,'Summary'!$B$11)=0),I56,0)+IF(AND(A64&gt;A57,A64&lt;=A57+'Summary'!$B$10*12,MOD(A64-A57,'Summary'!$B$11)=0),I57,0)+IF(AND(A64&gt;A58,A64&lt;=A58+'Summary'!$B$10*12,MOD(A64-A58,'Summary'!$B$11)=0),I58,0)+IF(AND(A64&gt;A59,A64&lt;=A59+'Summary'!$B$10*12,MOD(A64-A59,'Summary'!$B$11)=0),I59,0)+IF(AND(A64&gt;A60,A64&lt;=A60+'Summary'!$B$10*12,MOD(A64-A60,'Summary'!$B$11)=0),I60,0)+IF(AND(A64&gt;A61,A64&lt;=A61+'Summary'!$B$10*12,MOD(A64-A61,'Summary'!$B$11)=0),I61,0)+IF(AND(A64&gt;A62,A64&lt;=A62+'Summary'!$B$10*12,MOD(A64-A62,'Summary'!$B$11)=0),I62,0)+IF(AND(A64&gt;A63,A64&lt;=A63+'Summary'!$B$10*12,MOD(A64-A63,'Summary'!$B$11)=0),I63,0))*'Summary'!$B$8/2</x:f>
        <x:v>18.041045264014688</x:v>
      </x:c>
      <x:c r="G64" s="62" t="n">
        <x:f>IF(A64=A8+'Summary'!$B$10*12,I8,0)+IF(A64=A9+'Summary'!$B$10*12,I9,0)+IF(A64=A10+'Summary'!$B$10*12,I10,0)+IF(A64=A11+'Summary'!$B$10*12,I11,0)+IF(A64=A12+'Summary'!$B$10*12,I12,0)+IF(A64=A13+'Summary'!$B$10*12,I13,0)+IF(A64=A14+'Summary'!$B$10*12,I14,0)+IF(A64=A15+'Summary'!$B$10*12,I15,0)+IF(A64=A16+'Summary'!$B$10*12,I16,0)+IF(A64=A17+'Summary'!$B$10*12,I17,0)+IF(A64=A18+'Summary'!$B$10*12,I18,0)+IF(A64=A19+'Summary'!$B$10*12,I19,0)+IF(A64=A20+'Summary'!$B$10*12,I20,0)+IF(A64=A21+'Summary'!$B$10*12,I21,0)+IF(A64=A22+'Summary'!$B$10*12,I22,0)+IF(A64=A23+'Summary'!$B$10*12,I23,0)+IF(A64=A24+'Summary'!$B$10*12,I24,0)+IF(A64=A25+'Summary'!$B$10*12,I25,0)+IF(A64=A26+'Summary'!$B$10*12,I26,0)+IF(A64=A27+'Summary'!$B$10*12,I27,0)+IF(A64=A28+'Summary'!$B$10*12,I28,0)+IF(A64=A29+'Summary'!$B$10*12,I29,0)+IF(A64=A30+'Summary'!$B$10*12,I30,0)+IF(A64=A31+'Summary'!$B$10*12,I31,0)+IF(A64=A32+'Summary'!$B$10*12,I32,0)+IF(A64=A33+'Summary'!$B$10*12,I33,0)+IF(A64=A34+'Summary'!$B$10*12,I34,0)+IF(A64=A35+'Summary'!$B$10*12,I35,0)+IF(A64=A36+'Summary'!$B$10*12,I36,0)+IF(A64=A37+'Summary'!$B$10*12,I37,0)+IF(A64=A38+'Summary'!$B$10*12,I38,0)+IF(A64=A39+'Summary'!$B$10*12,I39,0)+IF(A64=A40+'Summary'!$B$10*12,I40,0)+IF(A64=A41+'Summary'!$B$10*12,I41,0)+IF(A64=A42+'Summary'!$B$10*12,I42,0)+IF(A64=A43+'Summary'!$B$10*12,I43,0)+IF(A64=A44+'Summary'!$B$10*12,I44,0)+IF(A64=A45+'Summary'!$B$10*12,I45,0)+IF(A64=A46+'Summary'!$B$10*12,I46,0)+IF(A64=A47+'Summary'!$B$10*12,I47,0)+IF(A64=A48+'Summary'!$B$10*12,I48,0)+IF(A64=A49+'Summary'!$B$10*12,I49,0)+IF(A64=A50+'Summary'!$B$10*12,I50,0)+IF(A64=A51+'Summary'!$B$10*12,I51,0)+IF(A64=A52+'Summary'!$B$10*12,I52,0)+IF(A64=A53+'Summary'!$B$10*12,I53,0)+IF(A64=A54+'Summary'!$B$10*12,I54,0)+IF(A64=A55+'Summary'!$B$10*12,I55,0)+IF(A64=A56+'Summary'!$B$10*12,I56,0)+IF(A64=A57+'Summary'!$B$10*12,I57,0)+IF(A64=A58+'Summary'!$B$10*12,I58,0)+IF(A64=A59+'Summary'!$B$10*12,I59,0)+IF(A64=A60+'Summary'!$B$10*12,I60,0)+IF(A64=A61+'Summary'!$B$10*12,I61,0)+IF(A64=A62+'Summary'!$B$10*12,I62,0)+IF(A64=A63+'Summary'!$B$10*12,I63,0)</x:f>
        <x:v>0</x:v>
      </x:c>
      <x:c r="H64" s="62" t="n">
        <x:f>E64+D64+F64+G64</x:f>
        <x:v>118.04104526401468</x:v>
      </x:c>
      <x:c r="I64" s="62" t="n">
        <x:f>IF(B64,IF(H64&gt;='Summary'!$B$12,H64,0),0)</x:f>
        <x:v>118.04104526401468</x:v>
      </x:c>
      <x:c r="J64" s="62" t="n">
        <x:f>H64-I64</x:f>
        <x:v>0</x:v>
      </x:c>
      <x:c r="K64" s="63" t="n">
        <x:f>J64+IF(A8+'Summary'!$B$10*12&gt;A64,I8,0)+IF(A9+'Summary'!$B$10*12&gt;A64,I9,0)+IF(A10+'Summary'!$B$10*12&gt;A64,I10,0)+IF(A11+'Summary'!$B$10*12&gt;A64,I11,0)+IF(A12+'Summary'!$B$10*12&gt;A64,I12,0)+IF(A13+'Summary'!$B$10*12&gt;A64,I13,0)+IF(A14+'Summary'!$B$10*12&gt;A64,I14,0)+IF(A15+'Summary'!$B$10*12&gt;A64,I15,0)+IF(A16+'Summary'!$B$10*12&gt;A64,I16,0)+IF(A17+'Summary'!$B$10*12&gt;A64,I17,0)+IF(A18+'Summary'!$B$10*12&gt;A64,I18,0)+IF(A19+'Summary'!$B$10*12&gt;A64,I19,0)+IF(A20+'Summary'!$B$10*12&gt;A64,I20,0)+IF(A21+'Summary'!$B$10*12&gt;A64,I21,0)+IF(A22+'Summary'!$B$10*12&gt;A64,I22,0)+IF(A23+'Summary'!$B$10*12&gt;A64,I23,0)+IF(A24+'Summary'!$B$10*12&gt;A64,I24,0)+IF(A25+'Summary'!$B$10*12&gt;A64,I25,0)+IF(A26+'Summary'!$B$10*12&gt;A64,I26,0)+IF(A27+'Summary'!$B$10*12&gt;A64,I27,0)+IF(A28+'Summary'!$B$10*12&gt;A64,I28,0)+IF(A29+'Summary'!$B$10*12&gt;A64,I29,0)+IF(A30+'Summary'!$B$10*12&gt;A64,I30,0)+IF(A31+'Summary'!$B$10*12&gt;A64,I31,0)+IF(A32+'Summary'!$B$10*12&gt;A64,I32,0)+IF(A33+'Summary'!$B$10*12&gt;A64,I33,0)+IF(A34+'Summary'!$B$10*12&gt;A64,I34,0)+IF(A35+'Summary'!$B$10*12&gt;A64,I35,0)+IF(A36+'Summary'!$B$10*12&gt;A64,I36,0)+IF(A37+'Summary'!$B$10*12&gt;A64,I37,0)+IF(A38+'Summary'!$B$10*12&gt;A64,I38,0)+IF(A39+'Summary'!$B$10*12&gt;A64,I39,0)+IF(A40+'Summary'!$B$10*12&gt;A64,I40,0)+IF(A41+'Summary'!$B$10*12&gt;A64,I41,0)+IF(A42+'Summary'!$B$10*12&gt;A64,I42,0)+IF(A43+'Summary'!$B$10*12&gt;A64,I43,0)+IF(A44+'Summary'!$B$10*12&gt;A64,I44,0)+IF(A45+'Summary'!$B$10*12&gt;A64,I45,0)+IF(A46+'Summary'!$B$10*12&gt;A64,I46,0)+IF(A47+'Summary'!$B$10*12&gt;A64,I47,0)+IF(A48+'Summary'!$B$10*12&gt;A64,I48,0)+IF(A49+'Summary'!$B$10*12&gt;A64,I49,0)+IF(A50+'Summary'!$B$10*12&gt;A64,I50,0)+IF(A51+'Summary'!$B$10*12&gt;A64,I51,0)+IF(A52+'Summary'!$B$10*12&gt;A64,I52,0)+IF(A53+'Summary'!$B$10*12&gt;A64,I53,0)+IF(A54+'Summary'!$B$10*12&gt;A64,I54,0)+IF(A55+'Summary'!$B$10*12&gt;A64,I55,0)+IF(A56+'Summary'!$B$10*12&gt;A64,I56,0)+IF(A57+'Summary'!$B$10*12&gt;A64,I57,0)+IF(A58+'Summary'!$B$10*12&gt;A64,I58,0)+IF(A59+'Summary'!$B$10*12&gt;A64,I59,0)+IF(A60+'Summary'!$B$10*12&gt;A64,I60,0)+IF(A61+'Summary'!$B$10*12&gt;A64,I61,0)+IF(A62+'Summary'!$B$10*12&gt;A64,I62,0)+IF(A63+'Summary'!$B$10*12&gt;A64,I63,0)+IF(A64+'Summary'!$B$10*12&gt;A64,I64,0)</x:f>
        <x:v>17977.919682843414</x:v>
      </x:c>
    </x:row>
    <x:row r="65">
      <x:c r="A65" s="55" t="n">
        <x:v>57</x:v>
      </x:c>
      <x:c r="B65" s="71" t="b">
        <x:f>A65&lt;='Summary'!$B$9*12</x:f>
        <x:v>1</x:v>
      </x:c>
      <x:c r="C65" s="62" t="n">
        <x:f>IF(A65=0,IF('Summary'!$B$6&gt;=5,'Summary'!$B$6,0),C64)+IF(A65&lt;'Summary'!$B$9*12,IF('Summary'!$B$7&gt;=5,'Summary'!$B$7,0),0)</x:f>
        <x:v>15800</x:v>
      </x:c>
      <x:c r="D65" s="62" t="n">
        <x:f>IF(A65=0,IF('Summary'!$B$6&gt;=5,'Summary'!$B$6,0),0)+IF(A65&lt;'Summary'!$B$9*12,IF('Summary'!$B$7&gt;=5,'Summary'!$B$7,0),0)</x:f>
        <x:v>100</x:v>
      </x:c>
      <x:c r="E65" s="62" t="n">
        <x:f>J64</x:f>
        <x:v>0</x:v>
      </x:c>
      <x:c r="F65" s="62" t="n">
        <x:f>(IF(AND(A65&gt;A8,A65&lt;=A8+'Summary'!$B$10*12,MOD(A65-A8,'Summary'!$B$11)=0),I8,0)+IF(AND(A65&gt;A9,A65&lt;=A9+'Summary'!$B$10*12,MOD(A65-A9,'Summary'!$B$11)=0),I9,0)+IF(AND(A65&gt;A10,A65&lt;=A10+'Summary'!$B$10*12,MOD(A65-A10,'Summary'!$B$11)=0),I10,0)+IF(AND(A65&gt;A11,A65&lt;=A11+'Summary'!$B$10*12,MOD(A65-A11,'Summary'!$B$11)=0),I11,0)+IF(AND(A65&gt;A12,A65&lt;=A12+'Summary'!$B$10*12,MOD(A65-A12,'Summary'!$B$11)=0),I12,0)+IF(AND(A65&gt;A13,A65&lt;=A13+'Summary'!$B$10*12,MOD(A65-A13,'Summary'!$B$11)=0),I13,0)+IF(AND(A65&gt;A14,A65&lt;=A14+'Summary'!$B$10*12,MOD(A65-A14,'Summary'!$B$11)=0),I14,0)+IF(AND(A65&gt;A15,A65&lt;=A15+'Summary'!$B$10*12,MOD(A65-A15,'Summary'!$B$11)=0),I15,0)+IF(AND(A65&gt;A16,A65&lt;=A16+'Summary'!$B$10*12,MOD(A65-A16,'Summary'!$B$11)=0),I16,0)+IF(AND(A65&gt;A17,A65&lt;=A17+'Summary'!$B$10*12,MOD(A65-A17,'Summary'!$B$11)=0),I17,0)+IF(AND(A65&gt;A18,A65&lt;=A18+'Summary'!$B$10*12,MOD(A65-A18,'Summary'!$B$11)=0),I18,0)+IF(AND(A65&gt;A19,A65&lt;=A19+'Summary'!$B$10*12,MOD(A65-A19,'Summary'!$B$11)=0),I19,0)+IF(AND(A65&gt;A20,A65&lt;=A20+'Summary'!$B$10*12,MOD(A65-A20,'Summary'!$B$11)=0),I20,0)+IF(AND(A65&gt;A21,A65&lt;=A21+'Summary'!$B$10*12,MOD(A65-A21,'Summary'!$B$11)=0),I21,0)+IF(AND(A65&gt;A22,A65&lt;=A22+'Summary'!$B$10*12,MOD(A65-A22,'Summary'!$B$11)=0),I22,0)+IF(AND(A65&gt;A23,A65&lt;=A23+'Summary'!$B$10*12,MOD(A65-A23,'Summary'!$B$11)=0),I23,0)+IF(AND(A65&gt;A24,A65&lt;=A24+'Summary'!$B$10*12,MOD(A65-A24,'Summary'!$B$11)=0),I24,0)+IF(AND(A65&gt;A25,A65&lt;=A25+'Summary'!$B$10*12,MOD(A65-A25,'Summary'!$B$11)=0),I25,0)+IF(AND(A65&gt;A26,A65&lt;=A26+'Summary'!$B$10*12,MOD(A65-A26,'Summary'!$B$11)=0),I26,0)+IF(AND(A65&gt;A27,A65&lt;=A27+'Summary'!$B$10*12,MOD(A65-A27,'Summary'!$B$11)=0),I27,0)+IF(AND(A65&gt;A28,A65&lt;=A28+'Summary'!$B$10*12,MOD(A65-A28,'Summary'!$B$11)=0),I28,0)+IF(AND(A65&gt;A29,A65&lt;=A29+'Summary'!$B$10*12,MOD(A65-A29,'Summary'!$B$11)=0),I29,0)+IF(AND(A65&gt;A30,A65&lt;=A30+'Summary'!$B$10*12,MOD(A65-A30,'Summary'!$B$11)=0),I30,0)+IF(AND(A65&gt;A31,A65&lt;=A31+'Summary'!$B$10*12,MOD(A65-A31,'Summary'!$B$11)=0),I31,0)+IF(AND(A65&gt;A32,A65&lt;=A32+'Summary'!$B$10*12,MOD(A65-A32,'Summary'!$B$11)=0),I32,0)+IF(AND(A65&gt;A33,A65&lt;=A33+'Summary'!$B$10*12,MOD(A65-A33,'Summary'!$B$11)=0),I33,0)+IF(AND(A65&gt;A34,A65&lt;=A34+'Summary'!$B$10*12,MOD(A65-A34,'Summary'!$B$11)=0),I34,0)+IF(AND(A65&gt;A35,A65&lt;=A35+'Summary'!$B$10*12,MOD(A65-A35,'Summary'!$B$11)=0),I35,0)+IF(AND(A65&gt;A36,A65&lt;=A36+'Summary'!$B$10*12,MOD(A65-A36,'Summary'!$B$11)=0),I36,0)+IF(AND(A65&gt;A37,A65&lt;=A37+'Summary'!$B$10*12,MOD(A65-A37,'Summary'!$B$11)=0),I37,0)+IF(AND(A65&gt;A38,A65&lt;=A38+'Summary'!$B$10*12,MOD(A65-A38,'Summary'!$B$11)=0),I38,0)+IF(AND(A65&gt;A39,A65&lt;=A39+'Summary'!$B$10*12,MOD(A65-A39,'Summary'!$B$11)=0),I39,0)+IF(AND(A65&gt;A40,A65&lt;=A40+'Summary'!$B$10*12,MOD(A65-A40,'Summary'!$B$11)=0),I40,0)+IF(AND(A65&gt;A41,A65&lt;=A41+'Summary'!$B$10*12,MOD(A65-A41,'Summary'!$B$11)=0),I41,0)+IF(AND(A65&gt;A42,A65&lt;=A42+'Summary'!$B$10*12,MOD(A65-A42,'Summary'!$B$11)=0),I42,0)+IF(AND(A65&gt;A43,A65&lt;=A43+'Summary'!$B$10*12,MOD(A65-A43,'Summary'!$B$11)=0),I43,0)+IF(AND(A65&gt;A44,A65&lt;=A44+'Summary'!$B$10*12,MOD(A65-A44,'Summary'!$B$11)=0),I44,0)+IF(AND(A65&gt;A45,A65&lt;=A45+'Summary'!$B$10*12,MOD(A65-A45,'Summary'!$B$11)=0),I45,0)+IF(AND(A65&gt;A46,A65&lt;=A46+'Summary'!$B$10*12,MOD(A65-A46,'Summary'!$B$11)=0),I46,0)+IF(AND(A65&gt;A47,A65&lt;=A47+'Summary'!$B$10*12,MOD(A65-A47,'Summary'!$B$11)=0),I47,0)+IF(AND(A65&gt;A48,A65&lt;=A48+'Summary'!$B$10*12,MOD(A65-A48,'Summary'!$B$11)=0),I48,0)+IF(AND(A65&gt;A49,A65&lt;=A49+'Summary'!$B$10*12,MOD(A65-A49,'Summary'!$B$11)=0),I49,0)+IF(AND(A65&gt;A50,A65&lt;=A50+'Summary'!$B$10*12,MOD(A65-A50,'Summary'!$B$11)=0),I50,0)+IF(AND(A65&gt;A51,A65&lt;=A51+'Summary'!$B$10*12,MOD(A65-A51,'Summary'!$B$11)=0),I51,0)+IF(AND(A65&gt;A52,A65&lt;=A52+'Summary'!$B$10*12,MOD(A65-A52,'Summary'!$B$11)=0),I52,0)+IF(AND(A65&gt;A53,A65&lt;=A53+'Summary'!$B$10*12,MOD(A65-A53,'Summary'!$B$11)=0),I53,0)+IF(AND(A65&gt;A54,A65&lt;=A54+'Summary'!$B$10*12,MOD(A65-A54,'Summary'!$B$11)=0),I54,0)+IF(AND(A65&gt;A55,A65&lt;=A55+'Summary'!$B$10*12,MOD(A65-A55,'Summary'!$B$11)=0),I55,0)+IF(AND(A65&gt;A56,A65&lt;=A56+'Summary'!$B$10*12,MOD(A65-A56,'Summary'!$B$11)=0),I56,0)+IF(AND(A65&gt;A57,A65&lt;=A57+'Summary'!$B$10*12,MOD(A65-A57,'Summary'!$B$11)=0),I57,0)+IF(AND(A65&gt;A58,A65&lt;=A58+'Summary'!$B$10*12,MOD(A65-A58,'Summary'!$B$11)=0),I58,0)+IF(AND(A65&gt;A59,A65&lt;=A59+'Summary'!$B$10*12,MOD(A65-A59,'Summary'!$B$11)=0),I59,0)+IF(AND(A65&gt;A60,A65&lt;=A60+'Summary'!$B$10*12,MOD(A65-A60,'Summary'!$B$11)=0),I60,0)+IF(AND(A65&gt;A61,A65&lt;=A61+'Summary'!$B$10*12,MOD(A65-A61,'Summary'!$B$11)=0),I61,0)+IF(AND(A65&gt;A62,A65&lt;=A62+'Summary'!$B$10*12,MOD(A65-A62,'Summary'!$B$11)=0),I62,0)+IF(AND(A65&gt;A63,A65&lt;=A63+'Summary'!$B$10*12,MOD(A65-A63,'Summary'!$B$11)=0),I63,0)+IF(AND(A65&gt;A64,A65&lt;=A64+'Summary'!$B$10*12,MOD(A65-A64,'Summary'!$B$11)=0),I64,0))*'Summary'!$B$8/2</x:f>
        <x:v>18.041045264014688</x:v>
      </x:c>
      <x:c r="G65" s="62" t="n">
        <x:f>IF(A65=A8+'Summary'!$B$10*12,I8,0)+IF(A65=A9+'Summary'!$B$10*12,I9,0)+IF(A65=A10+'Summary'!$B$10*12,I10,0)+IF(A65=A11+'Summary'!$B$10*12,I11,0)+IF(A65=A12+'Summary'!$B$10*12,I12,0)+IF(A65=A13+'Summary'!$B$10*12,I13,0)+IF(A65=A14+'Summary'!$B$10*12,I14,0)+IF(A65=A15+'Summary'!$B$10*12,I15,0)+IF(A65=A16+'Summary'!$B$10*12,I16,0)+IF(A65=A17+'Summary'!$B$10*12,I17,0)+IF(A65=A18+'Summary'!$B$10*12,I18,0)+IF(A65=A19+'Summary'!$B$10*12,I19,0)+IF(A65=A20+'Summary'!$B$10*12,I20,0)+IF(A65=A21+'Summary'!$B$10*12,I21,0)+IF(A65=A22+'Summary'!$B$10*12,I22,0)+IF(A65=A23+'Summary'!$B$10*12,I23,0)+IF(A65=A24+'Summary'!$B$10*12,I24,0)+IF(A65=A25+'Summary'!$B$10*12,I25,0)+IF(A65=A26+'Summary'!$B$10*12,I26,0)+IF(A65=A27+'Summary'!$B$10*12,I27,0)+IF(A65=A28+'Summary'!$B$10*12,I28,0)+IF(A65=A29+'Summary'!$B$10*12,I29,0)+IF(A65=A30+'Summary'!$B$10*12,I30,0)+IF(A65=A31+'Summary'!$B$10*12,I31,0)+IF(A65=A32+'Summary'!$B$10*12,I32,0)+IF(A65=A33+'Summary'!$B$10*12,I33,0)+IF(A65=A34+'Summary'!$B$10*12,I34,0)+IF(A65=A35+'Summary'!$B$10*12,I35,0)+IF(A65=A36+'Summary'!$B$10*12,I36,0)+IF(A65=A37+'Summary'!$B$10*12,I37,0)+IF(A65=A38+'Summary'!$B$10*12,I38,0)+IF(A65=A39+'Summary'!$B$10*12,I39,0)+IF(A65=A40+'Summary'!$B$10*12,I40,0)+IF(A65=A41+'Summary'!$B$10*12,I41,0)+IF(A65=A42+'Summary'!$B$10*12,I42,0)+IF(A65=A43+'Summary'!$B$10*12,I43,0)+IF(A65=A44+'Summary'!$B$10*12,I44,0)+IF(A65=A45+'Summary'!$B$10*12,I45,0)+IF(A65=A46+'Summary'!$B$10*12,I46,0)+IF(A65=A47+'Summary'!$B$10*12,I47,0)+IF(A65=A48+'Summary'!$B$10*12,I48,0)+IF(A65=A49+'Summary'!$B$10*12,I49,0)+IF(A65=A50+'Summary'!$B$10*12,I50,0)+IF(A65=A51+'Summary'!$B$10*12,I51,0)+IF(A65=A52+'Summary'!$B$10*12,I52,0)+IF(A65=A53+'Summary'!$B$10*12,I53,0)+IF(A65=A54+'Summary'!$B$10*12,I54,0)+IF(A65=A55+'Summary'!$B$10*12,I55,0)+IF(A65=A56+'Summary'!$B$10*12,I56,0)+IF(A65=A57+'Summary'!$B$10*12,I57,0)+IF(A65=A58+'Summary'!$B$10*12,I58,0)+IF(A65=A59+'Summary'!$B$10*12,I59,0)+IF(A65=A60+'Summary'!$B$10*12,I60,0)+IF(A65=A61+'Summary'!$B$10*12,I61,0)+IF(A65=A62+'Summary'!$B$10*12,I62,0)+IF(A65=A63+'Summary'!$B$10*12,I63,0)+IF(A65=A64+'Summary'!$B$10*12,I64,0)</x:f>
        <x:v>0</x:v>
      </x:c>
      <x:c r="H65" s="62" t="n">
        <x:f>E65+D65+F65+G65</x:f>
        <x:v>118.04104526401468</x:v>
      </x:c>
      <x:c r="I65" s="62" t="n">
        <x:f>IF(B65,IF(H65&gt;='Summary'!$B$12,H65,0),0)</x:f>
        <x:v>118.04104526401468</x:v>
      </x:c>
      <x:c r="J65" s="62" t="n">
        <x:f>H65-I65</x:f>
        <x:v>0</x:v>
      </x:c>
      <x:c r="K65" s="63" t="n">
        <x:f>J65+IF(A8+'Summary'!$B$10*12&gt;A65,I8,0)+IF(A9+'Summary'!$B$10*12&gt;A65,I9,0)+IF(A10+'Summary'!$B$10*12&gt;A65,I10,0)+IF(A11+'Summary'!$B$10*12&gt;A65,I11,0)+IF(A12+'Summary'!$B$10*12&gt;A65,I12,0)+IF(A13+'Summary'!$B$10*12&gt;A65,I13,0)+IF(A14+'Summary'!$B$10*12&gt;A65,I14,0)+IF(A15+'Summary'!$B$10*12&gt;A65,I15,0)+IF(A16+'Summary'!$B$10*12&gt;A65,I16,0)+IF(A17+'Summary'!$B$10*12&gt;A65,I17,0)+IF(A18+'Summary'!$B$10*12&gt;A65,I18,0)+IF(A19+'Summary'!$B$10*12&gt;A65,I19,0)+IF(A20+'Summary'!$B$10*12&gt;A65,I20,0)+IF(A21+'Summary'!$B$10*12&gt;A65,I21,0)+IF(A22+'Summary'!$B$10*12&gt;A65,I22,0)+IF(A23+'Summary'!$B$10*12&gt;A65,I23,0)+IF(A24+'Summary'!$B$10*12&gt;A65,I24,0)+IF(A25+'Summary'!$B$10*12&gt;A65,I25,0)+IF(A26+'Summary'!$B$10*12&gt;A65,I26,0)+IF(A27+'Summary'!$B$10*12&gt;A65,I27,0)+IF(A28+'Summary'!$B$10*12&gt;A65,I28,0)+IF(A29+'Summary'!$B$10*12&gt;A65,I29,0)+IF(A30+'Summary'!$B$10*12&gt;A65,I30,0)+IF(A31+'Summary'!$B$10*12&gt;A65,I31,0)+IF(A32+'Summary'!$B$10*12&gt;A65,I32,0)+IF(A33+'Summary'!$B$10*12&gt;A65,I33,0)+IF(A34+'Summary'!$B$10*12&gt;A65,I34,0)+IF(A35+'Summary'!$B$10*12&gt;A65,I35,0)+IF(A36+'Summary'!$B$10*12&gt;A65,I36,0)+IF(A37+'Summary'!$B$10*12&gt;A65,I37,0)+IF(A38+'Summary'!$B$10*12&gt;A65,I38,0)+IF(A39+'Summary'!$B$10*12&gt;A65,I39,0)+IF(A40+'Summary'!$B$10*12&gt;A65,I40,0)+IF(A41+'Summary'!$B$10*12&gt;A65,I41,0)+IF(A42+'Summary'!$B$10*12&gt;A65,I42,0)+IF(A43+'Summary'!$B$10*12&gt;A65,I43,0)+IF(A44+'Summary'!$B$10*12&gt;A65,I44,0)+IF(A45+'Summary'!$B$10*12&gt;A65,I45,0)+IF(A46+'Summary'!$B$10*12&gt;A65,I46,0)+IF(A47+'Summary'!$B$10*12&gt;A65,I47,0)+IF(A48+'Summary'!$B$10*12&gt;A65,I48,0)+IF(A49+'Summary'!$B$10*12&gt;A65,I49,0)+IF(A50+'Summary'!$B$10*12&gt;A65,I50,0)+IF(A51+'Summary'!$B$10*12&gt;A65,I51,0)+IF(A52+'Summary'!$B$10*12&gt;A65,I52,0)+IF(A53+'Summary'!$B$10*12&gt;A65,I53,0)+IF(A54+'Summary'!$B$10*12&gt;A65,I54,0)+IF(A55+'Summary'!$B$10*12&gt;A65,I55,0)+IF(A56+'Summary'!$B$10*12&gt;A65,I56,0)+IF(A57+'Summary'!$B$10*12&gt;A65,I57,0)+IF(A58+'Summary'!$B$10*12&gt;A65,I58,0)+IF(A59+'Summary'!$B$10*12&gt;A65,I59,0)+IF(A60+'Summary'!$B$10*12&gt;A65,I60,0)+IF(A61+'Summary'!$B$10*12&gt;A65,I61,0)+IF(A62+'Summary'!$B$10*12&gt;A65,I62,0)+IF(A63+'Summary'!$B$10*12&gt;A65,I63,0)+IF(A64+'Summary'!$B$10*12&gt;A65,I64,0)+IF(A65+'Summary'!$B$10*12&gt;A65,I65,0)</x:f>
        <x:v>18095.960728107428</x:v>
      </x:c>
    </x:row>
    <x:row r="66">
      <x:c r="A66" s="55" t="n">
        <x:v>58</x:v>
      </x:c>
      <x:c r="B66" s="71" t="b">
        <x:f>A66&lt;='Summary'!$B$9*12</x:f>
        <x:v>1</x:v>
      </x:c>
      <x:c r="C66" s="62" t="n">
        <x:f>IF(A66=0,IF('Summary'!$B$6&gt;=5,'Summary'!$B$6,0),C65)+IF(A66&lt;'Summary'!$B$9*12,IF('Summary'!$B$7&gt;=5,'Summary'!$B$7,0),0)</x:f>
        <x:v>15900</x:v>
      </x:c>
      <x:c r="D66" s="62" t="n">
        <x:f>IF(A66=0,IF('Summary'!$B$6&gt;=5,'Summary'!$B$6,0),0)+IF(A66&lt;'Summary'!$B$9*12,IF('Summary'!$B$7&gt;=5,'Summary'!$B$7,0),0)</x:f>
        <x:v>100</x:v>
      </x:c>
      <x:c r="E66" s="62" t="n">
        <x:f>J65</x:f>
        <x:v>0</x:v>
      </x:c>
      <x:c r="F66" s="62" t="n">
        <x:f>(IF(AND(A66&gt;A8,A66&lt;=A8+'Summary'!$B$10*12,MOD(A66-A8,'Summary'!$B$11)=0),I8,0)+IF(AND(A66&gt;A9,A66&lt;=A9+'Summary'!$B$10*12,MOD(A66-A9,'Summary'!$B$11)=0),I9,0)+IF(AND(A66&gt;A10,A66&lt;=A10+'Summary'!$B$10*12,MOD(A66-A10,'Summary'!$B$11)=0),I10,0)+IF(AND(A66&gt;A11,A66&lt;=A11+'Summary'!$B$10*12,MOD(A66-A11,'Summary'!$B$11)=0),I11,0)+IF(AND(A66&gt;A12,A66&lt;=A12+'Summary'!$B$10*12,MOD(A66-A12,'Summary'!$B$11)=0),I12,0)+IF(AND(A66&gt;A13,A66&lt;=A13+'Summary'!$B$10*12,MOD(A66-A13,'Summary'!$B$11)=0),I13,0)+IF(AND(A66&gt;A14,A66&lt;=A14+'Summary'!$B$10*12,MOD(A66-A14,'Summary'!$B$11)=0),I14,0)+IF(AND(A66&gt;A15,A66&lt;=A15+'Summary'!$B$10*12,MOD(A66-A15,'Summary'!$B$11)=0),I15,0)+IF(AND(A66&gt;A16,A66&lt;=A16+'Summary'!$B$10*12,MOD(A66-A16,'Summary'!$B$11)=0),I16,0)+IF(AND(A66&gt;A17,A66&lt;=A17+'Summary'!$B$10*12,MOD(A66-A17,'Summary'!$B$11)=0),I17,0)+IF(AND(A66&gt;A18,A66&lt;=A18+'Summary'!$B$10*12,MOD(A66-A18,'Summary'!$B$11)=0),I18,0)+IF(AND(A66&gt;A19,A66&lt;=A19+'Summary'!$B$10*12,MOD(A66-A19,'Summary'!$B$11)=0),I19,0)+IF(AND(A66&gt;A20,A66&lt;=A20+'Summary'!$B$10*12,MOD(A66-A20,'Summary'!$B$11)=0),I20,0)+IF(AND(A66&gt;A21,A66&lt;=A21+'Summary'!$B$10*12,MOD(A66-A21,'Summary'!$B$11)=0),I21,0)+IF(AND(A66&gt;A22,A66&lt;=A22+'Summary'!$B$10*12,MOD(A66-A22,'Summary'!$B$11)=0),I22,0)+IF(AND(A66&gt;A23,A66&lt;=A23+'Summary'!$B$10*12,MOD(A66-A23,'Summary'!$B$11)=0),I23,0)+IF(AND(A66&gt;A24,A66&lt;=A24+'Summary'!$B$10*12,MOD(A66-A24,'Summary'!$B$11)=0),I24,0)+IF(AND(A66&gt;A25,A66&lt;=A25+'Summary'!$B$10*12,MOD(A66-A25,'Summary'!$B$11)=0),I25,0)+IF(AND(A66&gt;A26,A66&lt;=A26+'Summary'!$B$10*12,MOD(A66-A26,'Summary'!$B$11)=0),I26,0)+IF(AND(A66&gt;A27,A66&lt;=A27+'Summary'!$B$10*12,MOD(A66-A27,'Summary'!$B$11)=0),I27,0)+IF(AND(A66&gt;A28,A66&lt;=A28+'Summary'!$B$10*12,MOD(A66-A28,'Summary'!$B$11)=0),I28,0)+IF(AND(A66&gt;A29,A66&lt;=A29+'Summary'!$B$10*12,MOD(A66-A29,'Summary'!$B$11)=0),I29,0)+IF(AND(A66&gt;A30,A66&lt;=A30+'Summary'!$B$10*12,MOD(A66-A30,'Summary'!$B$11)=0),I30,0)+IF(AND(A66&gt;A31,A66&lt;=A31+'Summary'!$B$10*12,MOD(A66-A31,'Summary'!$B$11)=0),I31,0)+IF(AND(A66&gt;A32,A66&lt;=A32+'Summary'!$B$10*12,MOD(A66-A32,'Summary'!$B$11)=0),I32,0)+IF(AND(A66&gt;A33,A66&lt;=A33+'Summary'!$B$10*12,MOD(A66-A33,'Summary'!$B$11)=0),I33,0)+IF(AND(A66&gt;A34,A66&lt;=A34+'Summary'!$B$10*12,MOD(A66-A34,'Summary'!$B$11)=0),I34,0)+IF(AND(A66&gt;A35,A66&lt;=A35+'Summary'!$B$10*12,MOD(A66-A35,'Summary'!$B$11)=0),I35,0)+IF(AND(A66&gt;A36,A66&lt;=A36+'Summary'!$B$10*12,MOD(A66-A36,'Summary'!$B$11)=0),I36,0)+IF(AND(A66&gt;A37,A66&lt;=A37+'Summary'!$B$10*12,MOD(A66-A37,'Summary'!$B$11)=0),I37,0)+IF(AND(A66&gt;A38,A66&lt;=A38+'Summary'!$B$10*12,MOD(A66-A38,'Summary'!$B$11)=0),I38,0)+IF(AND(A66&gt;A39,A66&lt;=A39+'Summary'!$B$10*12,MOD(A66-A39,'Summary'!$B$11)=0),I39,0)+IF(AND(A66&gt;A40,A66&lt;=A40+'Summary'!$B$10*12,MOD(A66-A40,'Summary'!$B$11)=0),I40,0)+IF(AND(A66&gt;A41,A66&lt;=A41+'Summary'!$B$10*12,MOD(A66-A41,'Summary'!$B$11)=0),I41,0)+IF(AND(A66&gt;A42,A66&lt;=A42+'Summary'!$B$10*12,MOD(A66-A42,'Summary'!$B$11)=0),I42,0)+IF(AND(A66&gt;A43,A66&lt;=A43+'Summary'!$B$10*12,MOD(A66-A43,'Summary'!$B$11)=0),I43,0)+IF(AND(A66&gt;A44,A66&lt;=A44+'Summary'!$B$10*12,MOD(A66-A44,'Summary'!$B$11)=0),I44,0)+IF(AND(A66&gt;A45,A66&lt;=A45+'Summary'!$B$10*12,MOD(A66-A45,'Summary'!$B$11)=0),I45,0)+IF(AND(A66&gt;A46,A66&lt;=A46+'Summary'!$B$10*12,MOD(A66-A46,'Summary'!$B$11)=0),I46,0)+IF(AND(A66&gt;A47,A66&lt;=A47+'Summary'!$B$10*12,MOD(A66-A47,'Summary'!$B$11)=0),I47,0)+IF(AND(A66&gt;A48,A66&lt;=A48+'Summary'!$B$10*12,MOD(A66-A48,'Summary'!$B$11)=0),I48,0)+IF(AND(A66&gt;A49,A66&lt;=A49+'Summary'!$B$10*12,MOD(A66-A49,'Summary'!$B$11)=0),I49,0)+IF(AND(A66&gt;A50,A66&lt;=A50+'Summary'!$B$10*12,MOD(A66-A50,'Summary'!$B$11)=0),I50,0)+IF(AND(A66&gt;A51,A66&lt;=A51+'Summary'!$B$10*12,MOD(A66-A51,'Summary'!$B$11)=0),I51,0)+IF(AND(A66&gt;A52,A66&lt;=A52+'Summary'!$B$10*12,MOD(A66-A52,'Summary'!$B$11)=0),I52,0)+IF(AND(A66&gt;A53,A66&lt;=A53+'Summary'!$B$10*12,MOD(A66-A53,'Summary'!$B$11)=0),I53,0)+IF(AND(A66&gt;A54,A66&lt;=A54+'Summary'!$B$10*12,MOD(A66-A54,'Summary'!$B$11)=0),I54,0)+IF(AND(A66&gt;A55,A66&lt;=A55+'Summary'!$B$10*12,MOD(A66-A55,'Summary'!$B$11)=0),I55,0)+IF(AND(A66&gt;A56,A66&lt;=A56+'Summary'!$B$10*12,MOD(A66-A56,'Summary'!$B$11)=0),I56,0)+IF(AND(A66&gt;A57,A66&lt;=A57+'Summary'!$B$10*12,MOD(A66-A57,'Summary'!$B$11)=0),I57,0)+IF(AND(A66&gt;A58,A66&lt;=A58+'Summary'!$B$10*12,MOD(A66-A58,'Summary'!$B$11)=0),I58,0)+IF(AND(A66&gt;A59,A66&lt;=A59+'Summary'!$B$10*12,MOD(A66-A59,'Summary'!$B$11)=0),I59,0)+IF(AND(A66&gt;A60,A66&lt;=A60+'Summary'!$B$10*12,MOD(A66-A60,'Summary'!$B$11)=0),I60,0)+IF(AND(A66&gt;A61,A66&lt;=A61+'Summary'!$B$10*12,MOD(A66-A61,'Summary'!$B$11)=0),I61,0)+IF(AND(A66&gt;A62,A66&lt;=A62+'Summary'!$B$10*12,MOD(A66-A62,'Summary'!$B$11)=0),I62,0)+IF(AND(A66&gt;A63,A66&lt;=A63+'Summary'!$B$10*12,MOD(A66-A63,'Summary'!$B$11)=0),I63,0)+IF(AND(A66&gt;A64,A66&lt;=A64+'Summary'!$B$10*12,MOD(A66-A64,'Summary'!$B$11)=0),I64,0)+IF(AND(A66&gt;A65,A66&lt;=A65+'Summary'!$B$10*12,MOD(A66-A65,'Summary'!$B$11)=0),I65,0))*'Summary'!$B$8/2</x:f>
        <x:v>18.041045264014688</x:v>
      </x:c>
      <x:c r="G66" s="62" t="n">
        <x:f>IF(A66=A8+'Summary'!$B$10*12,I8,0)+IF(A66=A9+'Summary'!$B$10*12,I9,0)+IF(A66=A10+'Summary'!$B$10*12,I10,0)+IF(A66=A11+'Summary'!$B$10*12,I11,0)+IF(A66=A12+'Summary'!$B$10*12,I12,0)+IF(A66=A13+'Summary'!$B$10*12,I13,0)+IF(A66=A14+'Summary'!$B$10*12,I14,0)+IF(A66=A15+'Summary'!$B$10*12,I15,0)+IF(A66=A16+'Summary'!$B$10*12,I16,0)+IF(A66=A17+'Summary'!$B$10*12,I17,0)+IF(A66=A18+'Summary'!$B$10*12,I18,0)+IF(A66=A19+'Summary'!$B$10*12,I19,0)+IF(A66=A20+'Summary'!$B$10*12,I20,0)+IF(A66=A21+'Summary'!$B$10*12,I21,0)+IF(A66=A22+'Summary'!$B$10*12,I22,0)+IF(A66=A23+'Summary'!$B$10*12,I23,0)+IF(A66=A24+'Summary'!$B$10*12,I24,0)+IF(A66=A25+'Summary'!$B$10*12,I25,0)+IF(A66=A26+'Summary'!$B$10*12,I26,0)+IF(A66=A27+'Summary'!$B$10*12,I27,0)+IF(A66=A28+'Summary'!$B$10*12,I28,0)+IF(A66=A29+'Summary'!$B$10*12,I29,0)+IF(A66=A30+'Summary'!$B$10*12,I30,0)+IF(A66=A31+'Summary'!$B$10*12,I31,0)+IF(A66=A32+'Summary'!$B$10*12,I32,0)+IF(A66=A33+'Summary'!$B$10*12,I33,0)+IF(A66=A34+'Summary'!$B$10*12,I34,0)+IF(A66=A35+'Summary'!$B$10*12,I35,0)+IF(A66=A36+'Summary'!$B$10*12,I36,0)+IF(A66=A37+'Summary'!$B$10*12,I37,0)+IF(A66=A38+'Summary'!$B$10*12,I38,0)+IF(A66=A39+'Summary'!$B$10*12,I39,0)+IF(A66=A40+'Summary'!$B$10*12,I40,0)+IF(A66=A41+'Summary'!$B$10*12,I41,0)+IF(A66=A42+'Summary'!$B$10*12,I42,0)+IF(A66=A43+'Summary'!$B$10*12,I43,0)+IF(A66=A44+'Summary'!$B$10*12,I44,0)+IF(A66=A45+'Summary'!$B$10*12,I45,0)+IF(A66=A46+'Summary'!$B$10*12,I46,0)+IF(A66=A47+'Summary'!$B$10*12,I47,0)+IF(A66=A48+'Summary'!$B$10*12,I48,0)+IF(A66=A49+'Summary'!$B$10*12,I49,0)+IF(A66=A50+'Summary'!$B$10*12,I50,0)+IF(A66=A51+'Summary'!$B$10*12,I51,0)+IF(A66=A52+'Summary'!$B$10*12,I52,0)+IF(A66=A53+'Summary'!$B$10*12,I53,0)+IF(A66=A54+'Summary'!$B$10*12,I54,0)+IF(A66=A55+'Summary'!$B$10*12,I55,0)+IF(A66=A56+'Summary'!$B$10*12,I56,0)+IF(A66=A57+'Summary'!$B$10*12,I57,0)+IF(A66=A58+'Summary'!$B$10*12,I58,0)+IF(A66=A59+'Summary'!$B$10*12,I59,0)+IF(A66=A60+'Summary'!$B$10*12,I60,0)+IF(A66=A61+'Summary'!$B$10*12,I61,0)+IF(A66=A62+'Summary'!$B$10*12,I62,0)+IF(A66=A63+'Summary'!$B$10*12,I63,0)+IF(A66=A64+'Summary'!$B$10*12,I64,0)+IF(A66=A65+'Summary'!$B$10*12,I65,0)</x:f>
        <x:v>0</x:v>
      </x:c>
      <x:c r="H66" s="62" t="n">
        <x:f>E66+D66+F66+G66</x:f>
        <x:v>118.04104526401468</x:v>
      </x:c>
      <x:c r="I66" s="62" t="n">
        <x:f>IF(B66,IF(H66&gt;='Summary'!$B$12,H66,0),0)</x:f>
        <x:v>118.04104526401468</x:v>
      </x:c>
      <x:c r="J66" s="62" t="n">
        <x:f>H66-I66</x:f>
        <x:v>0</x:v>
      </x:c>
      <x:c r="K66" s="63" t="n">
        <x:f>J66+IF(A8+'Summary'!$B$10*12&gt;A66,I8,0)+IF(A9+'Summary'!$B$10*12&gt;A66,I9,0)+IF(A10+'Summary'!$B$10*12&gt;A66,I10,0)+IF(A11+'Summary'!$B$10*12&gt;A66,I11,0)+IF(A12+'Summary'!$B$10*12&gt;A66,I12,0)+IF(A13+'Summary'!$B$10*12&gt;A66,I13,0)+IF(A14+'Summary'!$B$10*12&gt;A66,I14,0)+IF(A15+'Summary'!$B$10*12&gt;A66,I15,0)+IF(A16+'Summary'!$B$10*12&gt;A66,I16,0)+IF(A17+'Summary'!$B$10*12&gt;A66,I17,0)+IF(A18+'Summary'!$B$10*12&gt;A66,I18,0)+IF(A19+'Summary'!$B$10*12&gt;A66,I19,0)+IF(A20+'Summary'!$B$10*12&gt;A66,I20,0)+IF(A21+'Summary'!$B$10*12&gt;A66,I21,0)+IF(A22+'Summary'!$B$10*12&gt;A66,I22,0)+IF(A23+'Summary'!$B$10*12&gt;A66,I23,0)+IF(A24+'Summary'!$B$10*12&gt;A66,I24,0)+IF(A25+'Summary'!$B$10*12&gt;A66,I25,0)+IF(A26+'Summary'!$B$10*12&gt;A66,I26,0)+IF(A27+'Summary'!$B$10*12&gt;A66,I27,0)+IF(A28+'Summary'!$B$10*12&gt;A66,I28,0)+IF(A29+'Summary'!$B$10*12&gt;A66,I29,0)+IF(A30+'Summary'!$B$10*12&gt;A66,I30,0)+IF(A31+'Summary'!$B$10*12&gt;A66,I31,0)+IF(A32+'Summary'!$B$10*12&gt;A66,I32,0)+IF(A33+'Summary'!$B$10*12&gt;A66,I33,0)+IF(A34+'Summary'!$B$10*12&gt;A66,I34,0)+IF(A35+'Summary'!$B$10*12&gt;A66,I35,0)+IF(A36+'Summary'!$B$10*12&gt;A66,I36,0)+IF(A37+'Summary'!$B$10*12&gt;A66,I37,0)+IF(A38+'Summary'!$B$10*12&gt;A66,I38,0)+IF(A39+'Summary'!$B$10*12&gt;A66,I39,0)+IF(A40+'Summary'!$B$10*12&gt;A66,I40,0)+IF(A41+'Summary'!$B$10*12&gt;A66,I41,0)+IF(A42+'Summary'!$B$10*12&gt;A66,I42,0)+IF(A43+'Summary'!$B$10*12&gt;A66,I43,0)+IF(A44+'Summary'!$B$10*12&gt;A66,I44,0)+IF(A45+'Summary'!$B$10*12&gt;A66,I45,0)+IF(A46+'Summary'!$B$10*12&gt;A66,I46,0)+IF(A47+'Summary'!$B$10*12&gt;A66,I47,0)+IF(A48+'Summary'!$B$10*12&gt;A66,I48,0)+IF(A49+'Summary'!$B$10*12&gt;A66,I49,0)+IF(A50+'Summary'!$B$10*12&gt;A66,I50,0)+IF(A51+'Summary'!$B$10*12&gt;A66,I51,0)+IF(A52+'Summary'!$B$10*12&gt;A66,I52,0)+IF(A53+'Summary'!$B$10*12&gt;A66,I53,0)+IF(A54+'Summary'!$B$10*12&gt;A66,I54,0)+IF(A55+'Summary'!$B$10*12&gt;A66,I55,0)+IF(A56+'Summary'!$B$10*12&gt;A66,I56,0)+IF(A57+'Summary'!$B$10*12&gt;A66,I57,0)+IF(A58+'Summary'!$B$10*12&gt;A66,I58,0)+IF(A59+'Summary'!$B$10*12&gt;A66,I59,0)+IF(A60+'Summary'!$B$10*12&gt;A66,I60,0)+IF(A61+'Summary'!$B$10*12&gt;A66,I61,0)+IF(A62+'Summary'!$B$10*12&gt;A66,I62,0)+IF(A63+'Summary'!$B$10*12&gt;A66,I63,0)+IF(A64+'Summary'!$B$10*12&gt;A66,I64,0)+IF(A65+'Summary'!$B$10*12&gt;A66,I65,0)+IF(A66+'Summary'!$B$10*12&gt;A66,I66,0)</x:f>
        <x:v>18214.00177337144</x:v>
      </x:c>
    </x:row>
    <x:row r="67">
      <x:c r="A67" s="55" t="n">
        <x:v>59</x:v>
      </x:c>
      <x:c r="B67" s="71" t="b">
        <x:f>A67&lt;='Summary'!$B$9*12</x:f>
        <x:v>1</x:v>
      </x:c>
      <x:c r="C67" s="62" t="n">
        <x:f>IF(A67=0,IF('Summary'!$B$6&gt;=5,'Summary'!$B$6,0),C66)+IF(A67&lt;'Summary'!$B$9*12,IF('Summary'!$B$7&gt;=5,'Summary'!$B$7,0),0)</x:f>
        <x:v>16000</x:v>
      </x:c>
      <x:c r="D67" s="62" t="n">
        <x:f>IF(A67=0,IF('Summary'!$B$6&gt;=5,'Summary'!$B$6,0),0)+IF(A67&lt;'Summary'!$B$9*12,IF('Summary'!$B$7&gt;=5,'Summary'!$B$7,0),0)</x:f>
        <x:v>100</x:v>
      </x:c>
      <x:c r="E67" s="62" t="n">
        <x:f>J66</x:f>
        <x:v>0</x:v>
      </x:c>
      <x:c r="F67" s="62" t="n">
        <x:f>(IF(AND(A67&gt;A8,A67&lt;=A8+'Summary'!$B$10*12,MOD(A67-A8,'Summary'!$B$11)=0),I8,0)+IF(AND(A67&gt;A9,A67&lt;=A9+'Summary'!$B$10*12,MOD(A67-A9,'Summary'!$B$11)=0),I9,0)+IF(AND(A67&gt;A10,A67&lt;=A10+'Summary'!$B$10*12,MOD(A67-A10,'Summary'!$B$11)=0),I10,0)+IF(AND(A67&gt;A11,A67&lt;=A11+'Summary'!$B$10*12,MOD(A67-A11,'Summary'!$B$11)=0),I11,0)+IF(AND(A67&gt;A12,A67&lt;=A12+'Summary'!$B$10*12,MOD(A67-A12,'Summary'!$B$11)=0),I12,0)+IF(AND(A67&gt;A13,A67&lt;=A13+'Summary'!$B$10*12,MOD(A67-A13,'Summary'!$B$11)=0),I13,0)+IF(AND(A67&gt;A14,A67&lt;=A14+'Summary'!$B$10*12,MOD(A67-A14,'Summary'!$B$11)=0),I14,0)+IF(AND(A67&gt;A15,A67&lt;=A15+'Summary'!$B$10*12,MOD(A67-A15,'Summary'!$B$11)=0),I15,0)+IF(AND(A67&gt;A16,A67&lt;=A16+'Summary'!$B$10*12,MOD(A67-A16,'Summary'!$B$11)=0),I16,0)+IF(AND(A67&gt;A17,A67&lt;=A17+'Summary'!$B$10*12,MOD(A67-A17,'Summary'!$B$11)=0),I17,0)+IF(AND(A67&gt;A18,A67&lt;=A18+'Summary'!$B$10*12,MOD(A67-A18,'Summary'!$B$11)=0),I18,0)+IF(AND(A67&gt;A19,A67&lt;=A19+'Summary'!$B$10*12,MOD(A67-A19,'Summary'!$B$11)=0),I19,0)+IF(AND(A67&gt;A20,A67&lt;=A20+'Summary'!$B$10*12,MOD(A67-A20,'Summary'!$B$11)=0),I20,0)+IF(AND(A67&gt;A21,A67&lt;=A21+'Summary'!$B$10*12,MOD(A67-A21,'Summary'!$B$11)=0),I21,0)+IF(AND(A67&gt;A22,A67&lt;=A22+'Summary'!$B$10*12,MOD(A67-A22,'Summary'!$B$11)=0),I22,0)+IF(AND(A67&gt;A23,A67&lt;=A23+'Summary'!$B$10*12,MOD(A67-A23,'Summary'!$B$11)=0),I23,0)+IF(AND(A67&gt;A24,A67&lt;=A24+'Summary'!$B$10*12,MOD(A67-A24,'Summary'!$B$11)=0),I24,0)+IF(AND(A67&gt;A25,A67&lt;=A25+'Summary'!$B$10*12,MOD(A67-A25,'Summary'!$B$11)=0),I25,0)+IF(AND(A67&gt;A26,A67&lt;=A26+'Summary'!$B$10*12,MOD(A67-A26,'Summary'!$B$11)=0),I26,0)+IF(AND(A67&gt;A27,A67&lt;=A27+'Summary'!$B$10*12,MOD(A67-A27,'Summary'!$B$11)=0),I27,0)+IF(AND(A67&gt;A28,A67&lt;=A28+'Summary'!$B$10*12,MOD(A67-A28,'Summary'!$B$11)=0),I28,0)+IF(AND(A67&gt;A29,A67&lt;=A29+'Summary'!$B$10*12,MOD(A67-A29,'Summary'!$B$11)=0),I29,0)+IF(AND(A67&gt;A30,A67&lt;=A30+'Summary'!$B$10*12,MOD(A67-A30,'Summary'!$B$11)=0),I30,0)+IF(AND(A67&gt;A31,A67&lt;=A31+'Summary'!$B$10*12,MOD(A67-A31,'Summary'!$B$11)=0),I31,0)+IF(AND(A67&gt;A32,A67&lt;=A32+'Summary'!$B$10*12,MOD(A67-A32,'Summary'!$B$11)=0),I32,0)+IF(AND(A67&gt;A33,A67&lt;=A33+'Summary'!$B$10*12,MOD(A67-A33,'Summary'!$B$11)=0),I33,0)+IF(AND(A67&gt;A34,A67&lt;=A34+'Summary'!$B$10*12,MOD(A67-A34,'Summary'!$B$11)=0),I34,0)+IF(AND(A67&gt;A35,A67&lt;=A35+'Summary'!$B$10*12,MOD(A67-A35,'Summary'!$B$11)=0),I35,0)+IF(AND(A67&gt;A36,A67&lt;=A36+'Summary'!$B$10*12,MOD(A67-A36,'Summary'!$B$11)=0),I36,0)+IF(AND(A67&gt;A37,A67&lt;=A37+'Summary'!$B$10*12,MOD(A67-A37,'Summary'!$B$11)=0),I37,0)+IF(AND(A67&gt;A38,A67&lt;=A38+'Summary'!$B$10*12,MOD(A67-A38,'Summary'!$B$11)=0),I38,0)+IF(AND(A67&gt;A39,A67&lt;=A39+'Summary'!$B$10*12,MOD(A67-A39,'Summary'!$B$11)=0),I39,0)+IF(AND(A67&gt;A40,A67&lt;=A40+'Summary'!$B$10*12,MOD(A67-A40,'Summary'!$B$11)=0),I40,0)+IF(AND(A67&gt;A41,A67&lt;=A41+'Summary'!$B$10*12,MOD(A67-A41,'Summary'!$B$11)=0),I41,0)+IF(AND(A67&gt;A42,A67&lt;=A42+'Summary'!$B$10*12,MOD(A67-A42,'Summary'!$B$11)=0),I42,0)+IF(AND(A67&gt;A43,A67&lt;=A43+'Summary'!$B$10*12,MOD(A67-A43,'Summary'!$B$11)=0),I43,0)+IF(AND(A67&gt;A44,A67&lt;=A44+'Summary'!$B$10*12,MOD(A67-A44,'Summary'!$B$11)=0),I44,0)+IF(AND(A67&gt;A45,A67&lt;=A45+'Summary'!$B$10*12,MOD(A67-A45,'Summary'!$B$11)=0),I45,0)+IF(AND(A67&gt;A46,A67&lt;=A46+'Summary'!$B$10*12,MOD(A67-A46,'Summary'!$B$11)=0),I46,0)+IF(AND(A67&gt;A47,A67&lt;=A47+'Summary'!$B$10*12,MOD(A67-A47,'Summary'!$B$11)=0),I47,0)+IF(AND(A67&gt;A48,A67&lt;=A48+'Summary'!$B$10*12,MOD(A67-A48,'Summary'!$B$11)=0),I48,0)+IF(AND(A67&gt;A49,A67&lt;=A49+'Summary'!$B$10*12,MOD(A67-A49,'Summary'!$B$11)=0),I49,0)+IF(AND(A67&gt;A50,A67&lt;=A50+'Summary'!$B$10*12,MOD(A67-A50,'Summary'!$B$11)=0),I50,0)+IF(AND(A67&gt;A51,A67&lt;=A51+'Summary'!$B$10*12,MOD(A67-A51,'Summary'!$B$11)=0),I51,0)+IF(AND(A67&gt;A52,A67&lt;=A52+'Summary'!$B$10*12,MOD(A67-A52,'Summary'!$B$11)=0),I52,0)+IF(AND(A67&gt;A53,A67&lt;=A53+'Summary'!$B$10*12,MOD(A67-A53,'Summary'!$B$11)=0),I53,0)+IF(AND(A67&gt;A54,A67&lt;=A54+'Summary'!$B$10*12,MOD(A67-A54,'Summary'!$B$11)=0),I54,0)+IF(AND(A67&gt;A55,A67&lt;=A55+'Summary'!$B$10*12,MOD(A67-A55,'Summary'!$B$11)=0),I55,0)+IF(AND(A67&gt;A56,A67&lt;=A56+'Summary'!$B$10*12,MOD(A67-A56,'Summary'!$B$11)=0),I56,0)+IF(AND(A67&gt;A57,A67&lt;=A57+'Summary'!$B$10*12,MOD(A67-A57,'Summary'!$B$11)=0),I57,0)+IF(AND(A67&gt;A58,A67&lt;=A58+'Summary'!$B$10*12,MOD(A67-A58,'Summary'!$B$11)=0),I58,0)+IF(AND(A67&gt;A59,A67&lt;=A59+'Summary'!$B$10*12,MOD(A67-A59,'Summary'!$B$11)=0),I59,0)+IF(AND(A67&gt;A60,A67&lt;=A60+'Summary'!$B$10*12,MOD(A67-A60,'Summary'!$B$11)=0),I60,0)+IF(AND(A67&gt;A61,A67&lt;=A61+'Summary'!$B$10*12,MOD(A67-A61,'Summary'!$B$11)=0),I61,0)+IF(AND(A67&gt;A62,A67&lt;=A62+'Summary'!$B$10*12,MOD(A67-A62,'Summary'!$B$11)=0),I62,0)+IF(AND(A67&gt;A63,A67&lt;=A63+'Summary'!$B$10*12,MOD(A67-A63,'Summary'!$B$11)=0),I63,0)+IF(AND(A67&gt;A64,A67&lt;=A64+'Summary'!$B$10*12,MOD(A67-A64,'Summary'!$B$11)=0),I64,0)+IF(AND(A67&gt;A65,A67&lt;=A65+'Summary'!$B$10*12,MOD(A67-A65,'Summary'!$B$11)=0),I65,0)+IF(AND(A67&gt;A66,A67&lt;=A66+'Summary'!$B$10*12,MOD(A67-A66,'Summary'!$B$11)=0),I66,0))*'Summary'!$B$8/2</x:f>
        <x:v>18.041045264014688</x:v>
      </x:c>
      <x:c r="G67" s="62" t="n">
        <x:f>IF(A67=A8+'Summary'!$B$10*12,I8,0)+IF(A67=A9+'Summary'!$B$10*12,I9,0)+IF(A67=A10+'Summary'!$B$10*12,I10,0)+IF(A67=A11+'Summary'!$B$10*12,I11,0)+IF(A67=A12+'Summary'!$B$10*12,I12,0)+IF(A67=A13+'Summary'!$B$10*12,I13,0)+IF(A67=A14+'Summary'!$B$10*12,I14,0)+IF(A67=A15+'Summary'!$B$10*12,I15,0)+IF(A67=A16+'Summary'!$B$10*12,I16,0)+IF(A67=A17+'Summary'!$B$10*12,I17,0)+IF(A67=A18+'Summary'!$B$10*12,I18,0)+IF(A67=A19+'Summary'!$B$10*12,I19,0)+IF(A67=A20+'Summary'!$B$10*12,I20,0)+IF(A67=A21+'Summary'!$B$10*12,I21,0)+IF(A67=A22+'Summary'!$B$10*12,I22,0)+IF(A67=A23+'Summary'!$B$10*12,I23,0)+IF(A67=A24+'Summary'!$B$10*12,I24,0)+IF(A67=A25+'Summary'!$B$10*12,I25,0)+IF(A67=A26+'Summary'!$B$10*12,I26,0)+IF(A67=A27+'Summary'!$B$10*12,I27,0)+IF(A67=A28+'Summary'!$B$10*12,I28,0)+IF(A67=A29+'Summary'!$B$10*12,I29,0)+IF(A67=A30+'Summary'!$B$10*12,I30,0)+IF(A67=A31+'Summary'!$B$10*12,I31,0)+IF(A67=A32+'Summary'!$B$10*12,I32,0)+IF(A67=A33+'Summary'!$B$10*12,I33,0)+IF(A67=A34+'Summary'!$B$10*12,I34,0)+IF(A67=A35+'Summary'!$B$10*12,I35,0)+IF(A67=A36+'Summary'!$B$10*12,I36,0)+IF(A67=A37+'Summary'!$B$10*12,I37,0)+IF(A67=A38+'Summary'!$B$10*12,I38,0)+IF(A67=A39+'Summary'!$B$10*12,I39,0)+IF(A67=A40+'Summary'!$B$10*12,I40,0)+IF(A67=A41+'Summary'!$B$10*12,I41,0)+IF(A67=A42+'Summary'!$B$10*12,I42,0)+IF(A67=A43+'Summary'!$B$10*12,I43,0)+IF(A67=A44+'Summary'!$B$10*12,I44,0)+IF(A67=A45+'Summary'!$B$10*12,I45,0)+IF(A67=A46+'Summary'!$B$10*12,I46,0)+IF(A67=A47+'Summary'!$B$10*12,I47,0)+IF(A67=A48+'Summary'!$B$10*12,I48,0)+IF(A67=A49+'Summary'!$B$10*12,I49,0)+IF(A67=A50+'Summary'!$B$10*12,I50,0)+IF(A67=A51+'Summary'!$B$10*12,I51,0)+IF(A67=A52+'Summary'!$B$10*12,I52,0)+IF(A67=A53+'Summary'!$B$10*12,I53,0)+IF(A67=A54+'Summary'!$B$10*12,I54,0)+IF(A67=A55+'Summary'!$B$10*12,I55,0)+IF(A67=A56+'Summary'!$B$10*12,I56,0)+IF(A67=A57+'Summary'!$B$10*12,I57,0)+IF(A67=A58+'Summary'!$B$10*12,I58,0)+IF(A67=A59+'Summary'!$B$10*12,I59,0)+IF(A67=A60+'Summary'!$B$10*12,I60,0)+IF(A67=A61+'Summary'!$B$10*12,I61,0)+IF(A67=A62+'Summary'!$B$10*12,I62,0)+IF(A67=A63+'Summary'!$B$10*12,I63,0)+IF(A67=A64+'Summary'!$B$10*12,I64,0)+IF(A67=A65+'Summary'!$B$10*12,I65,0)+IF(A67=A66+'Summary'!$B$10*12,I66,0)</x:f>
        <x:v>0</x:v>
      </x:c>
      <x:c r="H67" s="62" t="n">
        <x:f>E67+D67+F67+G67</x:f>
        <x:v>118.04104526401468</x:v>
      </x:c>
      <x:c r="I67" s="62" t="n">
        <x:f>IF(B67,IF(H67&gt;='Summary'!$B$12,H67,0),0)</x:f>
        <x:v>118.04104526401468</x:v>
      </x:c>
      <x:c r="J67" s="62" t="n">
        <x:f>H67-I67</x:f>
        <x:v>0</x:v>
      </x:c>
      <x:c r="K67" s="63" t="n">
        <x:f>J67+IF(A8+'Summary'!$B$10*12&gt;A67,I8,0)+IF(A9+'Summary'!$B$10*12&gt;A67,I9,0)+IF(A10+'Summary'!$B$10*12&gt;A67,I10,0)+IF(A11+'Summary'!$B$10*12&gt;A67,I11,0)+IF(A12+'Summary'!$B$10*12&gt;A67,I12,0)+IF(A13+'Summary'!$B$10*12&gt;A67,I13,0)+IF(A14+'Summary'!$B$10*12&gt;A67,I14,0)+IF(A15+'Summary'!$B$10*12&gt;A67,I15,0)+IF(A16+'Summary'!$B$10*12&gt;A67,I16,0)+IF(A17+'Summary'!$B$10*12&gt;A67,I17,0)+IF(A18+'Summary'!$B$10*12&gt;A67,I18,0)+IF(A19+'Summary'!$B$10*12&gt;A67,I19,0)+IF(A20+'Summary'!$B$10*12&gt;A67,I20,0)+IF(A21+'Summary'!$B$10*12&gt;A67,I21,0)+IF(A22+'Summary'!$B$10*12&gt;A67,I22,0)+IF(A23+'Summary'!$B$10*12&gt;A67,I23,0)+IF(A24+'Summary'!$B$10*12&gt;A67,I24,0)+IF(A25+'Summary'!$B$10*12&gt;A67,I25,0)+IF(A26+'Summary'!$B$10*12&gt;A67,I26,0)+IF(A27+'Summary'!$B$10*12&gt;A67,I27,0)+IF(A28+'Summary'!$B$10*12&gt;A67,I28,0)+IF(A29+'Summary'!$B$10*12&gt;A67,I29,0)+IF(A30+'Summary'!$B$10*12&gt;A67,I30,0)+IF(A31+'Summary'!$B$10*12&gt;A67,I31,0)+IF(A32+'Summary'!$B$10*12&gt;A67,I32,0)+IF(A33+'Summary'!$B$10*12&gt;A67,I33,0)+IF(A34+'Summary'!$B$10*12&gt;A67,I34,0)+IF(A35+'Summary'!$B$10*12&gt;A67,I35,0)+IF(A36+'Summary'!$B$10*12&gt;A67,I36,0)+IF(A37+'Summary'!$B$10*12&gt;A67,I37,0)+IF(A38+'Summary'!$B$10*12&gt;A67,I38,0)+IF(A39+'Summary'!$B$10*12&gt;A67,I39,0)+IF(A40+'Summary'!$B$10*12&gt;A67,I40,0)+IF(A41+'Summary'!$B$10*12&gt;A67,I41,0)+IF(A42+'Summary'!$B$10*12&gt;A67,I42,0)+IF(A43+'Summary'!$B$10*12&gt;A67,I43,0)+IF(A44+'Summary'!$B$10*12&gt;A67,I44,0)+IF(A45+'Summary'!$B$10*12&gt;A67,I45,0)+IF(A46+'Summary'!$B$10*12&gt;A67,I46,0)+IF(A47+'Summary'!$B$10*12&gt;A67,I47,0)+IF(A48+'Summary'!$B$10*12&gt;A67,I48,0)+IF(A49+'Summary'!$B$10*12&gt;A67,I49,0)+IF(A50+'Summary'!$B$10*12&gt;A67,I50,0)+IF(A51+'Summary'!$B$10*12&gt;A67,I51,0)+IF(A52+'Summary'!$B$10*12&gt;A67,I52,0)+IF(A53+'Summary'!$B$10*12&gt;A67,I53,0)+IF(A54+'Summary'!$B$10*12&gt;A67,I54,0)+IF(A55+'Summary'!$B$10*12&gt;A67,I55,0)+IF(A56+'Summary'!$B$10*12&gt;A67,I56,0)+IF(A57+'Summary'!$B$10*12&gt;A67,I57,0)+IF(A58+'Summary'!$B$10*12&gt;A67,I58,0)+IF(A59+'Summary'!$B$10*12&gt;A67,I59,0)+IF(A60+'Summary'!$B$10*12&gt;A67,I60,0)+IF(A61+'Summary'!$B$10*12&gt;A67,I61,0)+IF(A62+'Summary'!$B$10*12&gt;A67,I62,0)+IF(A63+'Summary'!$B$10*12&gt;A67,I63,0)+IF(A64+'Summary'!$B$10*12&gt;A67,I64,0)+IF(A65+'Summary'!$B$10*12&gt;A67,I65,0)+IF(A66+'Summary'!$B$10*12&gt;A67,I66,0)+IF(A67+'Summary'!$B$10*12&gt;A67,I67,0)</x:f>
        <x:v>18332.042818635455</x:v>
      </x:c>
    </x:row>
    <x:row r="68">
      <x:c r="A68" s="55" t="n">
        <x:v>60</x:v>
      </x:c>
      <x:c r="B68" s="71" t="b">
        <x:f>A68&lt;='Summary'!$B$9*12</x:f>
        <x:v>1</x:v>
      </x:c>
      <x:c r="C68" s="62" t="n">
        <x:f>IF(A68=0,IF('Summary'!$B$6&gt;=5,'Summary'!$B$6,0),C67)+IF(A68&lt;'Summary'!$B$9*12,IF('Summary'!$B$7&gt;=5,'Summary'!$B$7,0),0)</x:f>
        <x:v>16100</x:v>
      </x:c>
      <x:c r="D68" s="62" t="n">
        <x:f>IF(A68=0,IF('Summary'!$B$6&gt;=5,'Summary'!$B$6,0),0)+IF(A68&lt;'Summary'!$B$9*12,IF('Summary'!$B$7&gt;=5,'Summary'!$B$7,0),0)</x:f>
        <x:v>100</x:v>
      </x:c>
      <x:c r="E68" s="62" t="n">
        <x:f>J67</x:f>
        <x:v>0</x:v>
      </x:c>
      <x:c r="F68" s="62" t="n">
        <x:f>(IF(AND(A68&gt;A8,A68&lt;=A8+'Summary'!$B$10*12,MOD(A68-A8,'Summary'!$B$11)=0),I8,0)+IF(AND(A68&gt;A9,A68&lt;=A9+'Summary'!$B$10*12,MOD(A68-A9,'Summary'!$B$11)=0),I9,0)+IF(AND(A68&gt;A10,A68&lt;=A10+'Summary'!$B$10*12,MOD(A68-A10,'Summary'!$B$11)=0),I10,0)+IF(AND(A68&gt;A11,A68&lt;=A11+'Summary'!$B$10*12,MOD(A68-A11,'Summary'!$B$11)=0),I11,0)+IF(AND(A68&gt;A12,A68&lt;=A12+'Summary'!$B$10*12,MOD(A68-A12,'Summary'!$B$11)=0),I12,0)+IF(AND(A68&gt;A13,A68&lt;=A13+'Summary'!$B$10*12,MOD(A68-A13,'Summary'!$B$11)=0),I13,0)+IF(AND(A68&gt;A14,A68&lt;=A14+'Summary'!$B$10*12,MOD(A68-A14,'Summary'!$B$11)=0),I14,0)+IF(AND(A68&gt;A15,A68&lt;=A15+'Summary'!$B$10*12,MOD(A68-A15,'Summary'!$B$11)=0),I15,0)+IF(AND(A68&gt;A16,A68&lt;=A16+'Summary'!$B$10*12,MOD(A68-A16,'Summary'!$B$11)=0),I16,0)+IF(AND(A68&gt;A17,A68&lt;=A17+'Summary'!$B$10*12,MOD(A68-A17,'Summary'!$B$11)=0),I17,0)+IF(AND(A68&gt;A18,A68&lt;=A18+'Summary'!$B$10*12,MOD(A68-A18,'Summary'!$B$11)=0),I18,0)+IF(AND(A68&gt;A19,A68&lt;=A19+'Summary'!$B$10*12,MOD(A68-A19,'Summary'!$B$11)=0),I19,0)+IF(AND(A68&gt;A20,A68&lt;=A20+'Summary'!$B$10*12,MOD(A68-A20,'Summary'!$B$11)=0),I20,0)+IF(AND(A68&gt;A21,A68&lt;=A21+'Summary'!$B$10*12,MOD(A68-A21,'Summary'!$B$11)=0),I21,0)+IF(AND(A68&gt;A22,A68&lt;=A22+'Summary'!$B$10*12,MOD(A68-A22,'Summary'!$B$11)=0),I22,0)+IF(AND(A68&gt;A23,A68&lt;=A23+'Summary'!$B$10*12,MOD(A68-A23,'Summary'!$B$11)=0),I23,0)+IF(AND(A68&gt;A24,A68&lt;=A24+'Summary'!$B$10*12,MOD(A68-A24,'Summary'!$B$11)=0),I24,0)+IF(AND(A68&gt;A25,A68&lt;=A25+'Summary'!$B$10*12,MOD(A68-A25,'Summary'!$B$11)=0),I25,0)+IF(AND(A68&gt;A26,A68&lt;=A26+'Summary'!$B$10*12,MOD(A68-A26,'Summary'!$B$11)=0),I26,0)+IF(AND(A68&gt;A27,A68&lt;=A27+'Summary'!$B$10*12,MOD(A68-A27,'Summary'!$B$11)=0),I27,0)+IF(AND(A68&gt;A28,A68&lt;=A28+'Summary'!$B$10*12,MOD(A68-A28,'Summary'!$B$11)=0),I28,0)+IF(AND(A68&gt;A29,A68&lt;=A29+'Summary'!$B$10*12,MOD(A68-A29,'Summary'!$B$11)=0),I29,0)+IF(AND(A68&gt;A30,A68&lt;=A30+'Summary'!$B$10*12,MOD(A68-A30,'Summary'!$B$11)=0),I30,0)+IF(AND(A68&gt;A31,A68&lt;=A31+'Summary'!$B$10*12,MOD(A68-A31,'Summary'!$B$11)=0),I31,0)+IF(AND(A68&gt;A32,A68&lt;=A32+'Summary'!$B$10*12,MOD(A68-A32,'Summary'!$B$11)=0),I32,0)+IF(AND(A68&gt;A33,A68&lt;=A33+'Summary'!$B$10*12,MOD(A68-A33,'Summary'!$B$11)=0),I33,0)+IF(AND(A68&gt;A34,A68&lt;=A34+'Summary'!$B$10*12,MOD(A68-A34,'Summary'!$B$11)=0),I34,0)+IF(AND(A68&gt;A35,A68&lt;=A35+'Summary'!$B$10*12,MOD(A68-A35,'Summary'!$B$11)=0),I35,0)+IF(AND(A68&gt;A36,A68&lt;=A36+'Summary'!$B$10*12,MOD(A68-A36,'Summary'!$B$11)=0),I36,0)+IF(AND(A68&gt;A37,A68&lt;=A37+'Summary'!$B$10*12,MOD(A68-A37,'Summary'!$B$11)=0),I37,0)+IF(AND(A68&gt;A38,A68&lt;=A38+'Summary'!$B$10*12,MOD(A68-A38,'Summary'!$B$11)=0),I38,0)+IF(AND(A68&gt;A39,A68&lt;=A39+'Summary'!$B$10*12,MOD(A68-A39,'Summary'!$B$11)=0),I39,0)+IF(AND(A68&gt;A40,A68&lt;=A40+'Summary'!$B$10*12,MOD(A68-A40,'Summary'!$B$11)=0),I40,0)+IF(AND(A68&gt;A41,A68&lt;=A41+'Summary'!$B$10*12,MOD(A68-A41,'Summary'!$B$11)=0),I41,0)+IF(AND(A68&gt;A42,A68&lt;=A42+'Summary'!$B$10*12,MOD(A68-A42,'Summary'!$B$11)=0),I42,0)+IF(AND(A68&gt;A43,A68&lt;=A43+'Summary'!$B$10*12,MOD(A68-A43,'Summary'!$B$11)=0),I43,0)+IF(AND(A68&gt;A44,A68&lt;=A44+'Summary'!$B$10*12,MOD(A68-A44,'Summary'!$B$11)=0),I44,0)+IF(AND(A68&gt;A45,A68&lt;=A45+'Summary'!$B$10*12,MOD(A68-A45,'Summary'!$B$11)=0),I45,0)+IF(AND(A68&gt;A46,A68&lt;=A46+'Summary'!$B$10*12,MOD(A68-A46,'Summary'!$B$11)=0),I46,0)+IF(AND(A68&gt;A47,A68&lt;=A47+'Summary'!$B$10*12,MOD(A68-A47,'Summary'!$B$11)=0),I47,0)+IF(AND(A68&gt;A48,A68&lt;=A48+'Summary'!$B$10*12,MOD(A68-A48,'Summary'!$B$11)=0),I48,0)+IF(AND(A68&gt;A49,A68&lt;=A49+'Summary'!$B$10*12,MOD(A68-A49,'Summary'!$B$11)=0),I49,0)+IF(AND(A68&gt;A50,A68&lt;=A50+'Summary'!$B$10*12,MOD(A68-A50,'Summary'!$B$11)=0),I50,0)+IF(AND(A68&gt;A51,A68&lt;=A51+'Summary'!$B$10*12,MOD(A68-A51,'Summary'!$B$11)=0),I51,0)+IF(AND(A68&gt;A52,A68&lt;=A52+'Summary'!$B$10*12,MOD(A68-A52,'Summary'!$B$11)=0),I52,0)+IF(AND(A68&gt;A53,A68&lt;=A53+'Summary'!$B$10*12,MOD(A68-A53,'Summary'!$B$11)=0),I53,0)+IF(AND(A68&gt;A54,A68&lt;=A54+'Summary'!$B$10*12,MOD(A68-A54,'Summary'!$B$11)=0),I54,0)+IF(AND(A68&gt;A55,A68&lt;=A55+'Summary'!$B$10*12,MOD(A68-A55,'Summary'!$B$11)=0),I55,0)+IF(AND(A68&gt;A56,A68&lt;=A56+'Summary'!$B$10*12,MOD(A68-A56,'Summary'!$B$11)=0),I56,0)+IF(AND(A68&gt;A57,A68&lt;=A57+'Summary'!$B$10*12,MOD(A68-A57,'Summary'!$B$11)=0),I57,0)+IF(AND(A68&gt;A58,A68&lt;=A58+'Summary'!$B$10*12,MOD(A68-A58,'Summary'!$B$11)=0),I58,0)+IF(AND(A68&gt;A59,A68&lt;=A59+'Summary'!$B$10*12,MOD(A68-A59,'Summary'!$B$11)=0),I59,0)+IF(AND(A68&gt;A60,A68&lt;=A60+'Summary'!$B$10*12,MOD(A68-A60,'Summary'!$B$11)=0),I60,0)+IF(AND(A68&gt;A61,A68&lt;=A61+'Summary'!$B$10*12,MOD(A68-A61,'Summary'!$B$11)=0),I61,0)+IF(AND(A68&gt;A62,A68&lt;=A62+'Summary'!$B$10*12,MOD(A68-A62,'Summary'!$B$11)=0),I62,0)+IF(AND(A68&gt;A63,A68&lt;=A63+'Summary'!$B$10*12,MOD(A68-A63,'Summary'!$B$11)=0),I63,0)+IF(AND(A68&gt;A64,A68&lt;=A64+'Summary'!$B$10*12,MOD(A68-A64,'Summary'!$B$11)=0),I64,0)+IF(AND(A68&gt;A65,A68&lt;=A65+'Summary'!$B$10*12,MOD(A68-A65,'Summary'!$B$11)=0),I65,0)+IF(AND(A68&gt;A66,A68&lt;=A66+'Summary'!$B$10*12,MOD(A68-A66,'Summary'!$B$11)=0),I66,0)+IF(AND(A68&gt;A67,A68&lt;=A67+'Summary'!$B$10*12,MOD(A68-A67,'Summary'!$B$11)=0),I67,0))*'Summary'!$B$8/2</x:f>
        <x:v>239.79295289699272</x:v>
      </x:c>
      <x:c r="G68" s="62" t="n">
        <x:f>IF(A68=A8+'Summary'!$B$10*12,I8,0)+IF(A68=A9+'Summary'!$B$10*12,I9,0)+IF(A68=A10+'Summary'!$B$10*12,I10,0)+IF(A68=A11+'Summary'!$B$10*12,I11,0)+IF(A68=A12+'Summary'!$B$10*12,I12,0)+IF(A68=A13+'Summary'!$B$10*12,I13,0)+IF(A68=A14+'Summary'!$B$10*12,I14,0)+IF(A68=A15+'Summary'!$B$10*12,I15,0)+IF(A68=A16+'Summary'!$B$10*12,I16,0)+IF(A68=A17+'Summary'!$B$10*12,I17,0)+IF(A68=A18+'Summary'!$B$10*12,I18,0)+IF(A68=A19+'Summary'!$B$10*12,I19,0)+IF(A68=A20+'Summary'!$B$10*12,I20,0)+IF(A68=A21+'Summary'!$B$10*12,I21,0)+IF(A68=A22+'Summary'!$B$10*12,I22,0)+IF(A68=A23+'Summary'!$B$10*12,I23,0)+IF(A68=A24+'Summary'!$B$10*12,I24,0)+IF(A68=A25+'Summary'!$B$10*12,I25,0)+IF(A68=A26+'Summary'!$B$10*12,I26,0)+IF(A68=A27+'Summary'!$B$10*12,I27,0)+IF(A68=A28+'Summary'!$B$10*12,I28,0)+IF(A68=A29+'Summary'!$B$10*12,I29,0)+IF(A68=A30+'Summary'!$B$10*12,I30,0)+IF(A68=A31+'Summary'!$B$10*12,I31,0)+IF(A68=A32+'Summary'!$B$10*12,I32,0)+IF(A68=A33+'Summary'!$B$10*12,I33,0)+IF(A68=A34+'Summary'!$B$10*12,I34,0)+IF(A68=A35+'Summary'!$B$10*12,I35,0)+IF(A68=A36+'Summary'!$B$10*12,I36,0)+IF(A68=A37+'Summary'!$B$10*12,I37,0)+IF(A68=A38+'Summary'!$B$10*12,I38,0)+IF(A68=A39+'Summary'!$B$10*12,I39,0)+IF(A68=A40+'Summary'!$B$10*12,I40,0)+IF(A68=A41+'Summary'!$B$10*12,I41,0)+IF(A68=A42+'Summary'!$B$10*12,I42,0)+IF(A68=A43+'Summary'!$B$10*12,I43,0)+IF(A68=A44+'Summary'!$B$10*12,I44,0)+IF(A68=A45+'Summary'!$B$10*12,I45,0)+IF(A68=A46+'Summary'!$B$10*12,I46,0)+IF(A68=A47+'Summary'!$B$10*12,I47,0)+IF(A68=A48+'Summary'!$B$10*12,I48,0)+IF(A68=A49+'Summary'!$B$10*12,I49,0)+IF(A68=A50+'Summary'!$B$10*12,I50,0)+IF(A68=A51+'Summary'!$B$10*12,I51,0)+IF(A68=A52+'Summary'!$B$10*12,I52,0)+IF(A68=A53+'Summary'!$B$10*12,I53,0)+IF(A68=A54+'Summary'!$B$10*12,I54,0)+IF(A68=A55+'Summary'!$B$10*12,I55,0)+IF(A68=A56+'Summary'!$B$10*12,I56,0)+IF(A68=A57+'Summary'!$B$10*12,I57,0)+IF(A68=A58+'Summary'!$B$10*12,I58,0)+IF(A68=A59+'Summary'!$B$10*12,I59,0)+IF(A68=A60+'Summary'!$B$10*12,I60,0)+IF(A68=A61+'Summary'!$B$10*12,I61,0)+IF(A68=A62+'Summary'!$B$10*12,I62,0)+IF(A68=A63+'Summary'!$B$10*12,I63,0)+IF(A68=A64+'Summary'!$B$10*12,I64,0)+IF(A68=A65+'Summary'!$B$10*12,I65,0)+IF(A68=A66+'Summary'!$B$10*12,I66,0)+IF(A68=A67+'Summary'!$B$10*12,I67,0)</x:f>
        <x:v>10100</x:v>
      </x:c>
      <x:c r="H68" s="62" t="n">
        <x:f>E68+D68+F68+G68</x:f>
        <x:v>10439.792952896993</x:v>
      </x:c>
      <x:c r="I68" s="62" t="n">
        <x:f>IF(B68,IF(H68&gt;='Summary'!$B$12,H68,0),0)</x:f>
        <x:v>10439.792952896993</x:v>
      </x:c>
      <x:c r="J68" s="62" t="n">
        <x:f>H68-I68</x:f>
        <x:v>0</x:v>
      </x:c>
      <x:c r="K68" s="63" t="n">
        <x:f>J68+IF(A8+'Summary'!$B$10*12&gt;A68,I8,0)+IF(A9+'Summary'!$B$10*12&gt;A68,I9,0)+IF(A10+'Summary'!$B$10*12&gt;A68,I10,0)+IF(A11+'Summary'!$B$10*12&gt;A68,I11,0)+IF(A12+'Summary'!$B$10*12&gt;A68,I12,0)+IF(A13+'Summary'!$B$10*12&gt;A68,I13,0)+IF(A14+'Summary'!$B$10*12&gt;A68,I14,0)+IF(A15+'Summary'!$B$10*12&gt;A68,I15,0)+IF(A16+'Summary'!$B$10*12&gt;A68,I16,0)+IF(A17+'Summary'!$B$10*12&gt;A68,I17,0)+IF(A18+'Summary'!$B$10*12&gt;A68,I18,0)+IF(A19+'Summary'!$B$10*12&gt;A68,I19,0)+IF(A20+'Summary'!$B$10*12&gt;A68,I20,0)+IF(A21+'Summary'!$B$10*12&gt;A68,I21,0)+IF(A22+'Summary'!$B$10*12&gt;A68,I22,0)+IF(A23+'Summary'!$B$10*12&gt;A68,I23,0)+IF(A24+'Summary'!$B$10*12&gt;A68,I24,0)+IF(A25+'Summary'!$B$10*12&gt;A68,I25,0)+IF(A26+'Summary'!$B$10*12&gt;A68,I26,0)+IF(A27+'Summary'!$B$10*12&gt;A68,I27,0)+IF(A28+'Summary'!$B$10*12&gt;A68,I28,0)+IF(A29+'Summary'!$B$10*12&gt;A68,I29,0)+IF(A30+'Summary'!$B$10*12&gt;A68,I30,0)+IF(A31+'Summary'!$B$10*12&gt;A68,I31,0)+IF(A32+'Summary'!$B$10*12&gt;A68,I32,0)+IF(A33+'Summary'!$B$10*12&gt;A68,I33,0)+IF(A34+'Summary'!$B$10*12&gt;A68,I34,0)+IF(A35+'Summary'!$B$10*12&gt;A68,I35,0)+IF(A36+'Summary'!$B$10*12&gt;A68,I36,0)+IF(A37+'Summary'!$B$10*12&gt;A68,I37,0)+IF(A38+'Summary'!$B$10*12&gt;A68,I38,0)+IF(A39+'Summary'!$B$10*12&gt;A68,I39,0)+IF(A40+'Summary'!$B$10*12&gt;A68,I40,0)+IF(A41+'Summary'!$B$10*12&gt;A68,I41,0)+IF(A42+'Summary'!$B$10*12&gt;A68,I42,0)+IF(A43+'Summary'!$B$10*12&gt;A68,I43,0)+IF(A44+'Summary'!$B$10*12&gt;A68,I44,0)+IF(A45+'Summary'!$B$10*12&gt;A68,I45,0)+IF(A46+'Summary'!$B$10*12&gt;A68,I46,0)+IF(A47+'Summary'!$B$10*12&gt;A68,I47,0)+IF(A48+'Summary'!$B$10*12&gt;A68,I48,0)+IF(A49+'Summary'!$B$10*12&gt;A68,I49,0)+IF(A50+'Summary'!$B$10*12&gt;A68,I50,0)+IF(A51+'Summary'!$B$10*12&gt;A68,I51,0)+IF(A52+'Summary'!$B$10*12&gt;A68,I52,0)+IF(A53+'Summary'!$B$10*12&gt;A68,I53,0)+IF(A54+'Summary'!$B$10*12&gt;A68,I54,0)+IF(A55+'Summary'!$B$10*12&gt;A68,I55,0)+IF(A56+'Summary'!$B$10*12&gt;A68,I56,0)+IF(A57+'Summary'!$B$10*12&gt;A68,I57,0)+IF(A58+'Summary'!$B$10*12&gt;A68,I58,0)+IF(A59+'Summary'!$B$10*12&gt;A68,I59,0)+IF(A60+'Summary'!$B$10*12&gt;A68,I60,0)+IF(A61+'Summary'!$B$10*12&gt;A68,I61,0)+IF(A62+'Summary'!$B$10*12&gt;A68,I62,0)+IF(A63+'Summary'!$B$10*12&gt;A68,I63,0)+IF(A64+'Summary'!$B$10*12&gt;A68,I64,0)+IF(A65+'Summary'!$B$10*12&gt;A68,I65,0)+IF(A66+'Summary'!$B$10*12&gt;A68,I66,0)+IF(A67+'Summary'!$B$10*12&gt;A68,I67,0)+IF(A68+'Summary'!$B$10*12&gt;A68,I68,0)</x:f>
        <x:v>18671.83577153245</x:v>
      </x:c>
    </x:row>
    <x:row r="69">
      <x:c r="A69" s="55" t="n">
        <x:v>61</x:v>
      </x:c>
      <x:c r="B69" s="71" t="b">
        <x:f>A69&lt;='Summary'!$B$9*12</x:f>
        <x:v>1</x:v>
      </x:c>
      <x:c r="C69" s="62" t="n">
        <x:f>IF(A69=0,IF('Summary'!$B$6&gt;=5,'Summary'!$B$6,0),C68)+IF(A69&lt;'Summary'!$B$9*12,IF('Summary'!$B$7&gt;=5,'Summary'!$B$7,0),0)</x:f>
        <x:v>16200</x:v>
      </x:c>
      <x:c r="D69" s="62" t="n">
        <x:f>IF(A69=0,IF('Summary'!$B$6&gt;=5,'Summary'!$B$6,0),0)+IF(A69&lt;'Summary'!$B$9*12,IF('Summary'!$B$7&gt;=5,'Summary'!$B$7,0),0)</x:f>
        <x:v>100</x:v>
      </x:c>
      <x:c r="E69" s="62" t="n">
        <x:f>J68</x:f>
        <x:v>0</x:v>
      </x:c>
      <x:c r="F69" s="62" t="n">
        <x:f>(IF(AND(A69&gt;A8,A69&lt;=A8+'Summary'!$B$10*12,MOD(A69-A8,'Summary'!$B$11)=0),I8,0)+IF(AND(A69&gt;A9,A69&lt;=A9+'Summary'!$B$10*12,MOD(A69-A9,'Summary'!$B$11)=0),I9,0)+IF(AND(A69&gt;A10,A69&lt;=A10+'Summary'!$B$10*12,MOD(A69-A10,'Summary'!$B$11)=0),I10,0)+IF(AND(A69&gt;A11,A69&lt;=A11+'Summary'!$B$10*12,MOD(A69-A11,'Summary'!$B$11)=0),I11,0)+IF(AND(A69&gt;A12,A69&lt;=A12+'Summary'!$B$10*12,MOD(A69-A12,'Summary'!$B$11)=0),I12,0)+IF(AND(A69&gt;A13,A69&lt;=A13+'Summary'!$B$10*12,MOD(A69-A13,'Summary'!$B$11)=0),I13,0)+IF(AND(A69&gt;A14,A69&lt;=A14+'Summary'!$B$10*12,MOD(A69-A14,'Summary'!$B$11)=0),I14,0)+IF(AND(A69&gt;A15,A69&lt;=A15+'Summary'!$B$10*12,MOD(A69-A15,'Summary'!$B$11)=0),I15,0)+IF(AND(A69&gt;A16,A69&lt;=A16+'Summary'!$B$10*12,MOD(A69-A16,'Summary'!$B$11)=0),I16,0)+IF(AND(A69&gt;A17,A69&lt;=A17+'Summary'!$B$10*12,MOD(A69-A17,'Summary'!$B$11)=0),I17,0)+IF(AND(A69&gt;A18,A69&lt;=A18+'Summary'!$B$10*12,MOD(A69-A18,'Summary'!$B$11)=0),I18,0)+IF(AND(A69&gt;A19,A69&lt;=A19+'Summary'!$B$10*12,MOD(A69-A19,'Summary'!$B$11)=0),I19,0)+IF(AND(A69&gt;A20,A69&lt;=A20+'Summary'!$B$10*12,MOD(A69-A20,'Summary'!$B$11)=0),I20,0)+IF(AND(A69&gt;A21,A69&lt;=A21+'Summary'!$B$10*12,MOD(A69-A21,'Summary'!$B$11)=0),I21,0)+IF(AND(A69&gt;A22,A69&lt;=A22+'Summary'!$B$10*12,MOD(A69-A22,'Summary'!$B$11)=0),I22,0)+IF(AND(A69&gt;A23,A69&lt;=A23+'Summary'!$B$10*12,MOD(A69-A23,'Summary'!$B$11)=0),I23,0)+IF(AND(A69&gt;A24,A69&lt;=A24+'Summary'!$B$10*12,MOD(A69-A24,'Summary'!$B$11)=0),I24,0)+IF(AND(A69&gt;A25,A69&lt;=A25+'Summary'!$B$10*12,MOD(A69-A25,'Summary'!$B$11)=0),I25,0)+IF(AND(A69&gt;A26,A69&lt;=A26+'Summary'!$B$10*12,MOD(A69-A26,'Summary'!$B$11)=0),I26,0)+IF(AND(A69&gt;A27,A69&lt;=A27+'Summary'!$B$10*12,MOD(A69-A27,'Summary'!$B$11)=0),I27,0)+IF(AND(A69&gt;A28,A69&lt;=A28+'Summary'!$B$10*12,MOD(A69-A28,'Summary'!$B$11)=0),I28,0)+IF(AND(A69&gt;A29,A69&lt;=A29+'Summary'!$B$10*12,MOD(A69-A29,'Summary'!$B$11)=0),I29,0)+IF(AND(A69&gt;A30,A69&lt;=A30+'Summary'!$B$10*12,MOD(A69-A30,'Summary'!$B$11)=0),I30,0)+IF(AND(A69&gt;A31,A69&lt;=A31+'Summary'!$B$10*12,MOD(A69-A31,'Summary'!$B$11)=0),I31,0)+IF(AND(A69&gt;A32,A69&lt;=A32+'Summary'!$B$10*12,MOD(A69-A32,'Summary'!$B$11)=0),I32,0)+IF(AND(A69&gt;A33,A69&lt;=A33+'Summary'!$B$10*12,MOD(A69-A33,'Summary'!$B$11)=0),I33,0)+IF(AND(A69&gt;A34,A69&lt;=A34+'Summary'!$B$10*12,MOD(A69-A34,'Summary'!$B$11)=0),I34,0)+IF(AND(A69&gt;A35,A69&lt;=A35+'Summary'!$B$10*12,MOD(A69-A35,'Summary'!$B$11)=0),I35,0)+IF(AND(A69&gt;A36,A69&lt;=A36+'Summary'!$B$10*12,MOD(A69-A36,'Summary'!$B$11)=0),I36,0)+IF(AND(A69&gt;A37,A69&lt;=A37+'Summary'!$B$10*12,MOD(A69-A37,'Summary'!$B$11)=0),I37,0)+IF(AND(A69&gt;A38,A69&lt;=A38+'Summary'!$B$10*12,MOD(A69-A38,'Summary'!$B$11)=0),I38,0)+IF(AND(A69&gt;A39,A69&lt;=A39+'Summary'!$B$10*12,MOD(A69-A39,'Summary'!$B$11)=0),I39,0)+IF(AND(A69&gt;A40,A69&lt;=A40+'Summary'!$B$10*12,MOD(A69-A40,'Summary'!$B$11)=0),I40,0)+IF(AND(A69&gt;A41,A69&lt;=A41+'Summary'!$B$10*12,MOD(A69-A41,'Summary'!$B$11)=0),I41,0)+IF(AND(A69&gt;A42,A69&lt;=A42+'Summary'!$B$10*12,MOD(A69-A42,'Summary'!$B$11)=0),I42,0)+IF(AND(A69&gt;A43,A69&lt;=A43+'Summary'!$B$10*12,MOD(A69-A43,'Summary'!$B$11)=0),I43,0)+IF(AND(A69&gt;A44,A69&lt;=A44+'Summary'!$B$10*12,MOD(A69-A44,'Summary'!$B$11)=0),I44,0)+IF(AND(A69&gt;A45,A69&lt;=A45+'Summary'!$B$10*12,MOD(A69-A45,'Summary'!$B$11)=0),I45,0)+IF(AND(A69&gt;A46,A69&lt;=A46+'Summary'!$B$10*12,MOD(A69-A46,'Summary'!$B$11)=0),I46,0)+IF(AND(A69&gt;A47,A69&lt;=A47+'Summary'!$B$10*12,MOD(A69-A47,'Summary'!$B$11)=0),I47,0)+IF(AND(A69&gt;A48,A69&lt;=A48+'Summary'!$B$10*12,MOD(A69-A48,'Summary'!$B$11)=0),I48,0)+IF(AND(A69&gt;A49,A69&lt;=A49+'Summary'!$B$10*12,MOD(A69-A49,'Summary'!$B$11)=0),I49,0)+IF(AND(A69&gt;A50,A69&lt;=A50+'Summary'!$B$10*12,MOD(A69-A50,'Summary'!$B$11)=0),I50,0)+IF(AND(A69&gt;A51,A69&lt;=A51+'Summary'!$B$10*12,MOD(A69-A51,'Summary'!$B$11)=0),I51,0)+IF(AND(A69&gt;A52,A69&lt;=A52+'Summary'!$B$10*12,MOD(A69-A52,'Summary'!$B$11)=0),I52,0)+IF(AND(A69&gt;A53,A69&lt;=A53+'Summary'!$B$10*12,MOD(A69-A53,'Summary'!$B$11)=0),I53,0)+IF(AND(A69&gt;A54,A69&lt;=A54+'Summary'!$B$10*12,MOD(A69-A54,'Summary'!$B$11)=0),I54,0)+IF(AND(A69&gt;A55,A69&lt;=A55+'Summary'!$B$10*12,MOD(A69-A55,'Summary'!$B$11)=0),I55,0)+IF(AND(A69&gt;A56,A69&lt;=A56+'Summary'!$B$10*12,MOD(A69-A56,'Summary'!$B$11)=0),I56,0)+IF(AND(A69&gt;A57,A69&lt;=A57+'Summary'!$B$10*12,MOD(A69-A57,'Summary'!$B$11)=0),I57,0)+IF(AND(A69&gt;A58,A69&lt;=A58+'Summary'!$B$10*12,MOD(A69-A58,'Summary'!$B$11)=0),I58,0)+IF(AND(A69&gt;A59,A69&lt;=A59+'Summary'!$B$10*12,MOD(A69-A59,'Summary'!$B$11)=0),I59,0)+IF(AND(A69&gt;A60,A69&lt;=A60+'Summary'!$B$10*12,MOD(A69-A60,'Summary'!$B$11)=0),I60,0)+IF(AND(A69&gt;A61,A69&lt;=A61+'Summary'!$B$10*12,MOD(A69-A61,'Summary'!$B$11)=0),I61,0)+IF(AND(A69&gt;A62,A69&lt;=A62+'Summary'!$B$10*12,MOD(A69-A62,'Summary'!$B$11)=0),I62,0)+IF(AND(A69&gt;A63,A69&lt;=A63+'Summary'!$B$10*12,MOD(A69-A63,'Summary'!$B$11)=0),I63,0)+IF(AND(A69&gt;A64,A69&lt;=A64+'Summary'!$B$10*12,MOD(A69-A64,'Summary'!$B$11)=0),I64,0)+IF(AND(A69&gt;A65,A69&lt;=A65+'Summary'!$B$10*12,MOD(A69-A65,'Summary'!$B$11)=0),I65,0)+IF(AND(A69&gt;A66,A69&lt;=A66+'Summary'!$B$10*12,MOD(A69-A66,'Summary'!$B$11)=0),I66,0)+IF(AND(A69&gt;A67,A69&lt;=A67+'Summary'!$B$10*12,MOD(A69-A67,'Summary'!$B$11)=0),I67,0)+IF(AND(A69&gt;A68,A69&lt;=A68+'Summary'!$B$10*12,MOD(A69-A68,'Summary'!$B$11)=0),I68,0))*'Summary'!$B$8/2</x:f>
        <x:v>20.236608705925363</x:v>
      </x:c>
      <x:c r="G69" s="62" t="n">
        <x:f>IF(A69=A8+'Summary'!$B$10*12,I8,0)+IF(A69=A9+'Summary'!$B$10*12,I9,0)+IF(A69=A10+'Summary'!$B$10*12,I10,0)+IF(A69=A11+'Summary'!$B$10*12,I11,0)+IF(A69=A12+'Summary'!$B$10*12,I12,0)+IF(A69=A13+'Summary'!$B$10*12,I13,0)+IF(A69=A14+'Summary'!$B$10*12,I14,0)+IF(A69=A15+'Summary'!$B$10*12,I15,0)+IF(A69=A16+'Summary'!$B$10*12,I16,0)+IF(A69=A17+'Summary'!$B$10*12,I17,0)+IF(A69=A18+'Summary'!$B$10*12,I18,0)+IF(A69=A19+'Summary'!$B$10*12,I19,0)+IF(A69=A20+'Summary'!$B$10*12,I20,0)+IF(A69=A21+'Summary'!$B$10*12,I21,0)+IF(A69=A22+'Summary'!$B$10*12,I22,0)+IF(A69=A23+'Summary'!$B$10*12,I23,0)+IF(A69=A24+'Summary'!$B$10*12,I24,0)+IF(A69=A25+'Summary'!$B$10*12,I25,0)+IF(A69=A26+'Summary'!$B$10*12,I26,0)+IF(A69=A27+'Summary'!$B$10*12,I27,0)+IF(A69=A28+'Summary'!$B$10*12,I28,0)+IF(A69=A29+'Summary'!$B$10*12,I29,0)+IF(A69=A30+'Summary'!$B$10*12,I30,0)+IF(A69=A31+'Summary'!$B$10*12,I31,0)+IF(A69=A32+'Summary'!$B$10*12,I32,0)+IF(A69=A33+'Summary'!$B$10*12,I33,0)+IF(A69=A34+'Summary'!$B$10*12,I34,0)+IF(A69=A35+'Summary'!$B$10*12,I35,0)+IF(A69=A36+'Summary'!$B$10*12,I36,0)+IF(A69=A37+'Summary'!$B$10*12,I37,0)+IF(A69=A38+'Summary'!$B$10*12,I38,0)+IF(A69=A39+'Summary'!$B$10*12,I39,0)+IF(A69=A40+'Summary'!$B$10*12,I40,0)+IF(A69=A41+'Summary'!$B$10*12,I41,0)+IF(A69=A42+'Summary'!$B$10*12,I42,0)+IF(A69=A43+'Summary'!$B$10*12,I43,0)+IF(A69=A44+'Summary'!$B$10*12,I44,0)+IF(A69=A45+'Summary'!$B$10*12,I45,0)+IF(A69=A46+'Summary'!$B$10*12,I46,0)+IF(A69=A47+'Summary'!$B$10*12,I47,0)+IF(A69=A48+'Summary'!$B$10*12,I48,0)+IF(A69=A49+'Summary'!$B$10*12,I49,0)+IF(A69=A50+'Summary'!$B$10*12,I50,0)+IF(A69=A51+'Summary'!$B$10*12,I51,0)+IF(A69=A52+'Summary'!$B$10*12,I52,0)+IF(A69=A53+'Summary'!$B$10*12,I53,0)+IF(A69=A54+'Summary'!$B$10*12,I54,0)+IF(A69=A55+'Summary'!$B$10*12,I55,0)+IF(A69=A56+'Summary'!$B$10*12,I56,0)+IF(A69=A57+'Summary'!$B$10*12,I57,0)+IF(A69=A58+'Summary'!$B$10*12,I58,0)+IF(A69=A59+'Summary'!$B$10*12,I59,0)+IF(A69=A60+'Summary'!$B$10*12,I60,0)+IF(A69=A61+'Summary'!$B$10*12,I61,0)+IF(A69=A62+'Summary'!$B$10*12,I62,0)+IF(A69=A63+'Summary'!$B$10*12,I63,0)+IF(A69=A64+'Summary'!$B$10*12,I64,0)+IF(A69=A65+'Summary'!$B$10*12,I65,0)+IF(A69=A66+'Summary'!$B$10*12,I66,0)+IF(A69=A67+'Summary'!$B$10*12,I67,0)+IF(A69=A68+'Summary'!$B$10*12,I68,0)</x:f>
        <x:v>100</x:v>
      </x:c>
      <x:c r="H69" s="62" t="n">
        <x:f>E69+D69+F69+G69</x:f>
        <x:v>220.23660870592536</x:v>
      </x:c>
      <x:c r="I69" s="62" t="n">
        <x:f>IF(B69,IF(H69&gt;='Summary'!$B$12,H69,0),0)</x:f>
        <x:v>220.23660870592536</x:v>
      </x:c>
      <x:c r="J69" s="62" t="n">
        <x:f>H69-I69</x:f>
        <x:v>0</x:v>
      </x:c>
      <x:c r="K69" s="63" t="n">
        <x:f>J69+IF(A8+'Summary'!$B$10*12&gt;A69,I8,0)+IF(A9+'Summary'!$B$10*12&gt;A69,I9,0)+IF(A10+'Summary'!$B$10*12&gt;A69,I10,0)+IF(A11+'Summary'!$B$10*12&gt;A69,I11,0)+IF(A12+'Summary'!$B$10*12&gt;A69,I12,0)+IF(A13+'Summary'!$B$10*12&gt;A69,I13,0)+IF(A14+'Summary'!$B$10*12&gt;A69,I14,0)+IF(A15+'Summary'!$B$10*12&gt;A69,I15,0)+IF(A16+'Summary'!$B$10*12&gt;A69,I16,0)+IF(A17+'Summary'!$B$10*12&gt;A69,I17,0)+IF(A18+'Summary'!$B$10*12&gt;A69,I18,0)+IF(A19+'Summary'!$B$10*12&gt;A69,I19,0)+IF(A20+'Summary'!$B$10*12&gt;A69,I20,0)+IF(A21+'Summary'!$B$10*12&gt;A69,I21,0)+IF(A22+'Summary'!$B$10*12&gt;A69,I22,0)+IF(A23+'Summary'!$B$10*12&gt;A69,I23,0)+IF(A24+'Summary'!$B$10*12&gt;A69,I24,0)+IF(A25+'Summary'!$B$10*12&gt;A69,I25,0)+IF(A26+'Summary'!$B$10*12&gt;A69,I26,0)+IF(A27+'Summary'!$B$10*12&gt;A69,I27,0)+IF(A28+'Summary'!$B$10*12&gt;A69,I28,0)+IF(A29+'Summary'!$B$10*12&gt;A69,I29,0)+IF(A30+'Summary'!$B$10*12&gt;A69,I30,0)+IF(A31+'Summary'!$B$10*12&gt;A69,I31,0)+IF(A32+'Summary'!$B$10*12&gt;A69,I32,0)+IF(A33+'Summary'!$B$10*12&gt;A69,I33,0)+IF(A34+'Summary'!$B$10*12&gt;A69,I34,0)+IF(A35+'Summary'!$B$10*12&gt;A69,I35,0)+IF(A36+'Summary'!$B$10*12&gt;A69,I36,0)+IF(A37+'Summary'!$B$10*12&gt;A69,I37,0)+IF(A38+'Summary'!$B$10*12&gt;A69,I38,0)+IF(A39+'Summary'!$B$10*12&gt;A69,I39,0)+IF(A40+'Summary'!$B$10*12&gt;A69,I40,0)+IF(A41+'Summary'!$B$10*12&gt;A69,I41,0)+IF(A42+'Summary'!$B$10*12&gt;A69,I42,0)+IF(A43+'Summary'!$B$10*12&gt;A69,I43,0)+IF(A44+'Summary'!$B$10*12&gt;A69,I44,0)+IF(A45+'Summary'!$B$10*12&gt;A69,I45,0)+IF(A46+'Summary'!$B$10*12&gt;A69,I46,0)+IF(A47+'Summary'!$B$10*12&gt;A69,I47,0)+IF(A48+'Summary'!$B$10*12&gt;A69,I48,0)+IF(A49+'Summary'!$B$10*12&gt;A69,I49,0)+IF(A50+'Summary'!$B$10*12&gt;A69,I50,0)+IF(A51+'Summary'!$B$10*12&gt;A69,I51,0)+IF(A52+'Summary'!$B$10*12&gt;A69,I52,0)+IF(A53+'Summary'!$B$10*12&gt;A69,I53,0)+IF(A54+'Summary'!$B$10*12&gt;A69,I54,0)+IF(A55+'Summary'!$B$10*12&gt;A69,I55,0)+IF(A56+'Summary'!$B$10*12&gt;A69,I56,0)+IF(A57+'Summary'!$B$10*12&gt;A69,I57,0)+IF(A58+'Summary'!$B$10*12&gt;A69,I58,0)+IF(A59+'Summary'!$B$10*12&gt;A69,I59,0)+IF(A60+'Summary'!$B$10*12&gt;A69,I60,0)+IF(A61+'Summary'!$B$10*12&gt;A69,I61,0)+IF(A62+'Summary'!$B$10*12&gt;A69,I62,0)+IF(A63+'Summary'!$B$10*12&gt;A69,I63,0)+IF(A64+'Summary'!$B$10*12&gt;A69,I64,0)+IF(A65+'Summary'!$B$10*12&gt;A69,I65,0)+IF(A66+'Summary'!$B$10*12&gt;A69,I66,0)+IF(A67+'Summary'!$B$10*12&gt;A69,I67,0)+IF(A68+'Summary'!$B$10*12&gt;A69,I68,0)+IF(A69+'Summary'!$B$10*12&gt;A69,I69,0)</x:f>
        <x:v>18792.072380238373</x:v>
      </x:c>
    </x:row>
    <x:row r="70">
      <x:c r="A70" s="55" t="n">
        <x:v>62</x:v>
      </x:c>
      <x:c r="B70" s="71" t="b">
        <x:f>A70&lt;='Summary'!$B$9*12</x:f>
        <x:v>1</x:v>
      </x:c>
      <x:c r="C70" s="62" t="n">
        <x:f>IF(A70=0,IF('Summary'!$B$6&gt;=5,'Summary'!$B$6,0),C69)+IF(A70&lt;'Summary'!$B$9*12,IF('Summary'!$B$7&gt;=5,'Summary'!$B$7,0),0)</x:f>
        <x:v>16300</x:v>
      </x:c>
      <x:c r="D70" s="62" t="n">
        <x:f>IF(A70=0,IF('Summary'!$B$6&gt;=5,'Summary'!$B$6,0),0)+IF(A70&lt;'Summary'!$B$9*12,IF('Summary'!$B$7&gt;=5,'Summary'!$B$7,0),0)</x:f>
        <x:v>100</x:v>
      </x:c>
      <x:c r="E70" s="62" t="n">
        <x:f>J69</x:f>
        <x:v>0</x:v>
      </x:c>
      <x:c r="F70" s="62" t="n">
        <x:f>(IF(AND(A70&gt;A8,A70&lt;=A8+'Summary'!$B$10*12,MOD(A70-A8,'Summary'!$B$11)=0),I8,0)+IF(AND(A70&gt;A9,A70&lt;=A9+'Summary'!$B$10*12,MOD(A70-A9,'Summary'!$B$11)=0),I9,0)+IF(AND(A70&gt;A10,A70&lt;=A10+'Summary'!$B$10*12,MOD(A70-A10,'Summary'!$B$11)=0),I10,0)+IF(AND(A70&gt;A11,A70&lt;=A11+'Summary'!$B$10*12,MOD(A70-A11,'Summary'!$B$11)=0),I11,0)+IF(AND(A70&gt;A12,A70&lt;=A12+'Summary'!$B$10*12,MOD(A70-A12,'Summary'!$B$11)=0),I12,0)+IF(AND(A70&gt;A13,A70&lt;=A13+'Summary'!$B$10*12,MOD(A70-A13,'Summary'!$B$11)=0),I13,0)+IF(AND(A70&gt;A14,A70&lt;=A14+'Summary'!$B$10*12,MOD(A70-A14,'Summary'!$B$11)=0),I14,0)+IF(AND(A70&gt;A15,A70&lt;=A15+'Summary'!$B$10*12,MOD(A70-A15,'Summary'!$B$11)=0),I15,0)+IF(AND(A70&gt;A16,A70&lt;=A16+'Summary'!$B$10*12,MOD(A70-A16,'Summary'!$B$11)=0),I16,0)+IF(AND(A70&gt;A17,A70&lt;=A17+'Summary'!$B$10*12,MOD(A70-A17,'Summary'!$B$11)=0),I17,0)+IF(AND(A70&gt;A18,A70&lt;=A18+'Summary'!$B$10*12,MOD(A70-A18,'Summary'!$B$11)=0),I18,0)+IF(AND(A70&gt;A19,A70&lt;=A19+'Summary'!$B$10*12,MOD(A70-A19,'Summary'!$B$11)=0),I19,0)+IF(AND(A70&gt;A20,A70&lt;=A20+'Summary'!$B$10*12,MOD(A70-A20,'Summary'!$B$11)=0),I20,0)+IF(AND(A70&gt;A21,A70&lt;=A21+'Summary'!$B$10*12,MOD(A70-A21,'Summary'!$B$11)=0),I21,0)+IF(AND(A70&gt;A22,A70&lt;=A22+'Summary'!$B$10*12,MOD(A70-A22,'Summary'!$B$11)=0),I22,0)+IF(AND(A70&gt;A23,A70&lt;=A23+'Summary'!$B$10*12,MOD(A70-A23,'Summary'!$B$11)=0),I23,0)+IF(AND(A70&gt;A24,A70&lt;=A24+'Summary'!$B$10*12,MOD(A70-A24,'Summary'!$B$11)=0),I24,0)+IF(AND(A70&gt;A25,A70&lt;=A25+'Summary'!$B$10*12,MOD(A70-A25,'Summary'!$B$11)=0),I25,0)+IF(AND(A70&gt;A26,A70&lt;=A26+'Summary'!$B$10*12,MOD(A70-A26,'Summary'!$B$11)=0),I26,0)+IF(AND(A70&gt;A27,A70&lt;=A27+'Summary'!$B$10*12,MOD(A70-A27,'Summary'!$B$11)=0),I27,0)+IF(AND(A70&gt;A28,A70&lt;=A28+'Summary'!$B$10*12,MOD(A70-A28,'Summary'!$B$11)=0),I28,0)+IF(AND(A70&gt;A29,A70&lt;=A29+'Summary'!$B$10*12,MOD(A70-A29,'Summary'!$B$11)=0),I29,0)+IF(AND(A70&gt;A30,A70&lt;=A30+'Summary'!$B$10*12,MOD(A70-A30,'Summary'!$B$11)=0),I30,0)+IF(AND(A70&gt;A31,A70&lt;=A31+'Summary'!$B$10*12,MOD(A70-A31,'Summary'!$B$11)=0),I31,0)+IF(AND(A70&gt;A32,A70&lt;=A32+'Summary'!$B$10*12,MOD(A70-A32,'Summary'!$B$11)=0),I32,0)+IF(AND(A70&gt;A33,A70&lt;=A33+'Summary'!$B$10*12,MOD(A70-A33,'Summary'!$B$11)=0),I33,0)+IF(AND(A70&gt;A34,A70&lt;=A34+'Summary'!$B$10*12,MOD(A70-A34,'Summary'!$B$11)=0),I34,0)+IF(AND(A70&gt;A35,A70&lt;=A35+'Summary'!$B$10*12,MOD(A70-A35,'Summary'!$B$11)=0),I35,0)+IF(AND(A70&gt;A36,A70&lt;=A36+'Summary'!$B$10*12,MOD(A70-A36,'Summary'!$B$11)=0),I36,0)+IF(AND(A70&gt;A37,A70&lt;=A37+'Summary'!$B$10*12,MOD(A70-A37,'Summary'!$B$11)=0),I37,0)+IF(AND(A70&gt;A38,A70&lt;=A38+'Summary'!$B$10*12,MOD(A70-A38,'Summary'!$B$11)=0),I38,0)+IF(AND(A70&gt;A39,A70&lt;=A39+'Summary'!$B$10*12,MOD(A70-A39,'Summary'!$B$11)=0),I39,0)+IF(AND(A70&gt;A40,A70&lt;=A40+'Summary'!$B$10*12,MOD(A70-A40,'Summary'!$B$11)=0),I40,0)+IF(AND(A70&gt;A41,A70&lt;=A41+'Summary'!$B$10*12,MOD(A70-A41,'Summary'!$B$11)=0),I41,0)+IF(AND(A70&gt;A42,A70&lt;=A42+'Summary'!$B$10*12,MOD(A70-A42,'Summary'!$B$11)=0),I42,0)+IF(AND(A70&gt;A43,A70&lt;=A43+'Summary'!$B$10*12,MOD(A70-A43,'Summary'!$B$11)=0),I43,0)+IF(AND(A70&gt;A44,A70&lt;=A44+'Summary'!$B$10*12,MOD(A70-A44,'Summary'!$B$11)=0),I44,0)+IF(AND(A70&gt;A45,A70&lt;=A45+'Summary'!$B$10*12,MOD(A70-A45,'Summary'!$B$11)=0),I45,0)+IF(AND(A70&gt;A46,A70&lt;=A46+'Summary'!$B$10*12,MOD(A70-A46,'Summary'!$B$11)=0),I46,0)+IF(AND(A70&gt;A47,A70&lt;=A47+'Summary'!$B$10*12,MOD(A70-A47,'Summary'!$B$11)=0),I47,0)+IF(AND(A70&gt;A48,A70&lt;=A48+'Summary'!$B$10*12,MOD(A70-A48,'Summary'!$B$11)=0),I48,0)+IF(AND(A70&gt;A49,A70&lt;=A49+'Summary'!$B$10*12,MOD(A70-A49,'Summary'!$B$11)=0),I49,0)+IF(AND(A70&gt;A50,A70&lt;=A50+'Summary'!$B$10*12,MOD(A70-A50,'Summary'!$B$11)=0),I50,0)+IF(AND(A70&gt;A51,A70&lt;=A51+'Summary'!$B$10*12,MOD(A70-A51,'Summary'!$B$11)=0),I51,0)+IF(AND(A70&gt;A52,A70&lt;=A52+'Summary'!$B$10*12,MOD(A70-A52,'Summary'!$B$11)=0),I52,0)+IF(AND(A70&gt;A53,A70&lt;=A53+'Summary'!$B$10*12,MOD(A70-A53,'Summary'!$B$11)=0),I53,0)+IF(AND(A70&gt;A54,A70&lt;=A54+'Summary'!$B$10*12,MOD(A70-A54,'Summary'!$B$11)=0),I54,0)+IF(AND(A70&gt;A55,A70&lt;=A55+'Summary'!$B$10*12,MOD(A70-A55,'Summary'!$B$11)=0),I55,0)+IF(AND(A70&gt;A56,A70&lt;=A56+'Summary'!$B$10*12,MOD(A70-A56,'Summary'!$B$11)=0),I56,0)+IF(AND(A70&gt;A57,A70&lt;=A57+'Summary'!$B$10*12,MOD(A70-A57,'Summary'!$B$11)=0),I57,0)+IF(AND(A70&gt;A58,A70&lt;=A58+'Summary'!$B$10*12,MOD(A70-A58,'Summary'!$B$11)=0),I58,0)+IF(AND(A70&gt;A59,A70&lt;=A59+'Summary'!$B$10*12,MOD(A70-A59,'Summary'!$B$11)=0),I59,0)+IF(AND(A70&gt;A60,A70&lt;=A60+'Summary'!$B$10*12,MOD(A70-A60,'Summary'!$B$11)=0),I60,0)+IF(AND(A70&gt;A61,A70&lt;=A61+'Summary'!$B$10*12,MOD(A70-A61,'Summary'!$B$11)=0),I61,0)+IF(AND(A70&gt;A62,A70&lt;=A62+'Summary'!$B$10*12,MOD(A70-A62,'Summary'!$B$11)=0),I62,0)+IF(AND(A70&gt;A63,A70&lt;=A63+'Summary'!$B$10*12,MOD(A70-A63,'Summary'!$B$11)=0),I63,0)+IF(AND(A70&gt;A64,A70&lt;=A64+'Summary'!$B$10*12,MOD(A70-A64,'Summary'!$B$11)=0),I64,0)+IF(AND(A70&gt;A65,A70&lt;=A65+'Summary'!$B$10*12,MOD(A70-A65,'Summary'!$B$11)=0),I65,0)+IF(AND(A70&gt;A66,A70&lt;=A66+'Summary'!$B$10*12,MOD(A70-A66,'Summary'!$B$11)=0),I66,0)+IF(AND(A70&gt;A67,A70&lt;=A67+'Summary'!$B$10*12,MOD(A70-A67,'Summary'!$B$11)=0),I67,0)+IF(AND(A70&gt;A68,A70&lt;=A68+'Summary'!$B$10*12,MOD(A70-A68,'Summary'!$B$11)=0),I68,0)+IF(AND(A70&gt;A69,A70&lt;=A69+'Summary'!$B$10*12,MOD(A70-A69,'Summary'!$B$11)=0),I69,0))*'Summary'!$B$8/2</x:f>
        <x:v>20.236608705925363</x:v>
      </x:c>
      <x:c r="G70" s="62" t="n">
        <x:f>IF(A70=A8+'Summary'!$B$10*12,I8,0)+IF(A70=A9+'Summary'!$B$10*12,I9,0)+IF(A70=A10+'Summary'!$B$10*12,I10,0)+IF(A70=A11+'Summary'!$B$10*12,I11,0)+IF(A70=A12+'Summary'!$B$10*12,I12,0)+IF(A70=A13+'Summary'!$B$10*12,I13,0)+IF(A70=A14+'Summary'!$B$10*12,I14,0)+IF(A70=A15+'Summary'!$B$10*12,I15,0)+IF(A70=A16+'Summary'!$B$10*12,I16,0)+IF(A70=A17+'Summary'!$B$10*12,I17,0)+IF(A70=A18+'Summary'!$B$10*12,I18,0)+IF(A70=A19+'Summary'!$B$10*12,I19,0)+IF(A70=A20+'Summary'!$B$10*12,I20,0)+IF(A70=A21+'Summary'!$B$10*12,I21,0)+IF(A70=A22+'Summary'!$B$10*12,I22,0)+IF(A70=A23+'Summary'!$B$10*12,I23,0)+IF(A70=A24+'Summary'!$B$10*12,I24,0)+IF(A70=A25+'Summary'!$B$10*12,I25,0)+IF(A70=A26+'Summary'!$B$10*12,I26,0)+IF(A70=A27+'Summary'!$B$10*12,I27,0)+IF(A70=A28+'Summary'!$B$10*12,I28,0)+IF(A70=A29+'Summary'!$B$10*12,I29,0)+IF(A70=A30+'Summary'!$B$10*12,I30,0)+IF(A70=A31+'Summary'!$B$10*12,I31,0)+IF(A70=A32+'Summary'!$B$10*12,I32,0)+IF(A70=A33+'Summary'!$B$10*12,I33,0)+IF(A70=A34+'Summary'!$B$10*12,I34,0)+IF(A70=A35+'Summary'!$B$10*12,I35,0)+IF(A70=A36+'Summary'!$B$10*12,I36,0)+IF(A70=A37+'Summary'!$B$10*12,I37,0)+IF(A70=A38+'Summary'!$B$10*12,I38,0)+IF(A70=A39+'Summary'!$B$10*12,I39,0)+IF(A70=A40+'Summary'!$B$10*12,I40,0)+IF(A70=A41+'Summary'!$B$10*12,I41,0)+IF(A70=A42+'Summary'!$B$10*12,I42,0)+IF(A70=A43+'Summary'!$B$10*12,I43,0)+IF(A70=A44+'Summary'!$B$10*12,I44,0)+IF(A70=A45+'Summary'!$B$10*12,I45,0)+IF(A70=A46+'Summary'!$B$10*12,I46,0)+IF(A70=A47+'Summary'!$B$10*12,I47,0)+IF(A70=A48+'Summary'!$B$10*12,I48,0)+IF(A70=A49+'Summary'!$B$10*12,I49,0)+IF(A70=A50+'Summary'!$B$10*12,I50,0)+IF(A70=A51+'Summary'!$B$10*12,I51,0)+IF(A70=A52+'Summary'!$B$10*12,I52,0)+IF(A70=A53+'Summary'!$B$10*12,I53,0)+IF(A70=A54+'Summary'!$B$10*12,I54,0)+IF(A70=A55+'Summary'!$B$10*12,I55,0)+IF(A70=A56+'Summary'!$B$10*12,I56,0)+IF(A70=A57+'Summary'!$B$10*12,I57,0)+IF(A70=A58+'Summary'!$B$10*12,I58,0)+IF(A70=A59+'Summary'!$B$10*12,I59,0)+IF(A70=A60+'Summary'!$B$10*12,I60,0)+IF(A70=A61+'Summary'!$B$10*12,I61,0)+IF(A70=A62+'Summary'!$B$10*12,I62,0)+IF(A70=A63+'Summary'!$B$10*12,I63,0)+IF(A70=A64+'Summary'!$B$10*12,I64,0)+IF(A70=A65+'Summary'!$B$10*12,I65,0)+IF(A70=A66+'Summary'!$B$10*12,I66,0)+IF(A70=A67+'Summary'!$B$10*12,I67,0)+IF(A70=A68+'Summary'!$B$10*12,I68,0)+IF(A70=A69+'Summary'!$B$10*12,I69,0)</x:f>
        <x:v>100</x:v>
      </x:c>
      <x:c r="H70" s="62" t="n">
        <x:f>E70+D70+F70+G70</x:f>
        <x:v>220.23660870592536</x:v>
      </x:c>
      <x:c r="I70" s="62" t="n">
        <x:f>IF(B70,IF(H70&gt;='Summary'!$B$12,H70,0),0)</x:f>
        <x:v>220.23660870592536</x:v>
      </x:c>
      <x:c r="J70" s="62" t="n">
        <x:f>H70-I70</x:f>
        <x:v>0</x:v>
      </x:c>
      <x:c r="K70" s="63" t="n">
        <x:f>J70+IF(A8+'Summary'!$B$10*12&gt;A70,I8,0)+IF(A9+'Summary'!$B$10*12&gt;A70,I9,0)+IF(A10+'Summary'!$B$10*12&gt;A70,I10,0)+IF(A11+'Summary'!$B$10*12&gt;A70,I11,0)+IF(A12+'Summary'!$B$10*12&gt;A70,I12,0)+IF(A13+'Summary'!$B$10*12&gt;A70,I13,0)+IF(A14+'Summary'!$B$10*12&gt;A70,I14,0)+IF(A15+'Summary'!$B$10*12&gt;A70,I15,0)+IF(A16+'Summary'!$B$10*12&gt;A70,I16,0)+IF(A17+'Summary'!$B$10*12&gt;A70,I17,0)+IF(A18+'Summary'!$B$10*12&gt;A70,I18,0)+IF(A19+'Summary'!$B$10*12&gt;A70,I19,0)+IF(A20+'Summary'!$B$10*12&gt;A70,I20,0)+IF(A21+'Summary'!$B$10*12&gt;A70,I21,0)+IF(A22+'Summary'!$B$10*12&gt;A70,I22,0)+IF(A23+'Summary'!$B$10*12&gt;A70,I23,0)+IF(A24+'Summary'!$B$10*12&gt;A70,I24,0)+IF(A25+'Summary'!$B$10*12&gt;A70,I25,0)+IF(A26+'Summary'!$B$10*12&gt;A70,I26,0)+IF(A27+'Summary'!$B$10*12&gt;A70,I27,0)+IF(A28+'Summary'!$B$10*12&gt;A70,I28,0)+IF(A29+'Summary'!$B$10*12&gt;A70,I29,0)+IF(A30+'Summary'!$B$10*12&gt;A70,I30,0)+IF(A31+'Summary'!$B$10*12&gt;A70,I31,0)+IF(A32+'Summary'!$B$10*12&gt;A70,I32,0)+IF(A33+'Summary'!$B$10*12&gt;A70,I33,0)+IF(A34+'Summary'!$B$10*12&gt;A70,I34,0)+IF(A35+'Summary'!$B$10*12&gt;A70,I35,0)+IF(A36+'Summary'!$B$10*12&gt;A70,I36,0)+IF(A37+'Summary'!$B$10*12&gt;A70,I37,0)+IF(A38+'Summary'!$B$10*12&gt;A70,I38,0)+IF(A39+'Summary'!$B$10*12&gt;A70,I39,0)+IF(A40+'Summary'!$B$10*12&gt;A70,I40,0)+IF(A41+'Summary'!$B$10*12&gt;A70,I41,0)+IF(A42+'Summary'!$B$10*12&gt;A70,I42,0)+IF(A43+'Summary'!$B$10*12&gt;A70,I43,0)+IF(A44+'Summary'!$B$10*12&gt;A70,I44,0)+IF(A45+'Summary'!$B$10*12&gt;A70,I45,0)+IF(A46+'Summary'!$B$10*12&gt;A70,I46,0)+IF(A47+'Summary'!$B$10*12&gt;A70,I47,0)+IF(A48+'Summary'!$B$10*12&gt;A70,I48,0)+IF(A49+'Summary'!$B$10*12&gt;A70,I49,0)+IF(A50+'Summary'!$B$10*12&gt;A70,I50,0)+IF(A51+'Summary'!$B$10*12&gt;A70,I51,0)+IF(A52+'Summary'!$B$10*12&gt;A70,I52,0)+IF(A53+'Summary'!$B$10*12&gt;A70,I53,0)+IF(A54+'Summary'!$B$10*12&gt;A70,I54,0)+IF(A55+'Summary'!$B$10*12&gt;A70,I55,0)+IF(A56+'Summary'!$B$10*12&gt;A70,I56,0)+IF(A57+'Summary'!$B$10*12&gt;A70,I57,0)+IF(A58+'Summary'!$B$10*12&gt;A70,I58,0)+IF(A59+'Summary'!$B$10*12&gt;A70,I59,0)+IF(A60+'Summary'!$B$10*12&gt;A70,I60,0)+IF(A61+'Summary'!$B$10*12&gt;A70,I61,0)+IF(A62+'Summary'!$B$10*12&gt;A70,I62,0)+IF(A63+'Summary'!$B$10*12&gt;A70,I63,0)+IF(A64+'Summary'!$B$10*12&gt;A70,I64,0)+IF(A65+'Summary'!$B$10*12&gt;A70,I65,0)+IF(A66+'Summary'!$B$10*12&gt;A70,I66,0)+IF(A67+'Summary'!$B$10*12&gt;A70,I67,0)+IF(A68+'Summary'!$B$10*12&gt;A70,I68,0)+IF(A69+'Summary'!$B$10*12&gt;A70,I69,0)+IF(A70+'Summary'!$B$10*12&gt;A70,I70,0)</x:f>
        <x:v>18912.308988944296</x:v>
      </x:c>
    </x:row>
    <x:row r="71">
      <x:c r="A71" s="55" t="n">
        <x:v>63</x:v>
      </x:c>
      <x:c r="B71" s="71" t="b">
        <x:f>A71&lt;='Summary'!$B$9*12</x:f>
        <x:v>1</x:v>
      </x:c>
      <x:c r="C71" s="62" t="n">
        <x:f>IF(A71=0,IF('Summary'!$B$6&gt;=5,'Summary'!$B$6,0),C70)+IF(A71&lt;'Summary'!$B$9*12,IF('Summary'!$B$7&gt;=5,'Summary'!$B$7,0),0)</x:f>
        <x:v>16400</x:v>
      </x:c>
      <x:c r="D71" s="62" t="n">
        <x:f>IF(A71=0,IF('Summary'!$B$6&gt;=5,'Summary'!$B$6,0),0)+IF(A71&lt;'Summary'!$B$9*12,IF('Summary'!$B$7&gt;=5,'Summary'!$B$7,0),0)</x:f>
        <x:v>100</x:v>
      </x:c>
      <x:c r="E71" s="62" t="n">
        <x:f>J70</x:f>
        <x:v>0</x:v>
      </x:c>
      <x:c r="F71" s="62" t="n">
        <x:f>(IF(AND(A71&gt;A8,A71&lt;=A8+'Summary'!$B$10*12,MOD(A71-A8,'Summary'!$B$11)=0),I8,0)+IF(AND(A71&gt;A9,A71&lt;=A9+'Summary'!$B$10*12,MOD(A71-A9,'Summary'!$B$11)=0),I9,0)+IF(AND(A71&gt;A10,A71&lt;=A10+'Summary'!$B$10*12,MOD(A71-A10,'Summary'!$B$11)=0),I10,0)+IF(AND(A71&gt;A11,A71&lt;=A11+'Summary'!$B$10*12,MOD(A71-A11,'Summary'!$B$11)=0),I11,0)+IF(AND(A71&gt;A12,A71&lt;=A12+'Summary'!$B$10*12,MOD(A71-A12,'Summary'!$B$11)=0),I12,0)+IF(AND(A71&gt;A13,A71&lt;=A13+'Summary'!$B$10*12,MOD(A71-A13,'Summary'!$B$11)=0),I13,0)+IF(AND(A71&gt;A14,A71&lt;=A14+'Summary'!$B$10*12,MOD(A71-A14,'Summary'!$B$11)=0),I14,0)+IF(AND(A71&gt;A15,A71&lt;=A15+'Summary'!$B$10*12,MOD(A71-A15,'Summary'!$B$11)=0),I15,0)+IF(AND(A71&gt;A16,A71&lt;=A16+'Summary'!$B$10*12,MOD(A71-A16,'Summary'!$B$11)=0),I16,0)+IF(AND(A71&gt;A17,A71&lt;=A17+'Summary'!$B$10*12,MOD(A71-A17,'Summary'!$B$11)=0),I17,0)+IF(AND(A71&gt;A18,A71&lt;=A18+'Summary'!$B$10*12,MOD(A71-A18,'Summary'!$B$11)=0),I18,0)+IF(AND(A71&gt;A19,A71&lt;=A19+'Summary'!$B$10*12,MOD(A71-A19,'Summary'!$B$11)=0),I19,0)+IF(AND(A71&gt;A20,A71&lt;=A20+'Summary'!$B$10*12,MOD(A71-A20,'Summary'!$B$11)=0),I20,0)+IF(AND(A71&gt;A21,A71&lt;=A21+'Summary'!$B$10*12,MOD(A71-A21,'Summary'!$B$11)=0),I21,0)+IF(AND(A71&gt;A22,A71&lt;=A22+'Summary'!$B$10*12,MOD(A71-A22,'Summary'!$B$11)=0),I22,0)+IF(AND(A71&gt;A23,A71&lt;=A23+'Summary'!$B$10*12,MOD(A71-A23,'Summary'!$B$11)=0),I23,0)+IF(AND(A71&gt;A24,A71&lt;=A24+'Summary'!$B$10*12,MOD(A71-A24,'Summary'!$B$11)=0),I24,0)+IF(AND(A71&gt;A25,A71&lt;=A25+'Summary'!$B$10*12,MOD(A71-A25,'Summary'!$B$11)=0),I25,0)+IF(AND(A71&gt;A26,A71&lt;=A26+'Summary'!$B$10*12,MOD(A71-A26,'Summary'!$B$11)=0),I26,0)+IF(AND(A71&gt;A27,A71&lt;=A27+'Summary'!$B$10*12,MOD(A71-A27,'Summary'!$B$11)=0),I27,0)+IF(AND(A71&gt;A28,A71&lt;=A28+'Summary'!$B$10*12,MOD(A71-A28,'Summary'!$B$11)=0),I28,0)+IF(AND(A71&gt;A29,A71&lt;=A29+'Summary'!$B$10*12,MOD(A71-A29,'Summary'!$B$11)=0),I29,0)+IF(AND(A71&gt;A30,A71&lt;=A30+'Summary'!$B$10*12,MOD(A71-A30,'Summary'!$B$11)=0),I30,0)+IF(AND(A71&gt;A31,A71&lt;=A31+'Summary'!$B$10*12,MOD(A71-A31,'Summary'!$B$11)=0),I31,0)+IF(AND(A71&gt;A32,A71&lt;=A32+'Summary'!$B$10*12,MOD(A71-A32,'Summary'!$B$11)=0),I32,0)+IF(AND(A71&gt;A33,A71&lt;=A33+'Summary'!$B$10*12,MOD(A71-A33,'Summary'!$B$11)=0),I33,0)+IF(AND(A71&gt;A34,A71&lt;=A34+'Summary'!$B$10*12,MOD(A71-A34,'Summary'!$B$11)=0),I34,0)+IF(AND(A71&gt;A35,A71&lt;=A35+'Summary'!$B$10*12,MOD(A71-A35,'Summary'!$B$11)=0),I35,0)+IF(AND(A71&gt;A36,A71&lt;=A36+'Summary'!$B$10*12,MOD(A71-A36,'Summary'!$B$11)=0),I36,0)+IF(AND(A71&gt;A37,A71&lt;=A37+'Summary'!$B$10*12,MOD(A71-A37,'Summary'!$B$11)=0),I37,0)+IF(AND(A71&gt;A38,A71&lt;=A38+'Summary'!$B$10*12,MOD(A71-A38,'Summary'!$B$11)=0),I38,0)+IF(AND(A71&gt;A39,A71&lt;=A39+'Summary'!$B$10*12,MOD(A71-A39,'Summary'!$B$11)=0),I39,0)+IF(AND(A71&gt;A40,A71&lt;=A40+'Summary'!$B$10*12,MOD(A71-A40,'Summary'!$B$11)=0),I40,0)+IF(AND(A71&gt;A41,A71&lt;=A41+'Summary'!$B$10*12,MOD(A71-A41,'Summary'!$B$11)=0),I41,0)+IF(AND(A71&gt;A42,A71&lt;=A42+'Summary'!$B$10*12,MOD(A71-A42,'Summary'!$B$11)=0),I42,0)+IF(AND(A71&gt;A43,A71&lt;=A43+'Summary'!$B$10*12,MOD(A71-A43,'Summary'!$B$11)=0),I43,0)+IF(AND(A71&gt;A44,A71&lt;=A44+'Summary'!$B$10*12,MOD(A71-A44,'Summary'!$B$11)=0),I44,0)+IF(AND(A71&gt;A45,A71&lt;=A45+'Summary'!$B$10*12,MOD(A71-A45,'Summary'!$B$11)=0),I45,0)+IF(AND(A71&gt;A46,A71&lt;=A46+'Summary'!$B$10*12,MOD(A71-A46,'Summary'!$B$11)=0),I46,0)+IF(AND(A71&gt;A47,A71&lt;=A47+'Summary'!$B$10*12,MOD(A71-A47,'Summary'!$B$11)=0),I47,0)+IF(AND(A71&gt;A48,A71&lt;=A48+'Summary'!$B$10*12,MOD(A71-A48,'Summary'!$B$11)=0),I48,0)+IF(AND(A71&gt;A49,A71&lt;=A49+'Summary'!$B$10*12,MOD(A71-A49,'Summary'!$B$11)=0),I49,0)+IF(AND(A71&gt;A50,A71&lt;=A50+'Summary'!$B$10*12,MOD(A71-A50,'Summary'!$B$11)=0),I50,0)+IF(AND(A71&gt;A51,A71&lt;=A51+'Summary'!$B$10*12,MOD(A71-A51,'Summary'!$B$11)=0),I51,0)+IF(AND(A71&gt;A52,A71&lt;=A52+'Summary'!$B$10*12,MOD(A71-A52,'Summary'!$B$11)=0),I52,0)+IF(AND(A71&gt;A53,A71&lt;=A53+'Summary'!$B$10*12,MOD(A71-A53,'Summary'!$B$11)=0),I53,0)+IF(AND(A71&gt;A54,A71&lt;=A54+'Summary'!$B$10*12,MOD(A71-A54,'Summary'!$B$11)=0),I54,0)+IF(AND(A71&gt;A55,A71&lt;=A55+'Summary'!$B$10*12,MOD(A71-A55,'Summary'!$B$11)=0),I55,0)+IF(AND(A71&gt;A56,A71&lt;=A56+'Summary'!$B$10*12,MOD(A71-A56,'Summary'!$B$11)=0),I56,0)+IF(AND(A71&gt;A57,A71&lt;=A57+'Summary'!$B$10*12,MOD(A71-A57,'Summary'!$B$11)=0),I57,0)+IF(AND(A71&gt;A58,A71&lt;=A58+'Summary'!$B$10*12,MOD(A71-A58,'Summary'!$B$11)=0),I58,0)+IF(AND(A71&gt;A59,A71&lt;=A59+'Summary'!$B$10*12,MOD(A71-A59,'Summary'!$B$11)=0),I59,0)+IF(AND(A71&gt;A60,A71&lt;=A60+'Summary'!$B$10*12,MOD(A71-A60,'Summary'!$B$11)=0),I60,0)+IF(AND(A71&gt;A61,A71&lt;=A61+'Summary'!$B$10*12,MOD(A71-A61,'Summary'!$B$11)=0),I61,0)+IF(AND(A71&gt;A62,A71&lt;=A62+'Summary'!$B$10*12,MOD(A71-A62,'Summary'!$B$11)=0),I62,0)+IF(AND(A71&gt;A63,A71&lt;=A63+'Summary'!$B$10*12,MOD(A71-A63,'Summary'!$B$11)=0),I63,0)+IF(AND(A71&gt;A64,A71&lt;=A64+'Summary'!$B$10*12,MOD(A71-A64,'Summary'!$B$11)=0),I64,0)+IF(AND(A71&gt;A65,A71&lt;=A65+'Summary'!$B$10*12,MOD(A71-A65,'Summary'!$B$11)=0),I65,0)+IF(AND(A71&gt;A66,A71&lt;=A66+'Summary'!$B$10*12,MOD(A71-A66,'Summary'!$B$11)=0),I66,0)+IF(AND(A71&gt;A67,A71&lt;=A67+'Summary'!$B$10*12,MOD(A71-A67,'Summary'!$B$11)=0),I67,0)+IF(AND(A71&gt;A68,A71&lt;=A68+'Summary'!$B$10*12,MOD(A71-A68,'Summary'!$B$11)=0),I68,0)+IF(AND(A71&gt;A69,A71&lt;=A69+'Summary'!$B$10*12,MOD(A71-A69,'Summary'!$B$11)=0),I69,0)+IF(AND(A71&gt;A70,A71&lt;=A70+'Summary'!$B$10*12,MOD(A71-A70,'Summary'!$B$11)=0),I70,0))*'Summary'!$B$8/2</x:f>
        <x:v>20.236608705925363</x:v>
      </x:c>
      <x:c r="G71" s="62" t="n">
        <x:f>IF(A71=A8+'Summary'!$B$10*12,I8,0)+IF(A71=A9+'Summary'!$B$10*12,I9,0)+IF(A71=A10+'Summary'!$B$10*12,I10,0)+IF(A71=A11+'Summary'!$B$10*12,I11,0)+IF(A71=A12+'Summary'!$B$10*12,I12,0)+IF(A71=A13+'Summary'!$B$10*12,I13,0)+IF(A71=A14+'Summary'!$B$10*12,I14,0)+IF(A71=A15+'Summary'!$B$10*12,I15,0)+IF(A71=A16+'Summary'!$B$10*12,I16,0)+IF(A71=A17+'Summary'!$B$10*12,I17,0)+IF(A71=A18+'Summary'!$B$10*12,I18,0)+IF(A71=A19+'Summary'!$B$10*12,I19,0)+IF(A71=A20+'Summary'!$B$10*12,I20,0)+IF(A71=A21+'Summary'!$B$10*12,I21,0)+IF(A71=A22+'Summary'!$B$10*12,I22,0)+IF(A71=A23+'Summary'!$B$10*12,I23,0)+IF(A71=A24+'Summary'!$B$10*12,I24,0)+IF(A71=A25+'Summary'!$B$10*12,I25,0)+IF(A71=A26+'Summary'!$B$10*12,I26,0)+IF(A71=A27+'Summary'!$B$10*12,I27,0)+IF(A71=A28+'Summary'!$B$10*12,I28,0)+IF(A71=A29+'Summary'!$B$10*12,I29,0)+IF(A71=A30+'Summary'!$B$10*12,I30,0)+IF(A71=A31+'Summary'!$B$10*12,I31,0)+IF(A71=A32+'Summary'!$B$10*12,I32,0)+IF(A71=A33+'Summary'!$B$10*12,I33,0)+IF(A71=A34+'Summary'!$B$10*12,I34,0)+IF(A71=A35+'Summary'!$B$10*12,I35,0)+IF(A71=A36+'Summary'!$B$10*12,I36,0)+IF(A71=A37+'Summary'!$B$10*12,I37,0)+IF(A71=A38+'Summary'!$B$10*12,I38,0)+IF(A71=A39+'Summary'!$B$10*12,I39,0)+IF(A71=A40+'Summary'!$B$10*12,I40,0)+IF(A71=A41+'Summary'!$B$10*12,I41,0)+IF(A71=A42+'Summary'!$B$10*12,I42,0)+IF(A71=A43+'Summary'!$B$10*12,I43,0)+IF(A71=A44+'Summary'!$B$10*12,I44,0)+IF(A71=A45+'Summary'!$B$10*12,I45,0)+IF(A71=A46+'Summary'!$B$10*12,I46,0)+IF(A71=A47+'Summary'!$B$10*12,I47,0)+IF(A71=A48+'Summary'!$B$10*12,I48,0)+IF(A71=A49+'Summary'!$B$10*12,I49,0)+IF(A71=A50+'Summary'!$B$10*12,I50,0)+IF(A71=A51+'Summary'!$B$10*12,I51,0)+IF(A71=A52+'Summary'!$B$10*12,I52,0)+IF(A71=A53+'Summary'!$B$10*12,I53,0)+IF(A71=A54+'Summary'!$B$10*12,I54,0)+IF(A71=A55+'Summary'!$B$10*12,I55,0)+IF(A71=A56+'Summary'!$B$10*12,I56,0)+IF(A71=A57+'Summary'!$B$10*12,I57,0)+IF(A71=A58+'Summary'!$B$10*12,I58,0)+IF(A71=A59+'Summary'!$B$10*12,I59,0)+IF(A71=A60+'Summary'!$B$10*12,I60,0)+IF(A71=A61+'Summary'!$B$10*12,I61,0)+IF(A71=A62+'Summary'!$B$10*12,I62,0)+IF(A71=A63+'Summary'!$B$10*12,I63,0)+IF(A71=A64+'Summary'!$B$10*12,I64,0)+IF(A71=A65+'Summary'!$B$10*12,I65,0)+IF(A71=A66+'Summary'!$B$10*12,I66,0)+IF(A71=A67+'Summary'!$B$10*12,I67,0)+IF(A71=A68+'Summary'!$B$10*12,I68,0)+IF(A71=A69+'Summary'!$B$10*12,I69,0)+IF(A71=A70+'Summary'!$B$10*12,I70,0)</x:f>
        <x:v>100</x:v>
      </x:c>
      <x:c r="H71" s="62" t="n">
        <x:f>E71+D71+F71+G71</x:f>
        <x:v>220.23660870592536</x:v>
      </x:c>
      <x:c r="I71" s="62" t="n">
        <x:f>IF(B71,IF(H71&gt;='Summary'!$B$12,H71,0),0)</x:f>
        <x:v>220.23660870592536</x:v>
      </x:c>
      <x:c r="J71" s="62" t="n">
        <x:f>H71-I71</x:f>
        <x:v>0</x:v>
      </x:c>
      <x:c r="K71" s="63" t="n">
        <x:f>J71+IF(A8+'Summary'!$B$10*12&gt;A71,I8,0)+IF(A9+'Summary'!$B$10*12&gt;A71,I9,0)+IF(A10+'Summary'!$B$10*12&gt;A71,I10,0)+IF(A11+'Summary'!$B$10*12&gt;A71,I11,0)+IF(A12+'Summary'!$B$10*12&gt;A71,I12,0)+IF(A13+'Summary'!$B$10*12&gt;A71,I13,0)+IF(A14+'Summary'!$B$10*12&gt;A71,I14,0)+IF(A15+'Summary'!$B$10*12&gt;A71,I15,0)+IF(A16+'Summary'!$B$10*12&gt;A71,I16,0)+IF(A17+'Summary'!$B$10*12&gt;A71,I17,0)+IF(A18+'Summary'!$B$10*12&gt;A71,I18,0)+IF(A19+'Summary'!$B$10*12&gt;A71,I19,0)+IF(A20+'Summary'!$B$10*12&gt;A71,I20,0)+IF(A21+'Summary'!$B$10*12&gt;A71,I21,0)+IF(A22+'Summary'!$B$10*12&gt;A71,I22,0)+IF(A23+'Summary'!$B$10*12&gt;A71,I23,0)+IF(A24+'Summary'!$B$10*12&gt;A71,I24,0)+IF(A25+'Summary'!$B$10*12&gt;A71,I25,0)+IF(A26+'Summary'!$B$10*12&gt;A71,I26,0)+IF(A27+'Summary'!$B$10*12&gt;A71,I27,0)+IF(A28+'Summary'!$B$10*12&gt;A71,I28,0)+IF(A29+'Summary'!$B$10*12&gt;A71,I29,0)+IF(A30+'Summary'!$B$10*12&gt;A71,I30,0)+IF(A31+'Summary'!$B$10*12&gt;A71,I31,0)+IF(A32+'Summary'!$B$10*12&gt;A71,I32,0)+IF(A33+'Summary'!$B$10*12&gt;A71,I33,0)+IF(A34+'Summary'!$B$10*12&gt;A71,I34,0)+IF(A35+'Summary'!$B$10*12&gt;A71,I35,0)+IF(A36+'Summary'!$B$10*12&gt;A71,I36,0)+IF(A37+'Summary'!$B$10*12&gt;A71,I37,0)+IF(A38+'Summary'!$B$10*12&gt;A71,I38,0)+IF(A39+'Summary'!$B$10*12&gt;A71,I39,0)+IF(A40+'Summary'!$B$10*12&gt;A71,I40,0)+IF(A41+'Summary'!$B$10*12&gt;A71,I41,0)+IF(A42+'Summary'!$B$10*12&gt;A71,I42,0)+IF(A43+'Summary'!$B$10*12&gt;A71,I43,0)+IF(A44+'Summary'!$B$10*12&gt;A71,I44,0)+IF(A45+'Summary'!$B$10*12&gt;A71,I45,0)+IF(A46+'Summary'!$B$10*12&gt;A71,I46,0)+IF(A47+'Summary'!$B$10*12&gt;A71,I47,0)+IF(A48+'Summary'!$B$10*12&gt;A71,I48,0)+IF(A49+'Summary'!$B$10*12&gt;A71,I49,0)+IF(A50+'Summary'!$B$10*12&gt;A71,I50,0)+IF(A51+'Summary'!$B$10*12&gt;A71,I51,0)+IF(A52+'Summary'!$B$10*12&gt;A71,I52,0)+IF(A53+'Summary'!$B$10*12&gt;A71,I53,0)+IF(A54+'Summary'!$B$10*12&gt;A71,I54,0)+IF(A55+'Summary'!$B$10*12&gt;A71,I55,0)+IF(A56+'Summary'!$B$10*12&gt;A71,I56,0)+IF(A57+'Summary'!$B$10*12&gt;A71,I57,0)+IF(A58+'Summary'!$B$10*12&gt;A71,I58,0)+IF(A59+'Summary'!$B$10*12&gt;A71,I59,0)+IF(A60+'Summary'!$B$10*12&gt;A71,I60,0)+IF(A61+'Summary'!$B$10*12&gt;A71,I61,0)+IF(A62+'Summary'!$B$10*12&gt;A71,I62,0)+IF(A63+'Summary'!$B$10*12&gt;A71,I63,0)+IF(A64+'Summary'!$B$10*12&gt;A71,I64,0)+IF(A65+'Summary'!$B$10*12&gt;A71,I65,0)+IF(A66+'Summary'!$B$10*12&gt;A71,I66,0)+IF(A67+'Summary'!$B$10*12&gt;A71,I67,0)+IF(A68+'Summary'!$B$10*12&gt;A71,I68,0)+IF(A69+'Summary'!$B$10*12&gt;A71,I69,0)+IF(A70+'Summary'!$B$10*12&gt;A71,I70,0)+IF(A71+'Summary'!$B$10*12&gt;A71,I71,0)</x:f>
        <x:v>19032.54559765022</x:v>
      </x:c>
    </x:row>
    <x:row r="72">
      <x:c r="A72" s="55" t="n">
        <x:v>64</x:v>
      </x:c>
      <x:c r="B72" s="71" t="b">
        <x:f>A72&lt;='Summary'!$B$9*12</x:f>
        <x:v>1</x:v>
      </x:c>
      <x:c r="C72" s="62" t="n">
        <x:f>IF(A72=0,IF('Summary'!$B$6&gt;=5,'Summary'!$B$6,0),C71)+IF(A72&lt;'Summary'!$B$9*12,IF('Summary'!$B$7&gt;=5,'Summary'!$B$7,0),0)</x:f>
        <x:v>16500</x:v>
      </x:c>
      <x:c r="D72" s="62" t="n">
        <x:f>IF(A72=0,IF('Summary'!$B$6&gt;=5,'Summary'!$B$6,0),0)+IF(A72&lt;'Summary'!$B$9*12,IF('Summary'!$B$7&gt;=5,'Summary'!$B$7,0),0)</x:f>
        <x:v>100</x:v>
      </x:c>
      <x:c r="E72" s="62" t="n">
        <x:f>J71</x:f>
        <x:v>0</x:v>
      </x:c>
      <x:c r="F72" s="62" t="n">
        <x:f>(IF(AND(A72&gt;A8,A72&lt;=A8+'Summary'!$B$10*12,MOD(A72-A8,'Summary'!$B$11)=0),I8,0)+IF(AND(A72&gt;A9,A72&lt;=A9+'Summary'!$B$10*12,MOD(A72-A9,'Summary'!$B$11)=0),I9,0)+IF(AND(A72&gt;A10,A72&lt;=A10+'Summary'!$B$10*12,MOD(A72-A10,'Summary'!$B$11)=0),I10,0)+IF(AND(A72&gt;A11,A72&lt;=A11+'Summary'!$B$10*12,MOD(A72-A11,'Summary'!$B$11)=0),I11,0)+IF(AND(A72&gt;A12,A72&lt;=A12+'Summary'!$B$10*12,MOD(A72-A12,'Summary'!$B$11)=0),I12,0)+IF(AND(A72&gt;A13,A72&lt;=A13+'Summary'!$B$10*12,MOD(A72-A13,'Summary'!$B$11)=0),I13,0)+IF(AND(A72&gt;A14,A72&lt;=A14+'Summary'!$B$10*12,MOD(A72-A14,'Summary'!$B$11)=0),I14,0)+IF(AND(A72&gt;A15,A72&lt;=A15+'Summary'!$B$10*12,MOD(A72-A15,'Summary'!$B$11)=0),I15,0)+IF(AND(A72&gt;A16,A72&lt;=A16+'Summary'!$B$10*12,MOD(A72-A16,'Summary'!$B$11)=0),I16,0)+IF(AND(A72&gt;A17,A72&lt;=A17+'Summary'!$B$10*12,MOD(A72-A17,'Summary'!$B$11)=0),I17,0)+IF(AND(A72&gt;A18,A72&lt;=A18+'Summary'!$B$10*12,MOD(A72-A18,'Summary'!$B$11)=0),I18,0)+IF(AND(A72&gt;A19,A72&lt;=A19+'Summary'!$B$10*12,MOD(A72-A19,'Summary'!$B$11)=0),I19,0)+IF(AND(A72&gt;A20,A72&lt;=A20+'Summary'!$B$10*12,MOD(A72-A20,'Summary'!$B$11)=0),I20,0)+IF(AND(A72&gt;A21,A72&lt;=A21+'Summary'!$B$10*12,MOD(A72-A21,'Summary'!$B$11)=0),I21,0)+IF(AND(A72&gt;A22,A72&lt;=A22+'Summary'!$B$10*12,MOD(A72-A22,'Summary'!$B$11)=0),I22,0)+IF(AND(A72&gt;A23,A72&lt;=A23+'Summary'!$B$10*12,MOD(A72-A23,'Summary'!$B$11)=0),I23,0)+IF(AND(A72&gt;A24,A72&lt;=A24+'Summary'!$B$10*12,MOD(A72-A24,'Summary'!$B$11)=0),I24,0)+IF(AND(A72&gt;A25,A72&lt;=A25+'Summary'!$B$10*12,MOD(A72-A25,'Summary'!$B$11)=0),I25,0)+IF(AND(A72&gt;A26,A72&lt;=A26+'Summary'!$B$10*12,MOD(A72-A26,'Summary'!$B$11)=0),I26,0)+IF(AND(A72&gt;A27,A72&lt;=A27+'Summary'!$B$10*12,MOD(A72-A27,'Summary'!$B$11)=0),I27,0)+IF(AND(A72&gt;A28,A72&lt;=A28+'Summary'!$B$10*12,MOD(A72-A28,'Summary'!$B$11)=0),I28,0)+IF(AND(A72&gt;A29,A72&lt;=A29+'Summary'!$B$10*12,MOD(A72-A29,'Summary'!$B$11)=0),I29,0)+IF(AND(A72&gt;A30,A72&lt;=A30+'Summary'!$B$10*12,MOD(A72-A30,'Summary'!$B$11)=0),I30,0)+IF(AND(A72&gt;A31,A72&lt;=A31+'Summary'!$B$10*12,MOD(A72-A31,'Summary'!$B$11)=0),I31,0)+IF(AND(A72&gt;A32,A72&lt;=A32+'Summary'!$B$10*12,MOD(A72-A32,'Summary'!$B$11)=0),I32,0)+IF(AND(A72&gt;A33,A72&lt;=A33+'Summary'!$B$10*12,MOD(A72-A33,'Summary'!$B$11)=0),I33,0)+IF(AND(A72&gt;A34,A72&lt;=A34+'Summary'!$B$10*12,MOD(A72-A34,'Summary'!$B$11)=0),I34,0)+IF(AND(A72&gt;A35,A72&lt;=A35+'Summary'!$B$10*12,MOD(A72-A35,'Summary'!$B$11)=0),I35,0)+IF(AND(A72&gt;A36,A72&lt;=A36+'Summary'!$B$10*12,MOD(A72-A36,'Summary'!$B$11)=0),I36,0)+IF(AND(A72&gt;A37,A72&lt;=A37+'Summary'!$B$10*12,MOD(A72-A37,'Summary'!$B$11)=0),I37,0)+IF(AND(A72&gt;A38,A72&lt;=A38+'Summary'!$B$10*12,MOD(A72-A38,'Summary'!$B$11)=0),I38,0)+IF(AND(A72&gt;A39,A72&lt;=A39+'Summary'!$B$10*12,MOD(A72-A39,'Summary'!$B$11)=0),I39,0)+IF(AND(A72&gt;A40,A72&lt;=A40+'Summary'!$B$10*12,MOD(A72-A40,'Summary'!$B$11)=0),I40,0)+IF(AND(A72&gt;A41,A72&lt;=A41+'Summary'!$B$10*12,MOD(A72-A41,'Summary'!$B$11)=0),I41,0)+IF(AND(A72&gt;A42,A72&lt;=A42+'Summary'!$B$10*12,MOD(A72-A42,'Summary'!$B$11)=0),I42,0)+IF(AND(A72&gt;A43,A72&lt;=A43+'Summary'!$B$10*12,MOD(A72-A43,'Summary'!$B$11)=0),I43,0)+IF(AND(A72&gt;A44,A72&lt;=A44+'Summary'!$B$10*12,MOD(A72-A44,'Summary'!$B$11)=0),I44,0)+IF(AND(A72&gt;A45,A72&lt;=A45+'Summary'!$B$10*12,MOD(A72-A45,'Summary'!$B$11)=0),I45,0)+IF(AND(A72&gt;A46,A72&lt;=A46+'Summary'!$B$10*12,MOD(A72-A46,'Summary'!$B$11)=0),I46,0)+IF(AND(A72&gt;A47,A72&lt;=A47+'Summary'!$B$10*12,MOD(A72-A47,'Summary'!$B$11)=0),I47,0)+IF(AND(A72&gt;A48,A72&lt;=A48+'Summary'!$B$10*12,MOD(A72-A48,'Summary'!$B$11)=0),I48,0)+IF(AND(A72&gt;A49,A72&lt;=A49+'Summary'!$B$10*12,MOD(A72-A49,'Summary'!$B$11)=0),I49,0)+IF(AND(A72&gt;A50,A72&lt;=A50+'Summary'!$B$10*12,MOD(A72-A50,'Summary'!$B$11)=0),I50,0)+IF(AND(A72&gt;A51,A72&lt;=A51+'Summary'!$B$10*12,MOD(A72-A51,'Summary'!$B$11)=0),I51,0)+IF(AND(A72&gt;A52,A72&lt;=A52+'Summary'!$B$10*12,MOD(A72-A52,'Summary'!$B$11)=0),I52,0)+IF(AND(A72&gt;A53,A72&lt;=A53+'Summary'!$B$10*12,MOD(A72-A53,'Summary'!$B$11)=0),I53,0)+IF(AND(A72&gt;A54,A72&lt;=A54+'Summary'!$B$10*12,MOD(A72-A54,'Summary'!$B$11)=0),I54,0)+IF(AND(A72&gt;A55,A72&lt;=A55+'Summary'!$B$10*12,MOD(A72-A55,'Summary'!$B$11)=0),I55,0)+IF(AND(A72&gt;A56,A72&lt;=A56+'Summary'!$B$10*12,MOD(A72-A56,'Summary'!$B$11)=0),I56,0)+IF(AND(A72&gt;A57,A72&lt;=A57+'Summary'!$B$10*12,MOD(A72-A57,'Summary'!$B$11)=0),I57,0)+IF(AND(A72&gt;A58,A72&lt;=A58+'Summary'!$B$10*12,MOD(A72-A58,'Summary'!$B$11)=0),I58,0)+IF(AND(A72&gt;A59,A72&lt;=A59+'Summary'!$B$10*12,MOD(A72-A59,'Summary'!$B$11)=0),I59,0)+IF(AND(A72&gt;A60,A72&lt;=A60+'Summary'!$B$10*12,MOD(A72-A60,'Summary'!$B$11)=0),I60,0)+IF(AND(A72&gt;A61,A72&lt;=A61+'Summary'!$B$10*12,MOD(A72-A61,'Summary'!$B$11)=0),I61,0)+IF(AND(A72&gt;A62,A72&lt;=A62+'Summary'!$B$10*12,MOD(A72-A62,'Summary'!$B$11)=0),I62,0)+IF(AND(A72&gt;A63,A72&lt;=A63+'Summary'!$B$10*12,MOD(A72-A63,'Summary'!$B$11)=0),I63,0)+IF(AND(A72&gt;A64,A72&lt;=A64+'Summary'!$B$10*12,MOD(A72-A64,'Summary'!$B$11)=0),I64,0)+IF(AND(A72&gt;A65,A72&lt;=A65+'Summary'!$B$10*12,MOD(A72-A65,'Summary'!$B$11)=0),I65,0)+IF(AND(A72&gt;A66,A72&lt;=A66+'Summary'!$B$10*12,MOD(A72-A66,'Summary'!$B$11)=0),I66,0)+IF(AND(A72&gt;A67,A72&lt;=A67+'Summary'!$B$10*12,MOD(A72-A67,'Summary'!$B$11)=0),I67,0)+IF(AND(A72&gt;A68,A72&lt;=A68+'Summary'!$B$10*12,MOD(A72-A68,'Summary'!$B$11)=0),I68,0)+IF(AND(A72&gt;A69,A72&lt;=A69+'Summary'!$B$10*12,MOD(A72-A69,'Summary'!$B$11)=0),I69,0)+IF(AND(A72&gt;A70,A72&lt;=A70+'Summary'!$B$10*12,MOD(A72-A70,'Summary'!$B$11)=0),I70,0)+IF(AND(A72&gt;A71,A72&lt;=A71+'Summary'!$B$10*12,MOD(A72-A71,'Summary'!$B$11)=0),I71,0))*'Summary'!$B$8/2</x:f>
        <x:v>20.236608705925363</x:v>
      </x:c>
      <x:c r="G72" s="62" t="n">
        <x:f>IF(A72=A8+'Summary'!$B$10*12,I8,0)+IF(A72=A9+'Summary'!$B$10*12,I9,0)+IF(A72=A10+'Summary'!$B$10*12,I10,0)+IF(A72=A11+'Summary'!$B$10*12,I11,0)+IF(A72=A12+'Summary'!$B$10*12,I12,0)+IF(A72=A13+'Summary'!$B$10*12,I13,0)+IF(A72=A14+'Summary'!$B$10*12,I14,0)+IF(A72=A15+'Summary'!$B$10*12,I15,0)+IF(A72=A16+'Summary'!$B$10*12,I16,0)+IF(A72=A17+'Summary'!$B$10*12,I17,0)+IF(A72=A18+'Summary'!$B$10*12,I18,0)+IF(A72=A19+'Summary'!$B$10*12,I19,0)+IF(A72=A20+'Summary'!$B$10*12,I20,0)+IF(A72=A21+'Summary'!$B$10*12,I21,0)+IF(A72=A22+'Summary'!$B$10*12,I22,0)+IF(A72=A23+'Summary'!$B$10*12,I23,0)+IF(A72=A24+'Summary'!$B$10*12,I24,0)+IF(A72=A25+'Summary'!$B$10*12,I25,0)+IF(A72=A26+'Summary'!$B$10*12,I26,0)+IF(A72=A27+'Summary'!$B$10*12,I27,0)+IF(A72=A28+'Summary'!$B$10*12,I28,0)+IF(A72=A29+'Summary'!$B$10*12,I29,0)+IF(A72=A30+'Summary'!$B$10*12,I30,0)+IF(A72=A31+'Summary'!$B$10*12,I31,0)+IF(A72=A32+'Summary'!$B$10*12,I32,0)+IF(A72=A33+'Summary'!$B$10*12,I33,0)+IF(A72=A34+'Summary'!$B$10*12,I34,0)+IF(A72=A35+'Summary'!$B$10*12,I35,0)+IF(A72=A36+'Summary'!$B$10*12,I36,0)+IF(A72=A37+'Summary'!$B$10*12,I37,0)+IF(A72=A38+'Summary'!$B$10*12,I38,0)+IF(A72=A39+'Summary'!$B$10*12,I39,0)+IF(A72=A40+'Summary'!$B$10*12,I40,0)+IF(A72=A41+'Summary'!$B$10*12,I41,0)+IF(A72=A42+'Summary'!$B$10*12,I42,0)+IF(A72=A43+'Summary'!$B$10*12,I43,0)+IF(A72=A44+'Summary'!$B$10*12,I44,0)+IF(A72=A45+'Summary'!$B$10*12,I45,0)+IF(A72=A46+'Summary'!$B$10*12,I46,0)+IF(A72=A47+'Summary'!$B$10*12,I47,0)+IF(A72=A48+'Summary'!$B$10*12,I48,0)+IF(A72=A49+'Summary'!$B$10*12,I49,0)+IF(A72=A50+'Summary'!$B$10*12,I50,0)+IF(A72=A51+'Summary'!$B$10*12,I51,0)+IF(A72=A52+'Summary'!$B$10*12,I52,0)+IF(A72=A53+'Summary'!$B$10*12,I53,0)+IF(A72=A54+'Summary'!$B$10*12,I54,0)+IF(A72=A55+'Summary'!$B$10*12,I55,0)+IF(A72=A56+'Summary'!$B$10*12,I56,0)+IF(A72=A57+'Summary'!$B$10*12,I57,0)+IF(A72=A58+'Summary'!$B$10*12,I58,0)+IF(A72=A59+'Summary'!$B$10*12,I59,0)+IF(A72=A60+'Summary'!$B$10*12,I60,0)+IF(A72=A61+'Summary'!$B$10*12,I61,0)+IF(A72=A62+'Summary'!$B$10*12,I62,0)+IF(A72=A63+'Summary'!$B$10*12,I63,0)+IF(A72=A64+'Summary'!$B$10*12,I64,0)+IF(A72=A65+'Summary'!$B$10*12,I65,0)+IF(A72=A66+'Summary'!$B$10*12,I66,0)+IF(A72=A67+'Summary'!$B$10*12,I67,0)+IF(A72=A68+'Summary'!$B$10*12,I68,0)+IF(A72=A69+'Summary'!$B$10*12,I69,0)+IF(A72=A70+'Summary'!$B$10*12,I70,0)+IF(A72=A71+'Summary'!$B$10*12,I71,0)</x:f>
        <x:v>100</x:v>
      </x:c>
      <x:c r="H72" s="62" t="n">
        <x:f>E72+D72+F72+G72</x:f>
        <x:v>220.23660870592536</x:v>
      </x:c>
      <x:c r="I72" s="62" t="n">
        <x:f>IF(B72,IF(H72&gt;='Summary'!$B$12,H72,0),0)</x:f>
        <x:v>220.23660870592536</x:v>
      </x:c>
      <x:c r="J72" s="62" t="n">
        <x:f>H72-I72</x:f>
        <x:v>0</x:v>
      </x:c>
      <x:c r="K72" s="63" t="n">
        <x:f>J72+IF(A8+'Summary'!$B$10*12&gt;A72,I8,0)+IF(A9+'Summary'!$B$10*12&gt;A72,I9,0)+IF(A10+'Summary'!$B$10*12&gt;A72,I10,0)+IF(A11+'Summary'!$B$10*12&gt;A72,I11,0)+IF(A12+'Summary'!$B$10*12&gt;A72,I12,0)+IF(A13+'Summary'!$B$10*12&gt;A72,I13,0)+IF(A14+'Summary'!$B$10*12&gt;A72,I14,0)+IF(A15+'Summary'!$B$10*12&gt;A72,I15,0)+IF(A16+'Summary'!$B$10*12&gt;A72,I16,0)+IF(A17+'Summary'!$B$10*12&gt;A72,I17,0)+IF(A18+'Summary'!$B$10*12&gt;A72,I18,0)+IF(A19+'Summary'!$B$10*12&gt;A72,I19,0)+IF(A20+'Summary'!$B$10*12&gt;A72,I20,0)+IF(A21+'Summary'!$B$10*12&gt;A72,I21,0)+IF(A22+'Summary'!$B$10*12&gt;A72,I22,0)+IF(A23+'Summary'!$B$10*12&gt;A72,I23,0)+IF(A24+'Summary'!$B$10*12&gt;A72,I24,0)+IF(A25+'Summary'!$B$10*12&gt;A72,I25,0)+IF(A26+'Summary'!$B$10*12&gt;A72,I26,0)+IF(A27+'Summary'!$B$10*12&gt;A72,I27,0)+IF(A28+'Summary'!$B$10*12&gt;A72,I28,0)+IF(A29+'Summary'!$B$10*12&gt;A72,I29,0)+IF(A30+'Summary'!$B$10*12&gt;A72,I30,0)+IF(A31+'Summary'!$B$10*12&gt;A72,I31,0)+IF(A32+'Summary'!$B$10*12&gt;A72,I32,0)+IF(A33+'Summary'!$B$10*12&gt;A72,I33,0)+IF(A34+'Summary'!$B$10*12&gt;A72,I34,0)+IF(A35+'Summary'!$B$10*12&gt;A72,I35,0)+IF(A36+'Summary'!$B$10*12&gt;A72,I36,0)+IF(A37+'Summary'!$B$10*12&gt;A72,I37,0)+IF(A38+'Summary'!$B$10*12&gt;A72,I38,0)+IF(A39+'Summary'!$B$10*12&gt;A72,I39,0)+IF(A40+'Summary'!$B$10*12&gt;A72,I40,0)+IF(A41+'Summary'!$B$10*12&gt;A72,I41,0)+IF(A42+'Summary'!$B$10*12&gt;A72,I42,0)+IF(A43+'Summary'!$B$10*12&gt;A72,I43,0)+IF(A44+'Summary'!$B$10*12&gt;A72,I44,0)+IF(A45+'Summary'!$B$10*12&gt;A72,I45,0)+IF(A46+'Summary'!$B$10*12&gt;A72,I46,0)+IF(A47+'Summary'!$B$10*12&gt;A72,I47,0)+IF(A48+'Summary'!$B$10*12&gt;A72,I48,0)+IF(A49+'Summary'!$B$10*12&gt;A72,I49,0)+IF(A50+'Summary'!$B$10*12&gt;A72,I50,0)+IF(A51+'Summary'!$B$10*12&gt;A72,I51,0)+IF(A52+'Summary'!$B$10*12&gt;A72,I52,0)+IF(A53+'Summary'!$B$10*12&gt;A72,I53,0)+IF(A54+'Summary'!$B$10*12&gt;A72,I54,0)+IF(A55+'Summary'!$B$10*12&gt;A72,I55,0)+IF(A56+'Summary'!$B$10*12&gt;A72,I56,0)+IF(A57+'Summary'!$B$10*12&gt;A72,I57,0)+IF(A58+'Summary'!$B$10*12&gt;A72,I58,0)+IF(A59+'Summary'!$B$10*12&gt;A72,I59,0)+IF(A60+'Summary'!$B$10*12&gt;A72,I60,0)+IF(A61+'Summary'!$B$10*12&gt;A72,I61,0)+IF(A62+'Summary'!$B$10*12&gt;A72,I62,0)+IF(A63+'Summary'!$B$10*12&gt;A72,I63,0)+IF(A64+'Summary'!$B$10*12&gt;A72,I64,0)+IF(A65+'Summary'!$B$10*12&gt;A72,I65,0)+IF(A66+'Summary'!$B$10*12&gt;A72,I66,0)+IF(A67+'Summary'!$B$10*12&gt;A72,I67,0)+IF(A68+'Summary'!$B$10*12&gt;A72,I68,0)+IF(A69+'Summary'!$B$10*12&gt;A72,I69,0)+IF(A70+'Summary'!$B$10*12&gt;A72,I70,0)+IF(A71+'Summary'!$B$10*12&gt;A72,I71,0)+IF(A72+'Summary'!$B$10*12&gt;A72,I72,0)</x:f>
        <x:v>19152.782206356143</x:v>
      </x:c>
    </x:row>
    <x:row r="73">
      <x:c r="A73" s="55" t="n">
        <x:v>65</x:v>
      </x:c>
      <x:c r="B73" s="71" t="b">
        <x:f>A73&lt;='Summary'!$B$9*12</x:f>
        <x:v>1</x:v>
      </x:c>
      <x:c r="C73" s="62" t="n">
        <x:f>IF(A73=0,IF('Summary'!$B$6&gt;=5,'Summary'!$B$6,0),C72)+IF(A73&lt;'Summary'!$B$9*12,IF('Summary'!$B$7&gt;=5,'Summary'!$B$7,0),0)</x:f>
        <x:v>16600</x:v>
      </x:c>
      <x:c r="D73" s="62" t="n">
        <x:f>IF(A73=0,IF('Summary'!$B$6&gt;=5,'Summary'!$B$6,0),0)+IF(A73&lt;'Summary'!$B$9*12,IF('Summary'!$B$7&gt;=5,'Summary'!$B$7,0),0)</x:f>
        <x:v>100</x:v>
      </x:c>
      <x:c r="E73" s="62" t="n">
        <x:f>J72</x:f>
        <x:v>0</x:v>
      </x:c>
      <x:c r="F73" s="62" t="n">
        <x:f>(IF(AND(A73&gt;A8,A73&lt;=A8+'Summary'!$B$10*12,MOD(A73-A8,'Summary'!$B$11)=0),I8,0)+IF(AND(A73&gt;A9,A73&lt;=A9+'Summary'!$B$10*12,MOD(A73-A9,'Summary'!$B$11)=0),I9,0)+IF(AND(A73&gt;A10,A73&lt;=A10+'Summary'!$B$10*12,MOD(A73-A10,'Summary'!$B$11)=0),I10,0)+IF(AND(A73&gt;A11,A73&lt;=A11+'Summary'!$B$10*12,MOD(A73-A11,'Summary'!$B$11)=0),I11,0)+IF(AND(A73&gt;A12,A73&lt;=A12+'Summary'!$B$10*12,MOD(A73-A12,'Summary'!$B$11)=0),I12,0)+IF(AND(A73&gt;A13,A73&lt;=A13+'Summary'!$B$10*12,MOD(A73-A13,'Summary'!$B$11)=0),I13,0)+IF(AND(A73&gt;A14,A73&lt;=A14+'Summary'!$B$10*12,MOD(A73-A14,'Summary'!$B$11)=0),I14,0)+IF(AND(A73&gt;A15,A73&lt;=A15+'Summary'!$B$10*12,MOD(A73-A15,'Summary'!$B$11)=0),I15,0)+IF(AND(A73&gt;A16,A73&lt;=A16+'Summary'!$B$10*12,MOD(A73-A16,'Summary'!$B$11)=0),I16,0)+IF(AND(A73&gt;A17,A73&lt;=A17+'Summary'!$B$10*12,MOD(A73-A17,'Summary'!$B$11)=0),I17,0)+IF(AND(A73&gt;A18,A73&lt;=A18+'Summary'!$B$10*12,MOD(A73-A18,'Summary'!$B$11)=0),I18,0)+IF(AND(A73&gt;A19,A73&lt;=A19+'Summary'!$B$10*12,MOD(A73-A19,'Summary'!$B$11)=0),I19,0)+IF(AND(A73&gt;A20,A73&lt;=A20+'Summary'!$B$10*12,MOD(A73-A20,'Summary'!$B$11)=0),I20,0)+IF(AND(A73&gt;A21,A73&lt;=A21+'Summary'!$B$10*12,MOD(A73-A21,'Summary'!$B$11)=0),I21,0)+IF(AND(A73&gt;A22,A73&lt;=A22+'Summary'!$B$10*12,MOD(A73-A22,'Summary'!$B$11)=0),I22,0)+IF(AND(A73&gt;A23,A73&lt;=A23+'Summary'!$B$10*12,MOD(A73-A23,'Summary'!$B$11)=0),I23,0)+IF(AND(A73&gt;A24,A73&lt;=A24+'Summary'!$B$10*12,MOD(A73-A24,'Summary'!$B$11)=0),I24,0)+IF(AND(A73&gt;A25,A73&lt;=A25+'Summary'!$B$10*12,MOD(A73-A25,'Summary'!$B$11)=0),I25,0)+IF(AND(A73&gt;A26,A73&lt;=A26+'Summary'!$B$10*12,MOD(A73-A26,'Summary'!$B$11)=0),I26,0)+IF(AND(A73&gt;A27,A73&lt;=A27+'Summary'!$B$10*12,MOD(A73-A27,'Summary'!$B$11)=0),I27,0)+IF(AND(A73&gt;A28,A73&lt;=A28+'Summary'!$B$10*12,MOD(A73-A28,'Summary'!$B$11)=0),I28,0)+IF(AND(A73&gt;A29,A73&lt;=A29+'Summary'!$B$10*12,MOD(A73-A29,'Summary'!$B$11)=0),I29,0)+IF(AND(A73&gt;A30,A73&lt;=A30+'Summary'!$B$10*12,MOD(A73-A30,'Summary'!$B$11)=0),I30,0)+IF(AND(A73&gt;A31,A73&lt;=A31+'Summary'!$B$10*12,MOD(A73-A31,'Summary'!$B$11)=0),I31,0)+IF(AND(A73&gt;A32,A73&lt;=A32+'Summary'!$B$10*12,MOD(A73-A32,'Summary'!$B$11)=0),I32,0)+IF(AND(A73&gt;A33,A73&lt;=A33+'Summary'!$B$10*12,MOD(A73-A33,'Summary'!$B$11)=0),I33,0)+IF(AND(A73&gt;A34,A73&lt;=A34+'Summary'!$B$10*12,MOD(A73-A34,'Summary'!$B$11)=0),I34,0)+IF(AND(A73&gt;A35,A73&lt;=A35+'Summary'!$B$10*12,MOD(A73-A35,'Summary'!$B$11)=0),I35,0)+IF(AND(A73&gt;A36,A73&lt;=A36+'Summary'!$B$10*12,MOD(A73-A36,'Summary'!$B$11)=0),I36,0)+IF(AND(A73&gt;A37,A73&lt;=A37+'Summary'!$B$10*12,MOD(A73-A37,'Summary'!$B$11)=0),I37,0)+IF(AND(A73&gt;A38,A73&lt;=A38+'Summary'!$B$10*12,MOD(A73-A38,'Summary'!$B$11)=0),I38,0)+IF(AND(A73&gt;A39,A73&lt;=A39+'Summary'!$B$10*12,MOD(A73-A39,'Summary'!$B$11)=0),I39,0)+IF(AND(A73&gt;A40,A73&lt;=A40+'Summary'!$B$10*12,MOD(A73-A40,'Summary'!$B$11)=0),I40,0)+IF(AND(A73&gt;A41,A73&lt;=A41+'Summary'!$B$10*12,MOD(A73-A41,'Summary'!$B$11)=0),I41,0)+IF(AND(A73&gt;A42,A73&lt;=A42+'Summary'!$B$10*12,MOD(A73-A42,'Summary'!$B$11)=0),I42,0)+IF(AND(A73&gt;A43,A73&lt;=A43+'Summary'!$B$10*12,MOD(A73-A43,'Summary'!$B$11)=0),I43,0)+IF(AND(A73&gt;A44,A73&lt;=A44+'Summary'!$B$10*12,MOD(A73-A44,'Summary'!$B$11)=0),I44,0)+IF(AND(A73&gt;A45,A73&lt;=A45+'Summary'!$B$10*12,MOD(A73-A45,'Summary'!$B$11)=0),I45,0)+IF(AND(A73&gt;A46,A73&lt;=A46+'Summary'!$B$10*12,MOD(A73-A46,'Summary'!$B$11)=0),I46,0)+IF(AND(A73&gt;A47,A73&lt;=A47+'Summary'!$B$10*12,MOD(A73-A47,'Summary'!$B$11)=0),I47,0)+IF(AND(A73&gt;A48,A73&lt;=A48+'Summary'!$B$10*12,MOD(A73-A48,'Summary'!$B$11)=0),I48,0)+IF(AND(A73&gt;A49,A73&lt;=A49+'Summary'!$B$10*12,MOD(A73-A49,'Summary'!$B$11)=0),I49,0)+IF(AND(A73&gt;A50,A73&lt;=A50+'Summary'!$B$10*12,MOD(A73-A50,'Summary'!$B$11)=0),I50,0)+IF(AND(A73&gt;A51,A73&lt;=A51+'Summary'!$B$10*12,MOD(A73-A51,'Summary'!$B$11)=0),I51,0)+IF(AND(A73&gt;A52,A73&lt;=A52+'Summary'!$B$10*12,MOD(A73-A52,'Summary'!$B$11)=0),I52,0)+IF(AND(A73&gt;A53,A73&lt;=A53+'Summary'!$B$10*12,MOD(A73-A53,'Summary'!$B$11)=0),I53,0)+IF(AND(A73&gt;A54,A73&lt;=A54+'Summary'!$B$10*12,MOD(A73-A54,'Summary'!$B$11)=0),I54,0)+IF(AND(A73&gt;A55,A73&lt;=A55+'Summary'!$B$10*12,MOD(A73-A55,'Summary'!$B$11)=0),I55,0)+IF(AND(A73&gt;A56,A73&lt;=A56+'Summary'!$B$10*12,MOD(A73-A56,'Summary'!$B$11)=0),I56,0)+IF(AND(A73&gt;A57,A73&lt;=A57+'Summary'!$B$10*12,MOD(A73-A57,'Summary'!$B$11)=0),I57,0)+IF(AND(A73&gt;A58,A73&lt;=A58+'Summary'!$B$10*12,MOD(A73-A58,'Summary'!$B$11)=0),I58,0)+IF(AND(A73&gt;A59,A73&lt;=A59+'Summary'!$B$10*12,MOD(A73-A59,'Summary'!$B$11)=0),I59,0)+IF(AND(A73&gt;A60,A73&lt;=A60+'Summary'!$B$10*12,MOD(A73-A60,'Summary'!$B$11)=0),I60,0)+IF(AND(A73&gt;A61,A73&lt;=A61+'Summary'!$B$10*12,MOD(A73-A61,'Summary'!$B$11)=0),I61,0)+IF(AND(A73&gt;A62,A73&lt;=A62+'Summary'!$B$10*12,MOD(A73-A62,'Summary'!$B$11)=0),I62,0)+IF(AND(A73&gt;A63,A73&lt;=A63+'Summary'!$B$10*12,MOD(A73-A63,'Summary'!$B$11)=0),I63,0)+IF(AND(A73&gt;A64,A73&lt;=A64+'Summary'!$B$10*12,MOD(A73-A64,'Summary'!$B$11)=0),I64,0)+IF(AND(A73&gt;A65,A73&lt;=A65+'Summary'!$B$10*12,MOD(A73-A65,'Summary'!$B$11)=0),I65,0)+IF(AND(A73&gt;A66,A73&lt;=A66+'Summary'!$B$10*12,MOD(A73-A66,'Summary'!$B$11)=0),I66,0)+IF(AND(A73&gt;A67,A73&lt;=A67+'Summary'!$B$10*12,MOD(A73-A67,'Summary'!$B$11)=0),I67,0)+IF(AND(A73&gt;A68,A73&lt;=A68+'Summary'!$B$10*12,MOD(A73-A68,'Summary'!$B$11)=0),I68,0)+IF(AND(A73&gt;A69,A73&lt;=A69+'Summary'!$B$10*12,MOD(A73-A69,'Summary'!$B$11)=0),I69,0)+IF(AND(A73&gt;A70,A73&lt;=A70+'Summary'!$B$10*12,MOD(A73-A70,'Summary'!$B$11)=0),I70,0)+IF(AND(A73&gt;A71,A73&lt;=A71+'Summary'!$B$10*12,MOD(A73-A71,'Summary'!$B$11)=0),I71,0)+IF(AND(A73&gt;A72,A73&lt;=A72+'Summary'!$B$10*12,MOD(A73-A72,'Summary'!$B$11)=0),I72,0))*'Summary'!$B$8/2</x:f>
        <x:v>20.236608705925363</x:v>
      </x:c>
      <x:c r="G73" s="62" t="n">
        <x:f>IF(A73=A8+'Summary'!$B$10*12,I8,0)+IF(A73=A9+'Summary'!$B$10*12,I9,0)+IF(A73=A10+'Summary'!$B$10*12,I10,0)+IF(A73=A11+'Summary'!$B$10*12,I11,0)+IF(A73=A12+'Summary'!$B$10*12,I12,0)+IF(A73=A13+'Summary'!$B$10*12,I13,0)+IF(A73=A14+'Summary'!$B$10*12,I14,0)+IF(A73=A15+'Summary'!$B$10*12,I15,0)+IF(A73=A16+'Summary'!$B$10*12,I16,0)+IF(A73=A17+'Summary'!$B$10*12,I17,0)+IF(A73=A18+'Summary'!$B$10*12,I18,0)+IF(A73=A19+'Summary'!$B$10*12,I19,0)+IF(A73=A20+'Summary'!$B$10*12,I20,0)+IF(A73=A21+'Summary'!$B$10*12,I21,0)+IF(A73=A22+'Summary'!$B$10*12,I22,0)+IF(A73=A23+'Summary'!$B$10*12,I23,0)+IF(A73=A24+'Summary'!$B$10*12,I24,0)+IF(A73=A25+'Summary'!$B$10*12,I25,0)+IF(A73=A26+'Summary'!$B$10*12,I26,0)+IF(A73=A27+'Summary'!$B$10*12,I27,0)+IF(A73=A28+'Summary'!$B$10*12,I28,0)+IF(A73=A29+'Summary'!$B$10*12,I29,0)+IF(A73=A30+'Summary'!$B$10*12,I30,0)+IF(A73=A31+'Summary'!$B$10*12,I31,0)+IF(A73=A32+'Summary'!$B$10*12,I32,0)+IF(A73=A33+'Summary'!$B$10*12,I33,0)+IF(A73=A34+'Summary'!$B$10*12,I34,0)+IF(A73=A35+'Summary'!$B$10*12,I35,0)+IF(A73=A36+'Summary'!$B$10*12,I36,0)+IF(A73=A37+'Summary'!$B$10*12,I37,0)+IF(A73=A38+'Summary'!$B$10*12,I38,0)+IF(A73=A39+'Summary'!$B$10*12,I39,0)+IF(A73=A40+'Summary'!$B$10*12,I40,0)+IF(A73=A41+'Summary'!$B$10*12,I41,0)+IF(A73=A42+'Summary'!$B$10*12,I42,0)+IF(A73=A43+'Summary'!$B$10*12,I43,0)+IF(A73=A44+'Summary'!$B$10*12,I44,0)+IF(A73=A45+'Summary'!$B$10*12,I45,0)+IF(A73=A46+'Summary'!$B$10*12,I46,0)+IF(A73=A47+'Summary'!$B$10*12,I47,0)+IF(A73=A48+'Summary'!$B$10*12,I48,0)+IF(A73=A49+'Summary'!$B$10*12,I49,0)+IF(A73=A50+'Summary'!$B$10*12,I50,0)+IF(A73=A51+'Summary'!$B$10*12,I51,0)+IF(A73=A52+'Summary'!$B$10*12,I52,0)+IF(A73=A53+'Summary'!$B$10*12,I53,0)+IF(A73=A54+'Summary'!$B$10*12,I54,0)+IF(A73=A55+'Summary'!$B$10*12,I55,0)+IF(A73=A56+'Summary'!$B$10*12,I56,0)+IF(A73=A57+'Summary'!$B$10*12,I57,0)+IF(A73=A58+'Summary'!$B$10*12,I58,0)+IF(A73=A59+'Summary'!$B$10*12,I59,0)+IF(A73=A60+'Summary'!$B$10*12,I60,0)+IF(A73=A61+'Summary'!$B$10*12,I61,0)+IF(A73=A62+'Summary'!$B$10*12,I62,0)+IF(A73=A63+'Summary'!$B$10*12,I63,0)+IF(A73=A64+'Summary'!$B$10*12,I64,0)+IF(A73=A65+'Summary'!$B$10*12,I65,0)+IF(A73=A66+'Summary'!$B$10*12,I66,0)+IF(A73=A67+'Summary'!$B$10*12,I67,0)+IF(A73=A68+'Summary'!$B$10*12,I68,0)+IF(A73=A69+'Summary'!$B$10*12,I69,0)+IF(A73=A70+'Summary'!$B$10*12,I70,0)+IF(A73=A71+'Summary'!$B$10*12,I71,0)+IF(A73=A72+'Summary'!$B$10*12,I72,0)</x:f>
        <x:v>100</x:v>
      </x:c>
      <x:c r="H73" s="62" t="n">
        <x:f>E73+D73+F73+G73</x:f>
        <x:v>220.23660870592536</x:v>
      </x:c>
      <x:c r="I73" s="62" t="n">
        <x:f>IF(B73,IF(H73&gt;='Summary'!$B$12,H73,0),0)</x:f>
        <x:v>220.23660870592536</x:v>
      </x:c>
      <x:c r="J73" s="62" t="n">
        <x:f>H73-I73</x:f>
        <x:v>0</x:v>
      </x:c>
      <x:c r="K73" s="63" t="n">
        <x:f>J73+IF(A8+'Summary'!$B$10*12&gt;A73,I8,0)+IF(A9+'Summary'!$B$10*12&gt;A73,I9,0)+IF(A10+'Summary'!$B$10*12&gt;A73,I10,0)+IF(A11+'Summary'!$B$10*12&gt;A73,I11,0)+IF(A12+'Summary'!$B$10*12&gt;A73,I12,0)+IF(A13+'Summary'!$B$10*12&gt;A73,I13,0)+IF(A14+'Summary'!$B$10*12&gt;A73,I14,0)+IF(A15+'Summary'!$B$10*12&gt;A73,I15,0)+IF(A16+'Summary'!$B$10*12&gt;A73,I16,0)+IF(A17+'Summary'!$B$10*12&gt;A73,I17,0)+IF(A18+'Summary'!$B$10*12&gt;A73,I18,0)+IF(A19+'Summary'!$B$10*12&gt;A73,I19,0)+IF(A20+'Summary'!$B$10*12&gt;A73,I20,0)+IF(A21+'Summary'!$B$10*12&gt;A73,I21,0)+IF(A22+'Summary'!$B$10*12&gt;A73,I22,0)+IF(A23+'Summary'!$B$10*12&gt;A73,I23,0)+IF(A24+'Summary'!$B$10*12&gt;A73,I24,0)+IF(A25+'Summary'!$B$10*12&gt;A73,I25,0)+IF(A26+'Summary'!$B$10*12&gt;A73,I26,0)+IF(A27+'Summary'!$B$10*12&gt;A73,I27,0)+IF(A28+'Summary'!$B$10*12&gt;A73,I28,0)+IF(A29+'Summary'!$B$10*12&gt;A73,I29,0)+IF(A30+'Summary'!$B$10*12&gt;A73,I30,0)+IF(A31+'Summary'!$B$10*12&gt;A73,I31,0)+IF(A32+'Summary'!$B$10*12&gt;A73,I32,0)+IF(A33+'Summary'!$B$10*12&gt;A73,I33,0)+IF(A34+'Summary'!$B$10*12&gt;A73,I34,0)+IF(A35+'Summary'!$B$10*12&gt;A73,I35,0)+IF(A36+'Summary'!$B$10*12&gt;A73,I36,0)+IF(A37+'Summary'!$B$10*12&gt;A73,I37,0)+IF(A38+'Summary'!$B$10*12&gt;A73,I38,0)+IF(A39+'Summary'!$B$10*12&gt;A73,I39,0)+IF(A40+'Summary'!$B$10*12&gt;A73,I40,0)+IF(A41+'Summary'!$B$10*12&gt;A73,I41,0)+IF(A42+'Summary'!$B$10*12&gt;A73,I42,0)+IF(A43+'Summary'!$B$10*12&gt;A73,I43,0)+IF(A44+'Summary'!$B$10*12&gt;A73,I44,0)+IF(A45+'Summary'!$B$10*12&gt;A73,I45,0)+IF(A46+'Summary'!$B$10*12&gt;A73,I46,0)+IF(A47+'Summary'!$B$10*12&gt;A73,I47,0)+IF(A48+'Summary'!$B$10*12&gt;A73,I48,0)+IF(A49+'Summary'!$B$10*12&gt;A73,I49,0)+IF(A50+'Summary'!$B$10*12&gt;A73,I50,0)+IF(A51+'Summary'!$B$10*12&gt;A73,I51,0)+IF(A52+'Summary'!$B$10*12&gt;A73,I52,0)+IF(A53+'Summary'!$B$10*12&gt;A73,I53,0)+IF(A54+'Summary'!$B$10*12&gt;A73,I54,0)+IF(A55+'Summary'!$B$10*12&gt;A73,I55,0)+IF(A56+'Summary'!$B$10*12&gt;A73,I56,0)+IF(A57+'Summary'!$B$10*12&gt;A73,I57,0)+IF(A58+'Summary'!$B$10*12&gt;A73,I58,0)+IF(A59+'Summary'!$B$10*12&gt;A73,I59,0)+IF(A60+'Summary'!$B$10*12&gt;A73,I60,0)+IF(A61+'Summary'!$B$10*12&gt;A73,I61,0)+IF(A62+'Summary'!$B$10*12&gt;A73,I62,0)+IF(A63+'Summary'!$B$10*12&gt;A73,I63,0)+IF(A64+'Summary'!$B$10*12&gt;A73,I64,0)+IF(A65+'Summary'!$B$10*12&gt;A73,I65,0)+IF(A66+'Summary'!$B$10*12&gt;A73,I66,0)+IF(A67+'Summary'!$B$10*12&gt;A73,I67,0)+IF(A68+'Summary'!$B$10*12&gt;A73,I68,0)+IF(A69+'Summary'!$B$10*12&gt;A73,I69,0)+IF(A70+'Summary'!$B$10*12&gt;A73,I70,0)+IF(A71+'Summary'!$B$10*12&gt;A73,I71,0)+IF(A72+'Summary'!$B$10*12&gt;A73,I72,0)+IF(A73+'Summary'!$B$10*12&gt;A73,I73,0)</x:f>
        <x:v>19273.018815062067</x:v>
      </x:c>
    </x:row>
    <x:row r="74">
      <x:c r="A74" s="55" t="n">
        <x:v>66</x:v>
      </x:c>
      <x:c r="B74" s="71" t="b">
        <x:f>A74&lt;='Summary'!$B$9*12</x:f>
        <x:v>1</x:v>
      </x:c>
      <x:c r="C74" s="62" t="n">
        <x:f>IF(A74=0,IF('Summary'!$B$6&gt;=5,'Summary'!$B$6,0),C73)+IF(A74&lt;'Summary'!$B$9*12,IF('Summary'!$B$7&gt;=5,'Summary'!$B$7,0),0)</x:f>
        <x:v>16700</x:v>
      </x:c>
      <x:c r="D74" s="62" t="n">
        <x:f>IF(A74=0,IF('Summary'!$B$6&gt;=5,'Summary'!$B$6,0),0)+IF(A74&lt;'Summary'!$B$9*12,IF('Summary'!$B$7&gt;=5,'Summary'!$B$7,0),0)</x:f>
        <x:v>100</x:v>
      </x:c>
      <x:c r="E74" s="62" t="n">
        <x:f>J73</x:f>
        <x:v>0</x:v>
      </x:c>
      <x:c r="F74" s="62" t="n">
        <x:f>(IF(AND(A74&gt;A8,A74&lt;=A8+'Summary'!$B$10*12,MOD(A74-A8,'Summary'!$B$11)=0),I8,0)+IF(AND(A74&gt;A9,A74&lt;=A9+'Summary'!$B$10*12,MOD(A74-A9,'Summary'!$B$11)=0),I9,0)+IF(AND(A74&gt;A10,A74&lt;=A10+'Summary'!$B$10*12,MOD(A74-A10,'Summary'!$B$11)=0),I10,0)+IF(AND(A74&gt;A11,A74&lt;=A11+'Summary'!$B$10*12,MOD(A74-A11,'Summary'!$B$11)=0),I11,0)+IF(AND(A74&gt;A12,A74&lt;=A12+'Summary'!$B$10*12,MOD(A74-A12,'Summary'!$B$11)=0),I12,0)+IF(AND(A74&gt;A13,A74&lt;=A13+'Summary'!$B$10*12,MOD(A74-A13,'Summary'!$B$11)=0),I13,0)+IF(AND(A74&gt;A14,A74&lt;=A14+'Summary'!$B$10*12,MOD(A74-A14,'Summary'!$B$11)=0),I14,0)+IF(AND(A74&gt;A15,A74&lt;=A15+'Summary'!$B$10*12,MOD(A74-A15,'Summary'!$B$11)=0),I15,0)+IF(AND(A74&gt;A16,A74&lt;=A16+'Summary'!$B$10*12,MOD(A74-A16,'Summary'!$B$11)=0),I16,0)+IF(AND(A74&gt;A17,A74&lt;=A17+'Summary'!$B$10*12,MOD(A74-A17,'Summary'!$B$11)=0),I17,0)+IF(AND(A74&gt;A18,A74&lt;=A18+'Summary'!$B$10*12,MOD(A74-A18,'Summary'!$B$11)=0),I18,0)+IF(AND(A74&gt;A19,A74&lt;=A19+'Summary'!$B$10*12,MOD(A74-A19,'Summary'!$B$11)=0),I19,0)+IF(AND(A74&gt;A20,A74&lt;=A20+'Summary'!$B$10*12,MOD(A74-A20,'Summary'!$B$11)=0),I20,0)+IF(AND(A74&gt;A21,A74&lt;=A21+'Summary'!$B$10*12,MOD(A74-A21,'Summary'!$B$11)=0),I21,0)+IF(AND(A74&gt;A22,A74&lt;=A22+'Summary'!$B$10*12,MOD(A74-A22,'Summary'!$B$11)=0),I22,0)+IF(AND(A74&gt;A23,A74&lt;=A23+'Summary'!$B$10*12,MOD(A74-A23,'Summary'!$B$11)=0),I23,0)+IF(AND(A74&gt;A24,A74&lt;=A24+'Summary'!$B$10*12,MOD(A74-A24,'Summary'!$B$11)=0),I24,0)+IF(AND(A74&gt;A25,A74&lt;=A25+'Summary'!$B$10*12,MOD(A74-A25,'Summary'!$B$11)=0),I25,0)+IF(AND(A74&gt;A26,A74&lt;=A26+'Summary'!$B$10*12,MOD(A74-A26,'Summary'!$B$11)=0),I26,0)+IF(AND(A74&gt;A27,A74&lt;=A27+'Summary'!$B$10*12,MOD(A74-A27,'Summary'!$B$11)=0),I27,0)+IF(AND(A74&gt;A28,A74&lt;=A28+'Summary'!$B$10*12,MOD(A74-A28,'Summary'!$B$11)=0),I28,0)+IF(AND(A74&gt;A29,A74&lt;=A29+'Summary'!$B$10*12,MOD(A74-A29,'Summary'!$B$11)=0),I29,0)+IF(AND(A74&gt;A30,A74&lt;=A30+'Summary'!$B$10*12,MOD(A74-A30,'Summary'!$B$11)=0),I30,0)+IF(AND(A74&gt;A31,A74&lt;=A31+'Summary'!$B$10*12,MOD(A74-A31,'Summary'!$B$11)=0),I31,0)+IF(AND(A74&gt;A32,A74&lt;=A32+'Summary'!$B$10*12,MOD(A74-A32,'Summary'!$B$11)=0),I32,0)+IF(AND(A74&gt;A33,A74&lt;=A33+'Summary'!$B$10*12,MOD(A74-A33,'Summary'!$B$11)=0),I33,0)+IF(AND(A74&gt;A34,A74&lt;=A34+'Summary'!$B$10*12,MOD(A74-A34,'Summary'!$B$11)=0),I34,0)+IF(AND(A74&gt;A35,A74&lt;=A35+'Summary'!$B$10*12,MOD(A74-A35,'Summary'!$B$11)=0),I35,0)+IF(AND(A74&gt;A36,A74&lt;=A36+'Summary'!$B$10*12,MOD(A74-A36,'Summary'!$B$11)=0),I36,0)+IF(AND(A74&gt;A37,A74&lt;=A37+'Summary'!$B$10*12,MOD(A74-A37,'Summary'!$B$11)=0),I37,0)+IF(AND(A74&gt;A38,A74&lt;=A38+'Summary'!$B$10*12,MOD(A74-A38,'Summary'!$B$11)=0),I38,0)+IF(AND(A74&gt;A39,A74&lt;=A39+'Summary'!$B$10*12,MOD(A74-A39,'Summary'!$B$11)=0),I39,0)+IF(AND(A74&gt;A40,A74&lt;=A40+'Summary'!$B$10*12,MOD(A74-A40,'Summary'!$B$11)=0),I40,0)+IF(AND(A74&gt;A41,A74&lt;=A41+'Summary'!$B$10*12,MOD(A74-A41,'Summary'!$B$11)=0),I41,0)+IF(AND(A74&gt;A42,A74&lt;=A42+'Summary'!$B$10*12,MOD(A74-A42,'Summary'!$B$11)=0),I42,0)+IF(AND(A74&gt;A43,A74&lt;=A43+'Summary'!$B$10*12,MOD(A74-A43,'Summary'!$B$11)=0),I43,0)+IF(AND(A74&gt;A44,A74&lt;=A44+'Summary'!$B$10*12,MOD(A74-A44,'Summary'!$B$11)=0),I44,0)+IF(AND(A74&gt;A45,A74&lt;=A45+'Summary'!$B$10*12,MOD(A74-A45,'Summary'!$B$11)=0),I45,0)+IF(AND(A74&gt;A46,A74&lt;=A46+'Summary'!$B$10*12,MOD(A74-A46,'Summary'!$B$11)=0),I46,0)+IF(AND(A74&gt;A47,A74&lt;=A47+'Summary'!$B$10*12,MOD(A74-A47,'Summary'!$B$11)=0),I47,0)+IF(AND(A74&gt;A48,A74&lt;=A48+'Summary'!$B$10*12,MOD(A74-A48,'Summary'!$B$11)=0),I48,0)+IF(AND(A74&gt;A49,A74&lt;=A49+'Summary'!$B$10*12,MOD(A74-A49,'Summary'!$B$11)=0),I49,0)+IF(AND(A74&gt;A50,A74&lt;=A50+'Summary'!$B$10*12,MOD(A74-A50,'Summary'!$B$11)=0),I50,0)+IF(AND(A74&gt;A51,A74&lt;=A51+'Summary'!$B$10*12,MOD(A74-A51,'Summary'!$B$11)=0),I51,0)+IF(AND(A74&gt;A52,A74&lt;=A52+'Summary'!$B$10*12,MOD(A74-A52,'Summary'!$B$11)=0),I52,0)+IF(AND(A74&gt;A53,A74&lt;=A53+'Summary'!$B$10*12,MOD(A74-A53,'Summary'!$B$11)=0),I53,0)+IF(AND(A74&gt;A54,A74&lt;=A54+'Summary'!$B$10*12,MOD(A74-A54,'Summary'!$B$11)=0),I54,0)+IF(AND(A74&gt;A55,A74&lt;=A55+'Summary'!$B$10*12,MOD(A74-A55,'Summary'!$B$11)=0),I55,0)+IF(AND(A74&gt;A56,A74&lt;=A56+'Summary'!$B$10*12,MOD(A74-A56,'Summary'!$B$11)=0),I56,0)+IF(AND(A74&gt;A57,A74&lt;=A57+'Summary'!$B$10*12,MOD(A74-A57,'Summary'!$B$11)=0),I57,0)+IF(AND(A74&gt;A58,A74&lt;=A58+'Summary'!$B$10*12,MOD(A74-A58,'Summary'!$B$11)=0),I58,0)+IF(AND(A74&gt;A59,A74&lt;=A59+'Summary'!$B$10*12,MOD(A74-A59,'Summary'!$B$11)=0),I59,0)+IF(AND(A74&gt;A60,A74&lt;=A60+'Summary'!$B$10*12,MOD(A74-A60,'Summary'!$B$11)=0),I60,0)+IF(AND(A74&gt;A61,A74&lt;=A61+'Summary'!$B$10*12,MOD(A74-A61,'Summary'!$B$11)=0),I61,0)+IF(AND(A74&gt;A62,A74&lt;=A62+'Summary'!$B$10*12,MOD(A74-A62,'Summary'!$B$11)=0),I62,0)+IF(AND(A74&gt;A63,A74&lt;=A63+'Summary'!$B$10*12,MOD(A74-A63,'Summary'!$B$11)=0),I63,0)+IF(AND(A74&gt;A64,A74&lt;=A64+'Summary'!$B$10*12,MOD(A74-A64,'Summary'!$B$11)=0),I64,0)+IF(AND(A74&gt;A65,A74&lt;=A65+'Summary'!$B$10*12,MOD(A74-A65,'Summary'!$B$11)=0),I65,0)+IF(AND(A74&gt;A66,A74&lt;=A66+'Summary'!$B$10*12,MOD(A74-A66,'Summary'!$B$11)=0),I66,0)+IF(AND(A74&gt;A67,A74&lt;=A67+'Summary'!$B$10*12,MOD(A74-A67,'Summary'!$B$11)=0),I67,0)+IF(AND(A74&gt;A68,A74&lt;=A68+'Summary'!$B$10*12,MOD(A74-A68,'Summary'!$B$11)=0),I68,0)+IF(AND(A74&gt;A69,A74&lt;=A69+'Summary'!$B$10*12,MOD(A74-A69,'Summary'!$B$11)=0),I69,0)+IF(AND(A74&gt;A70,A74&lt;=A70+'Summary'!$B$10*12,MOD(A74-A70,'Summary'!$B$11)=0),I70,0)+IF(AND(A74&gt;A71,A74&lt;=A71+'Summary'!$B$10*12,MOD(A74-A71,'Summary'!$B$11)=0),I71,0)+IF(AND(A74&gt;A72,A74&lt;=A72+'Summary'!$B$10*12,MOD(A74-A72,'Summary'!$B$11)=0),I72,0)+IF(AND(A74&gt;A73,A74&lt;=A73+'Summary'!$B$10*12,MOD(A74-A73,'Summary'!$B$11)=0),I73,0))*'Summary'!$B$8/2</x:f>
        <x:v>246.11310182087672</x:v>
      </x:c>
      <x:c r="G74" s="62" t="n">
        <x:f>IF(A74=A8+'Summary'!$B$10*12,I8,0)+IF(A74=A9+'Summary'!$B$10*12,I9,0)+IF(A74=A10+'Summary'!$B$10*12,I10,0)+IF(A74=A11+'Summary'!$B$10*12,I11,0)+IF(A74=A12+'Summary'!$B$10*12,I12,0)+IF(A74=A13+'Summary'!$B$10*12,I13,0)+IF(A74=A14+'Summary'!$B$10*12,I14,0)+IF(A74=A15+'Summary'!$B$10*12,I15,0)+IF(A74=A16+'Summary'!$B$10*12,I16,0)+IF(A74=A17+'Summary'!$B$10*12,I17,0)+IF(A74=A18+'Summary'!$B$10*12,I18,0)+IF(A74=A19+'Summary'!$B$10*12,I19,0)+IF(A74=A20+'Summary'!$B$10*12,I20,0)+IF(A74=A21+'Summary'!$B$10*12,I21,0)+IF(A74=A22+'Summary'!$B$10*12,I22,0)+IF(A74=A23+'Summary'!$B$10*12,I23,0)+IF(A74=A24+'Summary'!$B$10*12,I24,0)+IF(A74=A25+'Summary'!$B$10*12,I25,0)+IF(A74=A26+'Summary'!$B$10*12,I26,0)+IF(A74=A27+'Summary'!$B$10*12,I27,0)+IF(A74=A28+'Summary'!$B$10*12,I28,0)+IF(A74=A29+'Summary'!$B$10*12,I29,0)+IF(A74=A30+'Summary'!$B$10*12,I30,0)+IF(A74=A31+'Summary'!$B$10*12,I31,0)+IF(A74=A32+'Summary'!$B$10*12,I32,0)+IF(A74=A33+'Summary'!$B$10*12,I33,0)+IF(A74=A34+'Summary'!$B$10*12,I34,0)+IF(A74=A35+'Summary'!$B$10*12,I35,0)+IF(A74=A36+'Summary'!$B$10*12,I36,0)+IF(A74=A37+'Summary'!$B$10*12,I37,0)+IF(A74=A38+'Summary'!$B$10*12,I38,0)+IF(A74=A39+'Summary'!$B$10*12,I39,0)+IF(A74=A40+'Summary'!$B$10*12,I40,0)+IF(A74=A41+'Summary'!$B$10*12,I41,0)+IF(A74=A42+'Summary'!$B$10*12,I42,0)+IF(A74=A43+'Summary'!$B$10*12,I43,0)+IF(A74=A44+'Summary'!$B$10*12,I44,0)+IF(A74=A45+'Summary'!$B$10*12,I45,0)+IF(A74=A46+'Summary'!$B$10*12,I46,0)+IF(A74=A47+'Summary'!$B$10*12,I47,0)+IF(A74=A48+'Summary'!$B$10*12,I48,0)+IF(A74=A49+'Summary'!$B$10*12,I49,0)+IF(A74=A50+'Summary'!$B$10*12,I50,0)+IF(A74=A51+'Summary'!$B$10*12,I51,0)+IF(A74=A52+'Summary'!$B$10*12,I52,0)+IF(A74=A53+'Summary'!$B$10*12,I53,0)+IF(A74=A54+'Summary'!$B$10*12,I54,0)+IF(A74=A55+'Summary'!$B$10*12,I55,0)+IF(A74=A56+'Summary'!$B$10*12,I56,0)+IF(A74=A57+'Summary'!$B$10*12,I57,0)+IF(A74=A58+'Summary'!$B$10*12,I58,0)+IF(A74=A59+'Summary'!$B$10*12,I59,0)+IF(A74=A60+'Summary'!$B$10*12,I60,0)+IF(A74=A61+'Summary'!$B$10*12,I61,0)+IF(A74=A62+'Summary'!$B$10*12,I62,0)+IF(A74=A63+'Summary'!$B$10*12,I63,0)+IF(A74=A64+'Summary'!$B$10*12,I64,0)+IF(A74=A65+'Summary'!$B$10*12,I65,0)+IF(A74=A66+'Summary'!$B$10*12,I66,0)+IF(A74=A67+'Summary'!$B$10*12,I67,0)+IF(A74=A68+'Summary'!$B$10*12,I68,0)+IF(A74=A69+'Summary'!$B$10*12,I69,0)+IF(A74=A70+'Summary'!$B$10*12,I70,0)+IF(A74=A71+'Summary'!$B$10*12,I71,0)+IF(A74=A72+'Summary'!$B$10*12,I72,0)+IF(A74=A73+'Summary'!$B$10*12,I73,0)</x:f>
        <x:v>287.86</x:v>
      </x:c>
      <x:c r="H74" s="62" t="n">
        <x:f>E74+D74+F74+G74</x:f>
        <x:v>633.9731018208768</x:v>
      </x:c>
      <x:c r="I74" s="62" t="n">
        <x:f>IF(B74,IF(H74&gt;='Summary'!$B$12,H74,0),0)</x:f>
        <x:v>633.9731018208768</x:v>
      </x:c>
      <x:c r="J74" s="62" t="n">
        <x:f>H74-I74</x:f>
        <x:v>0</x:v>
      </x:c>
      <x:c r="K74" s="63" t="n">
        <x:f>J74+IF(A8+'Summary'!$B$10*12&gt;A74,I8,0)+IF(A9+'Summary'!$B$10*12&gt;A74,I9,0)+IF(A10+'Summary'!$B$10*12&gt;A74,I10,0)+IF(A11+'Summary'!$B$10*12&gt;A74,I11,0)+IF(A12+'Summary'!$B$10*12&gt;A74,I12,0)+IF(A13+'Summary'!$B$10*12&gt;A74,I13,0)+IF(A14+'Summary'!$B$10*12&gt;A74,I14,0)+IF(A15+'Summary'!$B$10*12&gt;A74,I15,0)+IF(A16+'Summary'!$B$10*12&gt;A74,I16,0)+IF(A17+'Summary'!$B$10*12&gt;A74,I17,0)+IF(A18+'Summary'!$B$10*12&gt;A74,I18,0)+IF(A19+'Summary'!$B$10*12&gt;A74,I19,0)+IF(A20+'Summary'!$B$10*12&gt;A74,I20,0)+IF(A21+'Summary'!$B$10*12&gt;A74,I21,0)+IF(A22+'Summary'!$B$10*12&gt;A74,I22,0)+IF(A23+'Summary'!$B$10*12&gt;A74,I23,0)+IF(A24+'Summary'!$B$10*12&gt;A74,I24,0)+IF(A25+'Summary'!$B$10*12&gt;A74,I25,0)+IF(A26+'Summary'!$B$10*12&gt;A74,I26,0)+IF(A27+'Summary'!$B$10*12&gt;A74,I27,0)+IF(A28+'Summary'!$B$10*12&gt;A74,I28,0)+IF(A29+'Summary'!$B$10*12&gt;A74,I29,0)+IF(A30+'Summary'!$B$10*12&gt;A74,I30,0)+IF(A31+'Summary'!$B$10*12&gt;A74,I31,0)+IF(A32+'Summary'!$B$10*12&gt;A74,I32,0)+IF(A33+'Summary'!$B$10*12&gt;A74,I33,0)+IF(A34+'Summary'!$B$10*12&gt;A74,I34,0)+IF(A35+'Summary'!$B$10*12&gt;A74,I35,0)+IF(A36+'Summary'!$B$10*12&gt;A74,I36,0)+IF(A37+'Summary'!$B$10*12&gt;A74,I37,0)+IF(A38+'Summary'!$B$10*12&gt;A74,I38,0)+IF(A39+'Summary'!$B$10*12&gt;A74,I39,0)+IF(A40+'Summary'!$B$10*12&gt;A74,I40,0)+IF(A41+'Summary'!$B$10*12&gt;A74,I41,0)+IF(A42+'Summary'!$B$10*12&gt;A74,I42,0)+IF(A43+'Summary'!$B$10*12&gt;A74,I43,0)+IF(A44+'Summary'!$B$10*12&gt;A74,I44,0)+IF(A45+'Summary'!$B$10*12&gt;A74,I45,0)+IF(A46+'Summary'!$B$10*12&gt;A74,I46,0)+IF(A47+'Summary'!$B$10*12&gt;A74,I47,0)+IF(A48+'Summary'!$B$10*12&gt;A74,I48,0)+IF(A49+'Summary'!$B$10*12&gt;A74,I49,0)+IF(A50+'Summary'!$B$10*12&gt;A74,I50,0)+IF(A51+'Summary'!$B$10*12&gt;A74,I51,0)+IF(A52+'Summary'!$B$10*12&gt;A74,I52,0)+IF(A53+'Summary'!$B$10*12&gt;A74,I53,0)+IF(A54+'Summary'!$B$10*12&gt;A74,I54,0)+IF(A55+'Summary'!$B$10*12&gt;A74,I55,0)+IF(A56+'Summary'!$B$10*12&gt;A74,I56,0)+IF(A57+'Summary'!$B$10*12&gt;A74,I57,0)+IF(A58+'Summary'!$B$10*12&gt;A74,I58,0)+IF(A59+'Summary'!$B$10*12&gt;A74,I59,0)+IF(A60+'Summary'!$B$10*12&gt;A74,I60,0)+IF(A61+'Summary'!$B$10*12&gt;A74,I61,0)+IF(A62+'Summary'!$B$10*12&gt;A74,I62,0)+IF(A63+'Summary'!$B$10*12&gt;A74,I63,0)+IF(A64+'Summary'!$B$10*12&gt;A74,I64,0)+IF(A65+'Summary'!$B$10*12&gt;A74,I65,0)+IF(A66+'Summary'!$B$10*12&gt;A74,I66,0)+IF(A67+'Summary'!$B$10*12&gt;A74,I67,0)+IF(A68+'Summary'!$B$10*12&gt;A74,I68,0)+IF(A69+'Summary'!$B$10*12&gt;A74,I69,0)+IF(A70+'Summary'!$B$10*12&gt;A74,I70,0)+IF(A71+'Summary'!$B$10*12&gt;A74,I71,0)+IF(A72+'Summary'!$B$10*12&gt;A74,I72,0)+IF(A73+'Summary'!$B$10*12&gt;A74,I73,0)+IF(A74+'Summary'!$B$10*12&gt;A74,I74,0)</x:f>
        <x:v>19619.131916882947</x:v>
      </x:c>
    </x:row>
    <x:row r="75">
      <x:c r="A75" s="55" t="n">
        <x:v>67</x:v>
      </x:c>
      <x:c r="B75" s="71" t="b">
        <x:f>A75&lt;='Summary'!$B$9*12</x:f>
        <x:v>1</x:v>
      </x:c>
      <x:c r="C75" s="62" t="n">
        <x:f>IF(A75=0,IF('Summary'!$B$6&gt;=5,'Summary'!$B$6,0),C74)+IF(A75&lt;'Summary'!$B$9*12,IF('Summary'!$B$7&gt;=5,'Summary'!$B$7,0),0)</x:f>
        <x:v>16800</x:v>
      </x:c>
      <x:c r="D75" s="62" t="n">
        <x:f>IF(A75=0,IF('Summary'!$B$6&gt;=5,'Summary'!$B$6,0),0)+IF(A75&lt;'Summary'!$B$9*12,IF('Summary'!$B$7&gt;=5,'Summary'!$B$7,0),0)</x:f>
        <x:v>100</x:v>
      </x:c>
      <x:c r="E75" s="62" t="n">
        <x:f>J74</x:f>
        <x:v>0</x:v>
      </x:c>
      <x:c r="F75" s="62" t="n">
        <x:f>(IF(AND(A75&gt;A8,A75&lt;=A8+'Summary'!$B$10*12,MOD(A75-A8,'Summary'!$B$11)=0),I8,0)+IF(AND(A75&gt;A9,A75&lt;=A9+'Summary'!$B$10*12,MOD(A75-A9,'Summary'!$B$11)=0),I9,0)+IF(AND(A75&gt;A10,A75&lt;=A10+'Summary'!$B$10*12,MOD(A75-A10,'Summary'!$B$11)=0),I10,0)+IF(AND(A75&gt;A11,A75&lt;=A11+'Summary'!$B$10*12,MOD(A75-A11,'Summary'!$B$11)=0),I11,0)+IF(AND(A75&gt;A12,A75&lt;=A12+'Summary'!$B$10*12,MOD(A75-A12,'Summary'!$B$11)=0),I12,0)+IF(AND(A75&gt;A13,A75&lt;=A13+'Summary'!$B$10*12,MOD(A75-A13,'Summary'!$B$11)=0),I13,0)+IF(AND(A75&gt;A14,A75&lt;=A14+'Summary'!$B$10*12,MOD(A75-A14,'Summary'!$B$11)=0),I14,0)+IF(AND(A75&gt;A15,A75&lt;=A15+'Summary'!$B$10*12,MOD(A75-A15,'Summary'!$B$11)=0),I15,0)+IF(AND(A75&gt;A16,A75&lt;=A16+'Summary'!$B$10*12,MOD(A75-A16,'Summary'!$B$11)=0),I16,0)+IF(AND(A75&gt;A17,A75&lt;=A17+'Summary'!$B$10*12,MOD(A75-A17,'Summary'!$B$11)=0),I17,0)+IF(AND(A75&gt;A18,A75&lt;=A18+'Summary'!$B$10*12,MOD(A75-A18,'Summary'!$B$11)=0),I18,0)+IF(AND(A75&gt;A19,A75&lt;=A19+'Summary'!$B$10*12,MOD(A75-A19,'Summary'!$B$11)=0),I19,0)+IF(AND(A75&gt;A20,A75&lt;=A20+'Summary'!$B$10*12,MOD(A75-A20,'Summary'!$B$11)=0),I20,0)+IF(AND(A75&gt;A21,A75&lt;=A21+'Summary'!$B$10*12,MOD(A75-A21,'Summary'!$B$11)=0),I21,0)+IF(AND(A75&gt;A22,A75&lt;=A22+'Summary'!$B$10*12,MOD(A75-A22,'Summary'!$B$11)=0),I22,0)+IF(AND(A75&gt;A23,A75&lt;=A23+'Summary'!$B$10*12,MOD(A75-A23,'Summary'!$B$11)=0),I23,0)+IF(AND(A75&gt;A24,A75&lt;=A24+'Summary'!$B$10*12,MOD(A75-A24,'Summary'!$B$11)=0),I24,0)+IF(AND(A75&gt;A25,A75&lt;=A25+'Summary'!$B$10*12,MOD(A75-A25,'Summary'!$B$11)=0),I25,0)+IF(AND(A75&gt;A26,A75&lt;=A26+'Summary'!$B$10*12,MOD(A75-A26,'Summary'!$B$11)=0),I26,0)+IF(AND(A75&gt;A27,A75&lt;=A27+'Summary'!$B$10*12,MOD(A75-A27,'Summary'!$B$11)=0),I27,0)+IF(AND(A75&gt;A28,A75&lt;=A28+'Summary'!$B$10*12,MOD(A75-A28,'Summary'!$B$11)=0),I28,0)+IF(AND(A75&gt;A29,A75&lt;=A29+'Summary'!$B$10*12,MOD(A75-A29,'Summary'!$B$11)=0),I29,0)+IF(AND(A75&gt;A30,A75&lt;=A30+'Summary'!$B$10*12,MOD(A75-A30,'Summary'!$B$11)=0),I30,0)+IF(AND(A75&gt;A31,A75&lt;=A31+'Summary'!$B$10*12,MOD(A75-A31,'Summary'!$B$11)=0),I31,0)+IF(AND(A75&gt;A32,A75&lt;=A32+'Summary'!$B$10*12,MOD(A75-A32,'Summary'!$B$11)=0),I32,0)+IF(AND(A75&gt;A33,A75&lt;=A33+'Summary'!$B$10*12,MOD(A75-A33,'Summary'!$B$11)=0),I33,0)+IF(AND(A75&gt;A34,A75&lt;=A34+'Summary'!$B$10*12,MOD(A75-A34,'Summary'!$B$11)=0),I34,0)+IF(AND(A75&gt;A35,A75&lt;=A35+'Summary'!$B$10*12,MOD(A75-A35,'Summary'!$B$11)=0),I35,0)+IF(AND(A75&gt;A36,A75&lt;=A36+'Summary'!$B$10*12,MOD(A75-A36,'Summary'!$B$11)=0),I36,0)+IF(AND(A75&gt;A37,A75&lt;=A37+'Summary'!$B$10*12,MOD(A75-A37,'Summary'!$B$11)=0),I37,0)+IF(AND(A75&gt;A38,A75&lt;=A38+'Summary'!$B$10*12,MOD(A75-A38,'Summary'!$B$11)=0),I38,0)+IF(AND(A75&gt;A39,A75&lt;=A39+'Summary'!$B$10*12,MOD(A75-A39,'Summary'!$B$11)=0),I39,0)+IF(AND(A75&gt;A40,A75&lt;=A40+'Summary'!$B$10*12,MOD(A75-A40,'Summary'!$B$11)=0),I40,0)+IF(AND(A75&gt;A41,A75&lt;=A41+'Summary'!$B$10*12,MOD(A75-A41,'Summary'!$B$11)=0),I41,0)+IF(AND(A75&gt;A42,A75&lt;=A42+'Summary'!$B$10*12,MOD(A75-A42,'Summary'!$B$11)=0),I42,0)+IF(AND(A75&gt;A43,A75&lt;=A43+'Summary'!$B$10*12,MOD(A75-A43,'Summary'!$B$11)=0),I43,0)+IF(AND(A75&gt;A44,A75&lt;=A44+'Summary'!$B$10*12,MOD(A75-A44,'Summary'!$B$11)=0),I44,0)+IF(AND(A75&gt;A45,A75&lt;=A45+'Summary'!$B$10*12,MOD(A75-A45,'Summary'!$B$11)=0),I45,0)+IF(AND(A75&gt;A46,A75&lt;=A46+'Summary'!$B$10*12,MOD(A75-A46,'Summary'!$B$11)=0),I46,0)+IF(AND(A75&gt;A47,A75&lt;=A47+'Summary'!$B$10*12,MOD(A75-A47,'Summary'!$B$11)=0),I47,0)+IF(AND(A75&gt;A48,A75&lt;=A48+'Summary'!$B$10*12,MOD(A75-A48,'Summary'!$B$11)=0),I48,0)+IF(AND(A75&gt;A49,A75&lt;=A49+'Summary'!$B$10*12,MOD(A75-A49,'Summary'!$B$11)=0),I49,0)+IF(AND(A75&gt;A50,A75&lt;=A50+'Summary'!$B$10*12,MOD(A75-A50,'Summary'!$B$11)=0),I50,0)+IF(AND(A75&gt;A51,A75&lt;=A51+'Summary'!$B$10*12,MOD(A75-A51,'Summary'!$B$11)=0),I51,0)+IF(AND(A75&gt;A52,A75&lt;=A52+'Summary'!$B$10*12,MOD(A75-A52,'Summary'!$B$11)=0),I52,0)+IF(AND(A75&gt;A53,A75&lt;=A53+'Summary'!$B$10*12,MOD(A75-A53,'Summary'!$B$11)=0),I53,0)+IF(AND(A75&gt;A54,A75&lt;=A54+'Summary'!$B$10*12,MOD(A75-A54,'Summary'!$B$11)=0),I54,0)+IF(AND(A75&gt;A55,A75&lt;=A55+'Summary'!$B$10*12,MOD(A75-A55,'Summary'!$B$11)=0),I55,0)+IF(AND(A75&gt;A56,A75&lt;=A56+'Summary'!$B$10*12,MOD(A75-A56,'Summary'!$B$11)=0),I56,0)+IF(AND(A75&gt;A57,A75&lt;=A57+'Summary'!$B$10*12,MOD(A75-A57,'Summary'!$B$11)=0),I57,0)+IF(AND(A75&gt;A58,A75&lt;=A58+'Summary'!$B$10*12,MOD(A75-A58,'Summary'!$B$11)=0),I58,0)+IF(AND(A75&gt;A59,A75&lt;=A59+'Summary'!$B$10*12,MOD(A75-A59,'Summary'!$B$11)=0),I59,0)+IF(AND(A75&gt;A60,A75&lt;=A60+'Summary'!$B$10*12,MOD(A75-A60,'Summary'!$B$11)=0),I60,0)+IF(AND(A75&gt;A61,A75&lt;=A61+'Summary'!$B$10*12,MOD(A75-A61,'Summary'!$B$11)=0),I61,0)+IF(AND(A75&gt;A62,A75&lt;=A62+'Summary'!$B$10*12,MOD(A75-A62,'Summary'!$B$11)=0),I62,0)+IF(AND(A75&gt;A63,A75&lt;=A63+'Summary'!$B$10*12,MOD(A75-A63,'Summary'!$B$11)=0),I63,0)+IF(AND(A75&gt;A64,A75&lt;=A64+'Summary'!$B$10*12,MOD(A75-A64,'Summary'!$B$11)=0),I64,0)+IF(AND(A75&gt;A65,A75&lt;=A65+'Summary'!$B$10*12,MOD(A75-A65,'Summary'!$B$11)=0),I65,0)+IF(AND(A75&gt;A66,A75&lt;=A66+'Summary'!$B$10*12,MOD(A75-A66,'Summary'!$B$11)=0),I66,0)+IF(AND(A75&gt;A67,A75&lt;=A67+'Summary'!$B$10*12,MOD(A75-A67,'Summary'!$B$11)=0),I67,0)+IF(AND(A75&gt;A68,A75&lt;=A68+'Summary'!$B$10*12,MOD(A75-A68,'Summary'!$B$11)=0),I68,0)+IF(AND(A75&gt;A69,A75&lt;=A69+'Summary'!$B$10*12,MOD(A75-A69,'Summary'!$B$11)=0),I69,0)+IF(AND(A75&gt;A70,A75&lt;=A70+'Summary'!$B$10*12,MOD(A75-A70,'Summary'!$B$11)=0),I70,0)+IF(AND(A75&gt;A71,A75&lt;=A71+'Summary'!$B$10*12,MOD(A75-A71,'Summary'!$B$11)=0),I71,0)+IF(AND(A75&gt;A72,A75&lt;=A72+'Summary'!$B$10*12,MOD(A75-A72,'Summary'!$B$11)=0),I72,0)+IF(AND(A75&gt;A73,A75&lt;=A73+'Summary'!$B$10*12,MOD(A75-A73,'Summary'!$B$11)=0),I73,0)+IF(AND(A75&gt;A74,A75&lt;=A74+'Summary'!$B$10*12,MOD(A75-A74,'Summary'!$B$11)=0),I74,0))*'Summary'!$B$8/2</x:f>
        <x:v>22.473009627855575</x:v>
      </x:c>
      <x:c r="G75" s="62" t="n">
        <x:f>IF(A75=A8+'Summary'!$B$10*12,I8,0)+IF(A75=A9+'Summary'!$B$10*12,I9,0)+IF(A75=A10+'Summary'!$B$10*12,I10,0)+IF(A75=A11+'Summary'!$B$10*12,I11,0)+IF(A75=A12+'Summary'!$B$10*12,I12,0)+IF(A75=A13+'Summary'!$B$10*12,I13,0)+IF(A75=A14+'Summary'!$B$10*12,I14,0)+IF(A75=A15+'Summary'!$B$10*12,I15,0)+IF(A75=A16+'Summary'!$B$10*12,I16,0)+IF(A75=A17+'Summary'!$B$10*12,I17,0)+IF(A75=A18+'Summary'!$B$10*12,I18,0)+IF(A75=A19+'Summary'!$B$10*12,I19,0)+IF(A75=A20+'Summary'!$B$10*12,I20,0)+IF(A75=A21+'Summary'!$B$10*12,I21,0)+IF(A75=A22+'Summary'!$B$10*12,I22,0)+IF(A75=A23+'Summary'!$B$10*12,I23,0)+IF(A75=A24+'Summary'!$B$10*12,I24,0)+IF(A75=A25+'Summary'!$B$10*12,I25,0)+IF(A75=A26+'Summary'!$B$10*12,I26,0)+IF(A75=A27+'Summary'!$B$10*12,I27,0)+IF(A75=A28+'Summary'!$B$10*12,I28,0)+IF(A75=A29+'Summary'!$B$10*12,I29,0)+IF(A75=A30+'Summary'!$B$10*12,I30,0)+IF(A75=A31+'Summary'!$B$10*12,I31,0)+IF(A75=A32+'Summary'!$B$10*12,I32,0)+IF(A75=A33+'Summary'!$B$10*12,I33,0)+IF(A75=A34+'Summary'!$B$10*12,I34,0)+IF(A75=A35+'Summary'!$B$10*12,I35,0)+IF(A75=A36+'Summary'!$B$10*12,I36,0)+IF(A75=A37+'Summary'!$B$10*12,I37,0)+IF(A75=A38+'Summary'!$B$10*12,I38,0)+IF(A75=A39+'Summary'!$B$10*12,I39,0)+IF(A75=A40+'Summary'!$B$10*12,I40,0)+IF(A75=A41+'Summary'!$B$10*12,I41,0)+IF(A75=A42+'Summary'!$B$10*12,I42,0)+IF(A75=A43+'Summary'!$B$10*12,I43,0)+IF(A75=A44+'Summary'!$B$10*12,I44,0)+IF(A75=A45+'Summary'!$B$10*12,I45,0)+IF(A75=A46+'Summary'!$B$10*12,I46,0)+IF(A75=A47+'Summary'!$B$10*12,I47,0)+IF(A75=A48+'Summary'!$B$10*12,I48,0)+IF(A75=A49+'Summary'!$B$10*12,I49,0)+IF(A75=A50+'Summary'!$B$10*12,I50,0)+IF(A75=A51+'Summary'!$B$10*12,I51,0)+IF(A75=A52+'Summary'!$B$10*12,I52,0)+IF(A75=A53+'Summary'!$B$10*12,I53,0)+IF(A75=A54+'Summary'!$B$10*12,I54,0)+IF(A75=A55+'Summary'!$B$10*12,I55,0)+IF(A75=A56+'Summary'!$B$10*12,I56,0)+IF(A75=A57+'Summary'!$B$10*12,I57,0)+IF(A75=A58+'Summary'!$B$10*12,I58,0)+IF(A75=A59+'Summary'!$B$10*12,I59,0)+IF(A75=A60+'Summary'!$B$10*12,I60,0)+IF(A75=A61+'Summary'!$B$10*12,I61,0)+IF(A75=A62+'Summary'!$B$10*12,I62,0)+IF(A75=A63+'Summary'!$B$10*12,I63,0)+IF(A75=A64+'Summary'!$B$10*12,I64,0)+IF(A75=A65+'Summary'!$B$10*12,I65,0)+IF(A75=A66+'Summary'!$B$10*12,I66,0)+IF(A75=A67+'Summary'!$B$10*12,I67,0)+IF(A75=A68+'Summary'!$B$10*12,I68,0)+IF(A75=A69+'Summary'!$B$10*12,I69,0)+IF(A75=A70+'Summary'!$B$10*12,I70,0)+IF(A75=A71+'Summary'!$B$10*12,I71,0)+IF(A75=A72+'Summary'!$B$10*12,I72,0)+IF(A75=A73+'Summary'!$B$10*12,I73,0)+IF(A75=A74+'Summary'!$B$10*12,I74,0)</x:f>
        <x:v>101.86</x:v>
      </x:c>
      <x:c r="H75" s="62" t="n">
        <x:f>E75+D75+F75+G75</x:f>
        <x:v>224.33300962785557</x:v>
      </x:c>
      <x:c r="I75" s="62" t="n">
        <x:f>IF(B75,IF(H75&gt;='Summary'!$B$12,H75,0),0)</x:f>
        <x:v>224.33300962785557</x:v>
      </x:c>
      <x:c r="J75" s="62" t="n">
        <x:f>H75-I75</x:f>
        <x:v>0</x:v>
      </x:c>
      <x:c r="K75" s="63" t="n">
        <x:f>J75+IF(A8+'Summary'!$B$10*12&gt;A75,I8,0)+IF(A9+'Summary'!$B$10*12&gt;A75,I9,0)+IF(A10+'Summary'!$B$10*12&gt;A75,I10,0)+IF(A11+'Summary'!$B$10*12&gt;A75,I11,0)+IF(A12+'Summary'!$B$10*12&gt;A75,I12,0)+IF(A13+'Summary'!$B$10*12&gt;A75,I13,0)+IF(A14+'Summary'!$B$10*12&gt;A75,I14,0)+IF(A15+'Summary'!$B$10*12&gt;A75,I15,0)+IF(A16+'Summary'!$B$10*12&gt;A75,I16,0)+IF(A17+'Summary'!$B$10*12&gt;A75,I17,0)+IF(A18+'Summary'!$B$10*12&gt;A75,I18,0)+IF(A19+'Summary'!$B$10*12&gt;A75,I19,0)+IF(A20+'Summary'!$B$10*12&gt;A75,I20,0)+IF(A21+'Summary'!$B$10*12&gt;A75,I21,0)+IF(A22+'Summary'!$B$10*12&gt;A75,I22,0)+IF(A23+'Summary'!$B$10*12&gt;A75,I23,0)+IF(A24+'Summary'!$B$10*12&gt;A75,I24,0)+IF(A25+'Summary'!$B$10*12&gt;A75,I25,0)+IF(A26+'Summary'!$B$10*12&gt;A75,I26,0)+IF(A27+'Summary'!$B$10*12&gt;A75,I27,0)+IF(A28+'Summary'!$B$10*12&gt;A75,I28,0)+IF(A29+'Summary'!$B$10*12&gt;A75,I29,0)+IF(A30+'Summary'!$B$10*12&gt;A75,I30,0)+IF(A31+'Summary'!$B$10*12&gt;A75,I31,0)+IF(A32+'Summary'!$B$10*12&gt;A75,I32,0)+IF(A33+'Summary'!$B$10*12&gt;A75,I33,0)+IF(A34+'Summary'!$B$10*12&gt;A75,I34,0)+IF(A35+'Summary'!$B$10*12&gt;A75,I35,0)+IF(A36+'Summary'!$B$10*12&gt;A75,I36,0)+IF(A37+'Summary'!$B$10*12&gt;A75,I37,0)+IF(A38+'Summary'!$B$10*12&gt;A75,I38,0)+IF(A39+'Summary'!$B$10*12&gt;A75,I39,0)+IF(A40+'Summary'!$B$10*12&gt;A75,I40,0)+IF(A41+'Summary'!$B$10*12&gt;A75,I41,0)+IF(A42+'Summary'!$B$10*12&gt;A75,I42,0)+IF(A43+'Summary'!$B$10*12&gt;A75,I43,0)+IF(A44+'Summary'!$B$10*12&gt;A75,I44,0)+IF(A45+'Summary'!$B$10*12&gt;A75,I45,0)+IF(A46+'Summary'!$B$10*12&gt;A75,I46,0)+IF(A47+'Summary'!$B$10*12&gt;A75,I47,0)+IF(A48+'Summary'!$B$10*12&gt;A75,I48,0)+IF(A49+'Summary'!$B$10*12&gt;A75,I49,0)+IF(A50+'Summary'!$B$10*12&gt;A75,I50,0)+IF(A51+'Summary'!$B$10*12&gt;A75,I51,0)+IF(A52+'Summary'!$B$10*12&gt;A75,I52,0)+IF(A53+'Summary'!$B$10*12&gt;A75,I53,0)+IF(A54+'Summary'!$B$10*12&gt;A75,I54,0)+IF(A55+'Summary'!$B$10*12&gt;A75,I55,0)+IF(A56+'Summary'!$B$10*12&gt;A75,I56,0)+IF(A57+'Summary'!$B$10*12&gt;A75,I57,0)+IF(A58+'Summary'!$B$10*12&gt;A75,I58,0)+IF(A59+'Summary'!$B$10*12&gt;A75,I59,0)+IF(A60+'Summary'!$B$10*12&gt;A75,I60,0)+IF(A61+'Summary'!$B$10*12&gt;A75,I61,0)+IF(A62+'Summary'!$B$10*12&gt;A75,I62,0)+IF(A63+'Summary'!$B$10*12&gt;A75,I63,0)+IF(A64+'Summary'!$B$10*12&gt;A75,I64,0)+IF(A65+'Summary'!$B$10*12&gt;A75,I65,0)+IF(A66+'Summary'!$B$10*12&gt;A75,I66,0)+IF(A67+'Summary'!$B$10*12&gt;A75,I67,0)+IF(A68+'Summary'!$B$10*12&gt;A75,I68,0)+IF(A69+'Summary'!$B$10*12&gt;A75,I69,0)+IF(A70+'Summary'!$B$10*12&gt;A75,I70,0)+IF(A71+'Summary'!$B$10*12&gt;A75,I71,0)+IF(A72+'Summary'!$B$10*12&gt;A75,I72,0)+IF(A73+'Summary'!$B$10*12&gt;A75,I73,0)+IF(A74+'Summary'!$B$10*12&gt;A75,I74,0)+IF(A75+'Summary'!$B$10*12&gt;A75,I75,0)</x:f>
        <x:v>19741.6049265108</x:v>
      </x:c>
    </x:row>
    <x:row r="76">
      <x:c r="A76" s="55" t="n">
        <x:v>68</x:v>
      </x:c>
      <x:c r="B76" s="71" t="b">
        <x:f>A76&lt;='Summary'!$B$9*12</x:f>
        <x:v>1</x:v>
      </x:c>
      <x:c r="C76" s="62" t="n">
        <x:f>IF(A76=0,IF('Summary'!$B$6&gt;=5,'Summary'!$B$6,0),C75)+IF(A76&lt;'Summary'!$B$9*12,IF('Summary'!$B$7&gt;=5,'Summary'!$B$7,0),0)</x:f>
        <x:v>16900</x:v>
      </x:c>
      <x:c r="D76" s="62" t="n">
        <x:f>IF(A76=0,IF('Summary'!$B$6&gt;=5,'Summary'!$B$6,0),0)+IF(A76&lt;'Summary'!$B$9*12,IF('Summary'!$B$7&gt;=5,'Summary'!$B$7,0),0)</x:f>
        <x:v>100</x:v>
      </x:c>
      <x:c r="E76" s="62" t="n">
        <x:f>J75</x:f>
        <x:v>0</x:v>
      </x:c>
      <x:c r="F76" s="62" t="n">
        <x:f>(IF(AND(A76&gt;A8,A76&lt;=A8+'Summary'!$B$10*12,MOD(A76-A8,'Summary'!$B$11)=0),I8,0)+IF(AND(A76&gt;A9,A76&lt;=A9+'Summary'!$B$10*12,MOD(A76-A9,'Summary'!$B$11)=0),I9,0)+IF(AND(A76&gt;A10,A76&lt;=A10+'Summary'!$B$10*12,MOD(A76-A10,'Summary'!$B$11)=0),I10,0)+IF(AND(A76&gt;A11,A76&lt;=A11+'Summary'!$B$10*12,MOD(A76-A11,'Summary'!$B$11)=0),I11,0)+IF(AND(A76&gt;A12,A76&lt;=A12+'Summary'!$B$10*12,MOD(A76-A12,'Summary'!$B$11)=0),I12,0)+IF(AND(A76&gt;A13,A76&lt;=A13+'Summary'!$B$10*12,MOD(A76-A13,'Summary'!$B$11)=0),I13,0)+IF(AND(A76&gt;A14,A76&lt;=A14+'Summary'!$B$10*12,MOD(A76-A14,'Summary'!$B$11)=0),I14,0)+IF(AND(A76&gt;A15,A76&lt;=A15+'Summary'!$B$10*12,MOD(A76-A15,'Summary'!$B$11)=0),I15,0)+IF(AND(A76&gt;A16,A76&lt;=A16+'Summary'!$B$10*12,MOD(A76-A16,'Summary'!$B$11)=0),I16,0)+IF(AND(A76&gt;A17,A76&lt;=A17+'Summary'!$B$10*12,MOD(A76-A17,'Summary'!$B$11)=0),I17,0)+IF(AND(A76&gt;A18,A76&lt;=A18+'Summary'!$B$10*12,MOD(A76-A18,'Summary'!$B$11)=0),I18,0)+IF(AND(A76&gt;A19,A76&lt;=A19+'Summary'!$B$10*12,MOD(A76-A19,'Summary'!$B$11)=0),I19,0)+IF(AND(A76&gt;A20,A76&lt;=A20+'Summary'!$B$10*12,MOD(A76-A20,'Summary'!$B$11)=0),I20,0)+IF(AND(A76&gt;A21,A76&lt;=A21+'Summary'!$B$10*12,MOD(A76-A21,'Summary'!$B$11)=0),I21,0)+IF(AND(A76&gt;A22,A76&lt;=A22+'Summary'!$B$10*12,MOD(A76-A22,'Summary'!$B$11)=0),I22,0)+IF(AND(A76&gt;A23,A76&lt;=A23+'Summary'!$B$10*12,MOD(A76-A23,'Summary'!$B$11)=0),I23,0)+IF(AND(A76&gt;A24,A76&lt;=A24+'Summary'!$B$10*12,MOD(A76-A24,'Summary'!$B$11)=0),I24,0)+IF(AND(A76&gt;A25,A76&lt;=A25+'Summary'!$B$10*12,MOD(A76-A25,'Summary'!$B$11)=0),I25,0)+IF(AND(A76&gt;A26,A76&lt;=A26+'Summary'!$B$10*12,MOD(A76-A26,'Summary'!$B$11)=0),I26,0)+IF(AND(A76&gt;A27,A76&lt;=A27+'Summary'!$B$10*12,MOD(A76-A27,'Summary'!$B$11)=0),I27,0)+IF(AND(A76&gt;A28,A76&lt;=A28+'Summary'!$B$10*12,MOD(A76-A28,'Summary'!$B$11)=0),I28,0)+IF(AND(A76&gt;A29,A76&lt;=A29+'Summary'!$B$10*12,MOD(A76-A29,'Summary'!$B$11)=0),I29,0)+IF(AND(A76&gt;A30,A76&lt;=A30+'Summary'!$B$10*12,MOD(A76-A30,'Summary'!$B$11)=0),I30,0)+IF(AND(A76&gt;A31,A76&lt;=A31+'Summary'!$B$10*12,MOD(A76-A31,'Summary'!$B$11)=0),I31,0)+IF(AND(A76&gt;A32,A76&lt;=A32+'Summary'!$B$10*12,MOD(A76-A32,'Summary'!$B$11)=0),I32,0)+IF(AND(A76&gt;A33,A76&lt;=A33+'Summary'!$B$10*12,MOD(A76-A33,'Summary'!$B$11)=0),I33,0)+IF(AND(A76&gt;A34,A76&lt;=A34+'Summary'!$B$10*12,MOD(A76-A34,'Summary'!$B$11)=0),I34,0)+IF(AND(A76&gt;A35,A76&lt;=A35+'Summary'!$B$10*12,MOD(A76-A35,'Summary'!$B$11)=0),I35,0)+IF(AND(A76&gt;A36,A76&lt;=A36+'Summary'!$B$10*12,MOD(A76-A36,'Summary'!$B$11)=0),I36,0)+IF(AND(A76&gt;A37,A76&lt;=A37+'Summary'!$B$10*12,MOD(A76-A37,'Summary'!$B$11)=0),I37,0)+IF(AND(A76&gt;A38,A76&lt;=A38+'Summary'!$B$10*12,MOD(A76-A38,'Summary'!$B$11)=0),I38,0)+IF(AND(A76&gt;A39,A76&lt;=A39+'Summary'!$B$10*12,MOD(A76-A39,'Summary'!$B$11)=0),I39,0)+IF(AND(A76&gt;A40,A76&lt;=A40+'Summary'!$B$10*12,MOD(A76-A40,'Summary'!$B$11)=0),I40,0)+IF(AND(A76&gt;A41,A76&lt;=A41+'Summary'!$B$10*12,MOD(A76-A41,'Summary'!$B$11)=0),I41,0)+IF(AND(A76&gt;A42,A76&lt;=A42+'Summary'!$B$10*12,MOD(A76-A42,'Summary'!$B$11)=0),I42,0)+IF(AND(A76&gt;A43,A76&lt;=A43+'Summary'!$B$10*12,MOD(A76-A43,'Summary'!$B$11)=0),I43,0)+IF(AND(A76&gt;A44,A76&lt;=A44+'Summary'!$B$10*12,MOD(A76-A44,'Summary'!$B$11)=0),I44,0)+IF(AND(A76&gt;A45,A76&lt;=A45+'Summary'!$B$10*12,MOD(A76-A45,'Summary'!$B$11)=0),I45,0)+IF(AND(A76&gt;A46,A76&lt;=A46+'Summary'!$B$10*12,MOD(A76-A46,'Summary'!$B$11)=0),I46,0)+IF(AND(A76&gt;A47,A76&lt;=A47+'Summary'!$B$10*12,MOD(A76-A47,'Summary'!$B$11)=0),I47,0)+IF(AND(A76&gt;A48,A76&lt;=A48+'Summary'!$B$10*12,MOD(A76-A48,'Summary'!$B$11)=0),I48,0)+IF(AND(A76&gt;A49,A76&lt;=A49+'Summary'!$B$10*12,MOD(A76-A49,'Summary'!$B$11)=0),I49,0)+IF(AND(A76&gt;A50,A76&lt;=A50+'Summary'!$B$10*12,MOD(A76-A50,'Summary'!$B$11)=0),I50,0)+IF(AND(A76&gt;A51,A76&lt;=A51+'Summary'!$B$10*12,MOD(A76-A51,'Summary'!$B$11)=0),I51,0)+IF(AND(A76&gt;A52,A76&lt;=A52+'Summary'!$B$10*12,MOD(A76-A52,'Summary'!$B$11)=0),I52,0)+IF(AND(A76&gt;A53,A76&lt;=A53+'Summary'!$B$10*12,MOD(A76-A53,'Summary'!$B$11)=0),I53,0)+IF(AND(A76&gt;A54,A76&lt;=A54+'Summary'!$B$10*12,MOD(A76-A54,'Summary'!$B$11)=0),I54,0)+IF(AND(A76&gt;A55,A76&lt;=A55+'Summary'!$B$10*12,MOD(A76-A55,'Summary'!$B$11)=0),I55,0)+IF(AND(A76&gt;A56,A76&lt;=A56+'Summary'!$B$10*12,MOD(A76-A56,'Summary'!$B$11)=0),I56,0)+IF(AND(A76&gt;A57,A76&lt;=A57+'Summary'!$B$10*12,MOD(A76-A57,'Summary'!$B$11)=0),I57,0)+IF(AND(A76&gt;A58,A76&lt;=A58+'Summary'!$B$10*12,MOD(A76-A58,'Summary'!$B$11)=0),I58,0)+IF(AND(A76&gt;A59,A76&lt;=A59+'Summary'!$B$10*12,MOD(A76-A59,'Summary'!$B$11)=0),I59,0)+IF(AND(A76&gt;A60,A76&lt;=A60+'Summary'!$B$10*12,MOD(A76-A60,'Summary'!$B$11)=0),I60,0)+IF(AND(A76&gt;A61,A76&lt;=A61+'Summary'!$B$10*12,MOD(A76-A61,'Summary'!$B$11)=0),I61,0)+IF(AND(A76&gt;A62,A76&lt;=A62+'Summary'!$B$10*12,MOD(A76-A62,'Summary'!$B$11)=0),I62,0)+IF(AND(A76&gt;A63,A76&lt;=A63+'Summary'!$B$10*12,MOD(A76-A63,'Summary'!$B$11)=0),I63,0)+IF(AND(A76&gt;A64,A76&lt;=A64+'Summary'!$B$10*12,MOD(A76-A64,'Summary'!$B$11)=0),I64,0)+IF(AND(A76&gt;A65,A76&lt;=A65+'Summary'!$B$10*12,MOD(A76-A65,'Summary'!$B$11)=0),I65,0)+IF(AND(A76&gt;A66,A76&lt;=A66+'Summary'!$B$10*12,MOD(A76-A66,'Summary'!$B$11)=0),I66,0)+IF(AND(A76&gt;A67,A76&lt;=A67+'Summary'!$B$10*12,MOD(A76-A67,'Summary'!$B$11)=0),I67,0)+IF(AND(A76&gt;A68,A76&lt;=A68+'Summary'!$B$10*12,MOD(A76-A68,'Summary'!$B$11)=0),I68,0)+IF(AND(A76&gt;A69,A76&lt;=A69+'Summary'!$B$10*12,MOD(A76-A69,'Summary'!$B$11)=0),I69,0)+IF(AND(A76&gt;A70,A76&lt;=A70+'Summary'!$B$10*12,MOD(A76-A70,'Summary'!$B$11)=0),I70,0)+IF(AND(A76&gt;A71,A76&lt;=A71+'Summary'!$B$10*12,MOD(A76-A71,'Summary'!$B$11)=0),I71,0)+IF(AND(A76&gt;A72,A76&lt;=A72+'Summary'!$B$10*12,MOD(A76-A72,'Summary'!$B$11)=0),I72,0)+IF(AND(A76&gt;A73,A76&lt;=A73+'Summary'!$B$10*12,MOD(A76-A73,'Summary'!$B$11)=0),I73,0)+IF(AND(A76&gt;A74,A76&lt;=A74+'Summary'!$B$10*12,MOD(A76-A74,'Summary'!$B$11)=0),I74,0)+IF(AND(A76&gt;A75,A76&lt;=A75+'Summary'!$B$10*12,MOD(A76-A75,'Summary'!$B$11)=0),I75,0))*'Summary'!$B$8/2</x:f>
        <x:v>22.473009627855575</x:v>
      </x:c>
      <x:c r="G76" s="62" t="n">
        <x:f>IF(A76=A8+'Summary'!$B$10*12,I8,0)+IF(A76=A9+'Summary'!$B$10*12,I9,0)+IF(A76=A10+'Summary'!$B$10*12,I10,0)+IF(A76=A11+'Summary'!$B$10*12,I11,0)+IF(A76=A12+'Summary'!$B$10*12,I12,0)+IF(A76=A13+'Summary'!$B$10*12,I13,0)+IF(A76=A14+'Summary'!$B$10*12,I14,0)+IF(A76=A15+'Summary'!$B$10*12,I15,0)+IF(A76=A16+'Summary'!$B$10*12,I16,0)+IF(A76=A17+'Summary'!$B$10*12,I17,0)+IF(A76=A18+'Summary'!$B$10*12,I18,0)+IF(A76=A19+'Summary'!$B$10*12,I19,0)+IF(A76=A20+'Summary'!$B$10*12,I20,0)+IF(A76=A21+'Summary'!$B$10*12,I21,0)+IF(A76=A22+'Summary'!$B$10*12,I22,0)+IF(A76=A23+'Summary'!$B$10*12,I23,0)+IF(A76=A24+'Summary'!$B$10*12,I24,0)+IF(A76=A25+'Summary'!$B$10*12,I25,0)+IF(A76=A26+'Summary'!$B$10*12,I26,0)+IF(A76=A27+'Summary'!$B$10*12,I27,0)+IF(A76=A28+'Summary'!$B$10*12,I28,0)+IF(A76=A29+'Summary'!$B$10*12,I29,0)+IF(A76=A30+'Summary'!$B$10*12,I30,0)+IF(A76=A31+'Summary'!$B$10*12,I31,0)+IF(A76=A32+'Summary'!$B$10*12,I32,0)+IF(A76=A33+'Summary'!$B$10*12,I33,0)+IF(A76=A34+'Summary'!$B$10*12,I34,0)+IF(A76=A35+'Summary'!$B$10*12,I35,0)+IF(A76=A36+'Summary'!$B$10*12,I36,0)+IF(A76=A37+'Summary'!$B$10*12,I37,0)+IF(A76=A38+'Summary'!$B$10*12,I38,0)+IF(A76=A39+'Summary'!$B$10*12,I39,0)+IF(A76=A40+'Summary'!$B$10*12,I40,0)+IF(A76=A41+'Summary'!$B$10*12,I41,0)+IF(A76=A42+'Summary'!$B$10*12,I42,0)+IF(A76=A43+'Summary'!$B$10*12,I43,0)+IF(A76=A44+'Summary'!$B$10*12,I44,0)+IF(A76=A45+'Summary'!$B$10*12,I45,0)+IF(A76=A46+'Summary'!$B$10*12,I46,0)+IF(A76=A47+'Summary'!$B$10*12,I47,0)+IF(A76=A48+'Summary'!$B$10*12,I48,0)+IF(A76=A49+'Summary'!$B$10*12,I49,0)+IF(A76=A50+'Summary'!$B$10*12,I50,0)+IF(A76=A51+'Summary'!$B$10*12,I51,0)+IF(A76=A52+'Summary'!$B$10*12,I52,0)+IF(A76=A53+'Summary'!$B$10*12,I53,0)+IF(A76=A54+'Summary'!$B$10*12,I54,0)+IF(A76=A55+'Summary'!$B$10*12,I55,0)+IF(A76=A56+'Summary'!$B$10*12,I56,0)+IF(A76=A57+'Summary'!$B$10*12,I57,0)+IF(A76=A58+'Summary'!$B$10*12,I58,0)+IF(A76=A59+'Summary'!$B$10*12,I59,0)+IF(A76=A60+'Summary'!$B$10*12,I60,0)+IF(A76=A61+'Summary'!$B$10*12,I61,0)+IF(A76=A62+'Summary'!$B$10*12,I62,0)+IF(A76=A63+'Summary'!$B$10*12,I63,0)+IF(A76=A64+'Summary'!$B$10*12,I64,0)+IF(A76=A65+'Summary'!$B$10*12,I65,0)+IF(A76=A66+'Summary'!$B$10*12,I66,0)+IF(A76=A67+'Summary'!$B$10*12,I67,0)+IF(A76=A68+'Summary'!$B$10*12,I68,0)+IF(A76=A69+'Summary'!$B$10*12,I69,0)+IF(A76=A70+'Summary'!$B$10*12,I70,0)+IF(A76=A71+'Summary'!$B$10*12,I71,0)+IF(A76=A72+'Summary'!$B$10*12,I72,0)+IF(A76=A73+'Summary'!$B$10*12,I73,0)+IF(A76=A74+'Summary'!$B$10*12,I74,0)+IF(A76=A75+'Summary'!$B$10*12,I75,0)</x:f>
        <x:v>101.86</x:v>
      </x:c>
      <x:c r="H76" s="62" t="n">
        <x:f>E76+D76+F76+G76</x:f>
        <x:v>224.33300962785557</x:v>
      </x:c>
      <x:c r="I76" s="62" t="n">
        <x:f>IF(B76,IF(H76&gt;='Summary'!$B$12,H76,0),0)</x:f>
        <x:v>224.33300962785557</x:v>
      </x:c>
      <x:c r="J76" s="62" t="n">
        <x:f>H76-I76</x:f>
        <x:v>0</x:v>
      </x:c>
      <x:c r="K76" s="63" t="n">
        <x:f>J76+IF(A8+'Summary'!$B$10*12&gt;A76,I8,0)+IF(A9+'Summary'!$B$10*12&gt;A76,I9,0)+IF(A10+'Summary'!$B$10*12&gt;A76,I10,0)+IF(A11+'Summary'!$B$10*12&gt;A76,I11,0)+IF(A12+'Summary'!$B$10*12&gt;A76,I12,0)+IF(A13+'Summary'!$B$10*12&gt;A76,I13,0)+IF(A14+'Summary'!$B$10*12&gt;A76,I14,0)+IF(A15+'Summary'!$B$10*12&gt;A76,I15,0)+IF(A16+'Summary'!$B$10*12&gt;A76,I16,0)+IF(A17+'Summary'!$B$10*12&gt;A76,I17,0)+IF(A18+'Summary'!$B$10*12&gt;A76,I18,0)+IF(A19+'Summary'!$B$10*12&gt;A76,I19,0)+IF(A20+'Summary'!$B$10*12&gt;A76,I20,0)+IF(A21+'Summary'!$B$10*12&gt;A76,I21,0)+IF(A22+'Summary'!$B$10*12&gt;A76,I22,0)+IF(A23+'Summary'!$B$10*12&gt;A76,I23,0)+IF(A24+'Summary'!$B$10*12&gt;A76,I24,0)+IF(A25+'Summary'!$B$10*12&gt;A76,I25,0)+IF(A26+'Summary'!$B$10*12&gt;A76,I26,0)+IF(A27+'Summary'!$B$10*12&gt;A76,I27,0)+IF(A28+'Summary'!$B$10*12&gt;A76,I28,0)+IF(A29+'Summary'!$B$10*12&gt;A76,I29,0)+IF(A30+'Summary'!$B$10*12&gt;A76,I30,0)+IF(A31+'Summary'!$B$10*12&gt;A76,I31,0)+IF(A32+'Summary'!$B$10*12&gt;A76,I32,0)+IF(A33+'Summary'!$B$10*12&gt;A76,I33,0)+IF(A34+'Summary'!$B$10*12&gt;A76,I34,0)+IF(A35+'Summary'!$B$10*12&gt;A76,I35,0)+IF(A36+'Summary'!$B$10*12&gt;A76,I36,0)+IF(A37+'Summary'!$B$10*12&gt;A76,I37,0)+IF(A38+'Summary'!$B$10*12&gt;A76,I38,0)+IF(A39+'Summary'!$B$10*12&gt;A76,I39,0)+IF(A40+'Summary'!$B$10*12&gt;A76,I40,0)+IF(A41+'Summary'!$B$10*12&gt;A76,I41,0)+IF(A42+'Summary'!$B$10*12&gt;A76,I42,0)+IF(A43+'Summary'!$B$10*12&gt;A76,I43,0)+IF(A44+'Summary'!$B$10*12&gt;A76,I44,0)+IF(A45+'Summary'!$B$10*12&gt;A76,I45,0)+IF(A46+'Summary'!$B$10*12&gt;A76,I46,0)+IF(A47+'Summary'!$B$10*12&gt;A76,I47,0)+IF(A48+'Summary'!$B$10*12&gt;A76,I48,0)+IF(A49+'Summary'!$B$10*12&gt;A76,I49,0)+IF(A50+'Summary'!$B$10*12&gt;A76,I50,0)+IF(A51+'Summary'!$B$10*12&gt;A76,I51,0)+IF(A52+'Summary'!$B$10*12&gt;A76,I52,0)+IF(A53+'Summary'!$B$10*12&gt;A76,I53,0)+IF(A54+'Summary'!$B$10*12&gt;A76,I54,0)+IF(A55+'Summary'!$B$10*12&gt;A76,I55,0)+IF(A56+'Summary'!$B$10*12&gt;A76,I56,0)+IF(A57+'Summary'!$B$10*12&gt;A76,I57,0)+IF(A58+'Summary'!$B$10*12&gt;A76,I58,0)+IF(A59+'Summary'!$B$10*12&gt;A76,I59,0)+IF(A60+'Summary'!$B$10*12&gt;A76,I60,0)+IF(A61+'Summary'!$B$10*12&gt;A76,I61,0)+IF(A62+'Summary'!$B$10*12&gt;A76,I62,0)+IF(A63+'Summary'!$B$10*12&gt;A76,I63,0)+IF(A64+'Summary'!$B$10*12&gt;A76,I64,0)+IF(A65+'Summary'!$B$10*12&gt;A76,I65,0)+IF(A66+'Summary'!$B$10*12&gt;A76,I66,0)+IF(A67+'Summary'!$B$10*12&gt;A76,I67,0)+IF(A68+'Summary'!$B$10*12&gt;A76,I68,0)+IF(A69+'Summary'!$B$10*12&gt;A76,I69,0)+IF(A70+'Summary'!$B$10*12&gt;A76,I70,0)+IF(A71+'Summary'!$B$10*12&gt;A76,I71,0)+IF(A72+'Summary'!$B$10*12&gt;A76,I72,0)+IF(A73+'Summary'!$B$10*12&gt;A76,I73,0)+IF(A74+'Summary'!$B$10*12&gt;A76,I74,0)+IF(A75+'Summary'!$B$10*12&gt;A76,I75,0)+IF(A76+'Summary'!$B$10*12&gt;A76,I76,0)</x:f>
        <x:v>19864.077936138656</x:v>
      </x:c>
    </x:row>
    <x:row r="77">
      <x:c r="A77" s="55" t="n">
        <x:v>69</x:v>
      </x:c>
      <x:c r="B77" s="71" t="b">
        <x:f>A77&lt;='Summary'!$B$9*12</x:f>
        <x:v>1</x:v>
      </x:c>
      <x:c r="C77" s="62" t="n">
        <x:f>IF(A77=0,IF('Summary'!$B$6&gt;=5,'Summary'!$B$6,0),C76)+IF(A77&lt;'Summary'!$B$9*12,IF('Summary'!$B$7&gt;=5,'Summary'!$B$7,0),0)</x:f>
        <x:v>17000</x:v>
      </x:c>
      <x:c r="D77" s="62" t="n">
        <x:f>IF(A77=0,IF('Summary'!$B$6&gt;=5,'Summary'!$B$6,0),0)+IF(A77&lt;'Summary'!$B$9*12,IF('Summary'!$B$7&gt;=5,'Summary'!$B$7,0),0)</x:f>
        <x:v>100</x:v>
      </x:c>
      <x:c r="E77" s="62" t="n">
        <x:f>J76</x:f>
        <x:v>0</x:v>
      </x:c>
      <x:c r="F77" s="62" t="n">
        <x:f>(IF(AND(A77&gt;A8,A77&lt;=A8+'Summary'!$B$10*12,MOD(A77-A8,'Summary'!$B$11)=0),I8,0)+IF(AND(A77&gt;A9,A77&lt;=A9+'Summary'!$B$10*12,MOD(A77-A9,'Summary'!$B$11)=0),I9,0)+IF(AND(A77&gt;A10,A77&lt;=A10+'Summary'!$B$10*12,MOD(A77-A10,'Summary'!$B$11)=0),I10,0)+IF(AND(A77&gt;A11,A77&lt;=A11+'Summary'!$B$10*12,MOD(A77-A11,'Summary'!$B$11)=0),I11,0)+IF(AND(A77&gt;A12,A77&lt;=A12+'Summary'!$B$10*12,MOD(A77-A12,'Summary'!$B$11)=0),I12,0)+IF(AND(A77&gt;A13,A77&lt;=A13+'Summary'!$B$10*12,MOD(A77-A13,'Summary'!$B$11)=0),I13,0)+IF(AND(A77&gt;A14,A77&lt;=A14+'Summary'!$B$10*12,MOD(A77-A14,'Summary'!$B$11)=0),I14,0)+IF(AND(A77&gt;A15,A77&lt;=A15+'Summary'!$B$10*12,MOD(A77-A15,'Summary'!$B$11)=0),I15,0)+IF(AND(A77&gt;A16,A77&lt;=A16+'Summary'!$B$10*12,MOD(A77-A16,'Summary'!$B$11)=0),I16,0)+IF(AND(A77&gt;A17,A77&lt;=A17+'Summary'!$B$10*12,MOD(A77-A17,'Summary'!$B$11)=0),I17,0)+IF(AND(A77&gt;A18,A77&lt;=A18+'Summary'!$B$10*12,MOD(A77-A18,'Summary'!$B$11)=0),I18,0)+IF(AND(A77&gt;A19,A77&lt;=A19+'Summary'!$B$10*12,MOD(A77-A19,'Summary'!$B$11)=0),I19,0)+IF(AND(A77&gt;A20,A77&lt;=A20+'Summary'!$B$10*12,MOD(A77-A20,'Summary'!$B$11)=0),I20,0)+IF(AND(A77&gt;A21,A77&lt;=A21+'Summary'!$B$10*12,MOD(A77-A21,'Summary'!$B$11)=0),I21,0)+IF(AND(A77&gt;A22,A77&lt;=A22+'Summary'!$B$10*12,MOD(A77-A22,'Summary'!$B$11)=0),I22,0)+IF(AND(A77&gt;A23,A77&lt;=A23+'Summary'!$B$10*12,MOD(A77-A23,'Summary'!$B$11)=0),I23,0)+IF(AND(A77&gt;A24,A77&lt;=A24+'Summary'!$B$10*12,MOD(A77-A24,'Summary'!$B$11)=0),I24,0)+IF(AND(A77&gt;A25,A77&lt;=A25+'Summary'!$B$10*12,MOD(A77-A25,'Summary'!$B$11)=0),I25,0)+IF(AND(A77&gt;A26,A77&lt;=A26+'Summary'!$B$10*12,MOD(A77-A26,'Summary'!$B$11)=0),I26,0)+IF(AND(A77&gt;A27,A77&lt;=A27+'Summary'!$B$10*12,MOD(A77-A27,'Summary'!$B$11)=0),I27,0)+IF(AND(A77&gt;A28,A77&lt;=A28+'Summary'!$B$10*12,MOD(A77-A28,'Summary'!$B$11)=0),I28,0)+IF(AND(A77&gt;A29,A77&lt;=A29+'Summary'!$B$10*12,MOD(A77-A29,'Summary'!$B$11)=0),I29,0)+IF(AND(A77&gt;A30,A77&lt;=A30+'Summary'!$B$10*12,MOD(A77-A30,'Summary'!$B$11)=0),I30,0)+IF(AND(A77&gt;A31,A77&lt;=A31+'Summary'!$B$10*12,MOD(A77-A31,'Summary'!$B$11)=0),I31,0)+IF(AND(A77&gt;A32,A77&lt;=A32+'Summary'!$B$10*12,MOD(A77-A32,'Summary'!$B$11)=0),I32,0)+IF(AND(A77&gt;A33,A77&lt;=A33+'Summary'!$B$10*12,MOD(A77-A33,'Summary'!$B$11)=0),I33,0)+IF(AND(A77&gt;A34,A77&lt;=A34+'Summary'!$B$10*12,MOD(A77-A34,'Summary'!$B$11)=0),I34,0)+IF(AND(A77&gt;A35,A77&lt;=A35+'Summary'!$B$10*12,MOD(A77-A35,'Summary'!$B$11)=0),I35,0)+IF(AND(A77&gt;A36,A77&lt;=A36+'Summary'!$B$10*12,MOD(A77-A36,'Summary'!$B$11)=0),I36,0)+IF(AND(A77&gt;A37,A77&lt;=A37+'Summary'!$B$10*12,MOD(A77-A37,'Summary'!$B$11)=0),I37,0)+IF(AND(A77&gt;A38,A77&lt;=A38+'Summary'!$B$10*12,MOD(A77-A38,'Summary'!$B$11)=0),I38,0)+IF(AND(A77&gt;A39,A77&lt;=A39+'Summary'!$B$10*12,MOD(A77-A39,'Summary'!$B$11)=0),I39,0)+IF(AND(A77&gt;A40,A77&lt;=A40+'Summary'!$B$10*12,MOD(A77-A40,'Summary'!$B$11)=0),I40,0)+IF(AND(A77&gt;A41,A77&lt;=A41+'Summary'!$B$10*12,MOD(A77-A41,'Summary'!$B$11)=0),I41,0)+IF(AND(A77&gt;A42,A77&lt;=A42+'Summary'!$B$10*12,MOD(A77-A42,'Summary'!$B$11)=0),I42,0)+IF(AND(A77&gt;A43,A77&lt;=A43+'Summary'!$B$10*12,MOD(A77-A43,'Summary'!$B$11)=0),I43,0)+IF(AND(A77&gt;A44,A77&lt;=A44+'Summary'!$B$10*12,MOD(A77-A44,'Summary'!$B$11)=0),I44,0)+IF(AND(A77&gt;A45,A77&lt;=A45+'Summary'!$B$10*12,MOD(A77-A45,'Summary'!$B$11)=0),I45,0)+IF(AND(A77&gt;A46,A77&lt;=A46+'Summary'!$B$10*12,MOD(A77-A46,'Summary'!$B$11)=0),I46,0)+IF(AND(A77&gt;A47,A77&lt;=A47+'Summary'!$B$10*12,MOD(A77-A47,'Summary'!$B$11)=0),I47,0)+IF(AND(A77&gt;A48,A77&lt;=A48+'Summary'!$B$10*12,MOD(A77-A48,'Summary'!$B$11)=0),I48,0)+IF(AND(A77&gt;A49,A77&lt;=A49+'Summary'!$B$10*12,MOD(A77-A49,'Summary'!$B$11)=0),I49,0)+IF(AND(A77&gt;A50,A77&lt;=A50+'Summary'!$B$10*12,MOD(A77-A50,'Summary'!$B$11)=0),I50,0)+IF(AND(A77&gt;A51,A77&lt;=A51+'Summary'!$B$10*12,MOD(A77-A51,'Summary'!$B$11)=0),I51,0)+IF(AND(A77&gt;A52,A77&lt;=A52+'Summary'!$B$10*12,MOD(A77-A52,'Summary'!$B$11)=0),I52,0)+IF(AND(A77&gt;A53,A77&lt;=A53+'Summary'!$B$10*12,MOD(A77-A53,'Summary'!$B$11)=0),I53,0)+IF(AND(A77&gt;A54,A77&lt;=A54+'Summary'!$B$10*12,MOD(A77-A54,'Summary'!$B$11)=0),I54,0)+IF(AND(A77&gt;A55,A77&lt;=A55+'Summary'!$B$10*12,MOD(A77-A55,'Summary'!$B$11)=0),I55,0)+IF(AND(A77&gt;A56,A77&lt;=A56+'Summary'!$B$10*12,MOD(A77-A56,'Summary'!$B$11)=0),I56,0)+IF(AND(A77&gt;A57,A77&lt;=A57+'Summary'!$B$10*12,MOD(A77-A57,'Summary'!$B$11)=0),I57,0)+IF(AND(A77&gt;A58,A77&lt;=A58+'Summary'!$B$10*12,MOD(A77-A58,'Summary'!$B$11)=0),I58,0)+IF(AND(A77&gt;A59,A77&lt;=A59+'Summary'!$B$10*12,MOD(A77-A59,'Summary'!$B$11)=0),I59,0)+IF(AND(A77&gt;A60,A77&lt;=A60+'Summary'!$B$10*12,MOD(A77-A60,'Summary'!$B$11)=0),I60,0)+IF(AND(A77&gt;A61,A77&lt;=A61+'Summary'!$B$10*12,MOD(A77-A61,'Summary'!$B$11)=0),I61,0)+IF(AND(A77&gt;A62,A77&lt;=A62+'Summary'!$B$10*12,MOD(A77-A62,'Summary'!$B$11)=0),I62,0)+IF(AND(A77&gt;A63,A77&lt;=A63+'Summary'!$B$10*12,MOD(A77-A63,'Summary'!$B$11)=0),I63,0)+IF(AND(A77&gt;A64,A77&lt;=A64+'Summary'!$B$10*12,MOD(A77-A64,'Summary'!$B$11)=0),I64,0)+IF(AND(A77&gt;A65,A77&lt;=A65+'Summary'!$B$10*12,MOD(A77-A65,'Summary'!$B$11)=0),I65,0)+IF(AND(A77&gt;A66,A77&lt;=A66+'Summary'!$B$10*12,MOD(A77-A66,'Summary'!$B$11)=0),I66,0)+IF(AND(A77&gt;A67,A77&lt;=A67+'Summary'!$B$10*12,MOD(A77-A67,'Summary'!$B$11)=0),I67,0)+IF(AND(A77&gt;A68,A77&lt;=A68+'Summary'!$B$10*12,MOD(A77-A68,'Summary'!$B$11)=0),I68,0)+IF(AND(A77&gt;A69,A77&lt;=A69+'Summary'!$B$10*12,MOD(A77-A69,'Summary'!$B$11)=0),I69,0)+IF(AND(A77&gt;A70,A77&lt;=A70+'Summary'!$B$10*12,MOD(A77-A70,'Summary'!$B$11)=0),I70,0)+IF(AND(A77&gt;A71,A77&lt;=A71+'Summary'!$B$10*12,MOD(A77-A71,'Summary'!$B$11)=0),I71,0)+IF(AND(A77&gt;A72,A77&lt;=A72+'Summary'!$B$10*12,MOD(A77-A72,'Summary'!$B$11)=0),I72,0)+IF(AND(A77&gt;A73,A77&lt;=A73+'Summary'!$B$10*12,MOD(A77-A73,'Summary'!$B$11)=0),I73,0)+IF(AND(A77&gt;A74,A77&lt;=A74+'Summary'!$B$10*12,MOD(A77-A74,'Summary'!$B$11)=0),I74,0)+IF(AND(A77&gt;A75,A77&lt;=A75+'Summary'!$B$10*12,MOD(A77-A75,'Summary'!$B$11)=0),I75,0)+IF(AND(A77&gt;A76,A77&lt;=A76+'Summary'!$B$10*12,MOD(A77-A76,'Summary'!$B$11)=0),I76,0))*'Summary'!$B$8/2</x:f>
        <x:v>22.473009627855575</x:v>
      </x:c>
      <x:c r="G77" s="62" t="n">
        <x:f>IF(A77=A8+'Summary'!$B$10*12,I8,0)+IF(A77=A9+'Summary'!$B$10*12,I9,0)+IF(A77=A10+'Summary'!$B$10*12,I10,0)+IF(A77=A11+'Summary'!$B$10*12,I11,0)+IF(A77=A12+'Summary'!$B$10*12,I12,0)+IF(A77=A13+'Summary'!$B$10*12,I13,0)+IF(A77=A14+'Summary'!$B$10*12,I14,0)+IF(A77=A15+'Summary'!$B$10*12,I15,0)+IF(A77=A16+'Summary'!$B$10*12,I16,0)+IF(A77=A17+'Summary'!$B$10*12,I17,0)+IF(A77=A18+'Summary'!$B$10*12,I18,0)+IF(A77=A19+'Summary'!$B$10*12,I19,0)+IF(A77=A20+'Summary'!$B$10*12,I20,0)+IF(A77=A21+'Summary'!$B$10*12,I21,0)+IF(A77=A22+'Summary'!$B$10*12,I22,0)+IF(A77=A23+'Summary'!$B$10*12,I23,0)+IF(A77=A24+'Summary'!$B$10*12,I24,0)+IF(A77=A25+'Summary'!$B$10*12,I25,0)+IF(A77=A26+'Summary'!$B$10*12,I26,0)+IF(A77=A27+'Summary'!$B$10*12,I27,0)+IF(A77=A28+'Summary'!$B$10*12,I28,0)+IF(A77=A29+'Summary'!$B$10*12,I29,0)+IF(A77=A30+'Summary'!$B$10*12,I30,0)+IF(A77=A31+'Summary'!$B$10*12,I31,0)+IF(A77=A32+'Summary'!$B$10*12,I32,0)+IF(A77=A33+'Summary'!$B$10*12,I33,0)+IF(A77=A34+'Summary'!$B$10*12,I34,0)+IF(A77=A35+'Summary'!$B$10*12,I35,0)+IF(A77=A36+'Summary'!$B$10*12,I36,0)+IF(A77=A37+'Summary'!$B$10*12,I37,0)+IF(A77=A38+'Summary'!$B$10*12,I38,0)+IF(A77=A39+'Summary'!$B$10*12,I39,0)+IF(A77=A40+'Summary'!$B$10*12,I40,0)+IF(A77=A41+'Summary'!$B$10*12,I41,0)+IF(A77=A42+'Summary'!$B$10*12,I42,0)+IF(A77=A43+'Summary'!$B$10*12,I43,0)+IF(A77=A44+'Summary'!$B$10*12,I44,0)+IF(A77=A45+'Summary'!$B$10*12,I45,0)+IF(A77=A46+'Summary'!$B$10*12,I46,0)+IF(A77=A47+'Summary'!$B$10*12,I47,0)+IF(A77=A48+'Summary'!$B$10*12,I48,0)+IF(A77=A49+'Summary'!$B$10*12,I49,0)+IF(A77=A50+'Summary'!$B$10*12,I50,0)+IF(A77=A51+'Summary'!$B$10*12,I51,0)+IF(A77=A52+'Summary'!$B$10*12,I52,0)+IF(A77=A53+'Summary'!$B$10*12,I53,0)+IF(A77=A54+'Summary'!$B$10*12,I54,0)+IF(A77=A55+'Summary'!$B$10*12,I55,0)+IF(A77=A56+'Summary'!$B$10*12,I56,0)+IF(A77=A57+'Summary'!$B$10*12,I57,0)+IF(A77=A58+'Summary'!$B$10*12,I58,0)+IF(A77=A59+'Summary'!$B$10*12,I59,0)+IF(A77=A60+'Summary'!$B$10*12,I60,0)+IF(A77=A61+'Summary'!$B$10*12,I61,0)+IF(A77=A62+'Summary'!$B$10*12,I62,0)+IF(A77=A63+'Summary'!$B$10*12,I63,0)+IF(A77=A64+'Summary'!$B$10*12,I64,0)+IF(A77=A65+'Summary'!$B$10*12,I65,0)+IF(A77=A66+'Summary'!$B$10*12,I66,0)+IF(A77=A67+'Summary'!$B$10*12,I67,0)+IF(A77=A68+'Summary'!$B$10*12,I68,0)+IF(A77=A69+'Summary'!$B$10*12,I69,0)+IF(A77=A70+'Summary'!$B$10*12,I70,0)+IF(A77=A71+'Summary'!$B$10*12,I71,0)+IF(A77=A72+'Summary'!$B$10*12,I72,0)+IF(A77=A73+'Summary'!$B$10*12,I73,0)+IF(A77=A74+'Summary'!$B$10*12,I74,0)+IF(A77=A75+'Summary'!$B$10*12,I75,0)+IF(A77=A76+'Summary'!$B$10*12,I76,0)</x:f>
        <x:v>101.86</x:v>
      </x:c>
      <x:c r="H77" s="62" t="n">
        <x:f>E77+D77+F77+G77</x:f>
        <x:v>224.33300962785557</x:v>
      </x:c>
      <x:c r="I77" s="62" t="n">
        <x:f>IF(B77,IF(H77&gt;='Summary'!$B$12,H77,0),0)</x:f>
        <x:v>224.33300962785557</x:v>
      </x:c>
      <x:c r="J77" s="62" t="n">
        <x:f>H77-I77</x:f>
        <x:v>0</x:v>
      </x:c>
      <x:c r="K77" s="63" t="n">
        <x:f>J77+IF(A8+'Summary'!$B$10*12&gt;A77,I8,0)+IF(A9+'Summary'!$B$10*12&gt;A77,I9,0)+IF(A10+'Summary'!$B$10*12&gt;A77,I10,0)+IF(A11+'Summary'!$B$10*12&gt;A77,I11,0)+IF(A12+'Summary'!$B$10*12&gt;A77,I12,0)+IF(A13+'Summary'!$B$10*12&gt;A77,I13,0)+IF(A14+'Summary'!$B$10*12&gt;A77,I14,0)+IF(A15+'Summary'!$B$10*12&gt;A77,I15,0)+IF(A16+'Summary'!$B$10*12&gt;A77,I16,0)+IF(A17+'Summary'!$B$10*12&gt;A77,I17,0)+IF(A18+'Summary'!$B$10*12&gt;A77,I18,0)+IF(A19+'Summary'!$B$10*12&gt;A77,I19,0)+IF(A20+'Summary'!$B$10*12&gt;A77,I20,0)+IF(A21+'Summary'!$B$10*12&gt;A77,I21,0)+IF(A22+'Summary'!$B$10*12&gt;A77,I22,0)+IF(A23+'Summary'!$B$10*12&gt;A77,I23,0)+IF(A24+'Summary'!$B$10*12&gt;A77,I24,0)+IF(A25+'Summary'!$B$10*12&gt;A77,I25,0)+IF(A26+'Summary'!$B$10*12&gt;A77,I26,0)+IF(A27+'Summary'!$B$10*12&gt;A77,I27,0)+IF(A28+'Summary'!$B$10*12&gt;A77,I28,0)+IF(A29+'Summary'!$B$10*12&gt;A77,I29,0)+IF(A30+'Summary'!$B$10*12&gt;A77,I30,0)+IF(A31+'Summary'!$B$10*12&gt;A77,I31,0)+IF(A32+'Summary'!$B$10*12&gt;A77,I32,0)+IF(A33+'Summary'!$B$10*12&gt;A77,I33,0)+IF(A34+'Summary'!$B$10*12&gt;A77,I34,0)+IF(A35+'Summary'!$B$10*12&gt;A77,I35,0)+IF(A36+'Summary'!$B$10*12&gt;A77,I36,0)+IF(A37+'Summary'!$B$10*12&gt;A77,I37,0)+IF(A38+'Summary'!$B$10*12&gt;A77,I38,0)+IF(A39+'Summary'!$B$10*12&gt;A77,I39,0)+IF(A40+'Summary'!$B$10*12&gt;A77,I40,0)+IF(A41+'Summary'!$B$10*12&gt;A77,I41,0)+IF(A42+'Summary'!$B$10*12&gt;A77,I42,0)+IF(A43+'Summary'!$B$10*12&gt;A77,I43,0)+IF(A44+'Summary'!$B$10*12&gt;A77,I44,0)+IF(A45+'Summary'!$B$10*12&gt;A77,I45,0)+IF(A46+'Summary'!$B$10*12&gt;A77,I46,0)+IF(A47+'Summary'!$B$10*12&gt;A77,I47,0)+IF(A48+'Summary'!$B$10*12&gt;A77,I48,0)+IF(A49+'Summary'!$B$10*12&gt;A77,I49,0)+IF(A50+'Summary'!$B$10*12&gt;A77,I50,0)+IF(A51+'Summary'!$B$10*12&gt;A77,I51,0)+IF(A52+'Summary'!$B$10*12&gt;A77,I52,0)+IF(A53+'Summary'!$B$10*12&gt;A77,I53,0)+IF(A54+'Summary'!$B$10*12&gt;A77,I54,0)+IF(A55+'Summary'!$B$10*12&gt;A77,I55,0)+IF(A56+'Summary'!$B$10*12&gt;A77,I56,0)+IF(A57+'Summary'!$B$10*12&gt;A77,I57,0)+IF(A58+'Summary'!$B$10*12&gt;A77,I58,0)+IF(A59+'Summary'!$B$10*12&gt;A77,I59,0)+IF(A60+'Summary'!$B$10*12&gt;A77,I60,0)+IF(A61+'Summary'!$B$10*12&gt;A77,I61,0)+IF(A62+'Summary'!$B$10*12&gt;A77,I62,0)+IF(A63+'Summary'!$B$10*12&gt;A77,I63,0)+IF(A64+'Summary'!$B$10*12&gt;A77,I64,0)+IF(A65+'Summary'!$B$10*12&gt;A77,I65,0)+IF(A66+'Summary'!$B$10*12&gt;A77,I66,0)+IF(A67+'Summary'!$B$10*12&gt;A77,I67,0)+IF(A68+'Summary'!$B$10*12&gt;A77,I68,0)+IF(A69+'Summary'!$B$10*12&gt;A77,I69,0)+IF(A70+'Summary'!$B$10*12&gt;A77,I70,0)+IF(A71+'Summary'!$B$10*12&gt;A77,I71,0)+IF(A72+'Summary'!$B$10*12&gt;A77,I72,0)+IF(A73+'Summary'!$B$10*12&gt;A77,I73,0)+IF(A74+'Summary'!$B$10*12&gt;A77,I74,0)+IF(A75+'Summary'!$B$10*12&gt;A77,I75,0)+IF(A76+'Summary'!$B$10*12&gt;A77,I76,0)+IF(A77+'Summary'!$B$10*12&gt;A77,I77,0)</x:f>
        <x:v>19986.55094576651</x:v>
      </x:c>
    </x:row>
    <x:row r="78">
      <x:c r="A78" s="55" t="n">
        <x:v>70</x:v>
      </x:c>
      <x:c r="B78" s="71" t="b">
        <x:f>A78&lt;='Summary'!$B$9*12</x:f>
        <x:v>1</x:v>
      </x:c>
      <x:c r="C78" s="62" t="n">
        <x:f>IF(A78=0,IF('Summary'!$B$6&gt;=5,'Summary'!$B$6,0),C77)+IF(A78&lt;'Summary'!$B$9*12,IF('Summary'!$B$7&gt;=5,'Summary'!$B$7,0),0)</x:f>
        <x:v>17100</x:v>
      </x:c>
      <x:c r="D78" s="62" t="n">
        <x:f>IF(A78=0,IF('Summary'!$B$6&gt;=5,'Summary'!$B$6,0),0)+IF(A78&lt;'Summary'!$B$9*12,IF('Summary'!$B$7&gt;=5,'Summary'!$B$7,0),0)</x:f>
        <x:v>100</x:v>
      </x:c>
      <x:c r="E78" s="62" t="n">
        <x:f>J77</x:f>
        <x:v>0</x:v>
      </x:c>
      <x:c r="F78" s="62" t="n">
        <x:f>(IF(AND(A78&gt;A8,A78&lt;=A8+'Summary'!$B$10*12,MOD(A78-A8,'Summary'!$B$11)=0),I8,0)+IF(AND(A78&gt;A9,A78&lt;=A9+'Summary'!$B$10*12,MOD(A78-A9,'Summary'!$B$11)=0),I9,0)+IF(AND(A78&gt;A10,A78&lt;=A10+'Summary'!$B$10*12,MOD(A78-A10,'Summary'!$B$11)=0),I10,0)+IF(AND(A78&gt;A11,A78&lt;=A11+'Summary'!$B$10*12,MOD(A78-A11,'Summary'!$B$11)=0),I11,0)+IF(AND(A78&gt;A12,A78&lt;=A12+'Summary'!$B$10*12,MOD(A78-A12,'Summary'!$B$11)=0),I12,0)+IF(AND(A78&gt;A13,A78&lt;=A13+'Summary'!$B$10*12,MOD(A78-A13,'Summary'!$B$11)=0),I13,0)+IF(AND(A78&gt;A14,A78&lt;=A14+'Summary'!$B$10*12,MOD(A78-A14,'Summary'!$B$11)=0),I14,0)+IF(AND(A78&gt;A15,A78&lt;=A15+'Summary'!$B$10*12,MOD(A78-A15,'Summary'!$B$11)=0),I15,0)+IF(AND(A78&gt;A16,A78&lt;=A16+'Summary'!$B$10*12,MOD(A78-A16,'Summary'!$B$11)=0),I16,0)+IF(AND(A78&gt;A17,A78&lt;=A17+'Summary'!$B$10*12,MOD(A78-A17,'Summary'!$B$11)=0),I17,0)+IF(AND(A78&gt;A18,A78&lt;=A18+'Summary'!$B$10*12,MOD(A78-A18,'Summary'!$B$11)=0),I18,0)+IF(AND(A78&gt;A19,A78&lt;=A19+'Summary'!$B$10*12,MOD(A78-A19,'Summary'!$B$11)=0),I19,0)+IF(AND(A78&gt;A20,A78&lt;=A20+'Summary'!$B$10*12,MOD(A78-A20,'Summary'!$B$11)=0),I20,0)+IF(AND(A78&gt;A21,A78&lt;=A21+'Summary'!$B$10*12,MOD(A78-A21,'Summary'!$B$11)=0),I21,0)+IF(AND(A78&gt;A22,A78&lt;=A22+'Summary'!$B$10*12,MOD(A78-A22,'Summary'!$B$11)=0),I22,0)+IF(AND(A78&gt;A23,A78&lt;=A23+'Summary'!$B$10*12,MOD(A78-A23,'Summary'!$B$11)=0),I23,0)+IF(AND(A78&gt;A24,A78&lt;=A24+'Summary'!$B$10*12,MOD(A78-A24,'Summary'!$B$11)=0),I24,0)+IF(AND(A78&gt;A25,A78&lt;=A25+'Summary'!$B$10*12,MOD(A78-A25,'Summary'!$B$11)=0),I25,0)+IF(AND(A78&gt;A26,A78&lt;=A26+'Summary'!$B$10*12,MOD(A78-A26,'Summary'!$B$11)=0),I26,0)+IF(AND(A78&gt;A27,A78&lt;=A27+'Summary'!$B$10*12,MOD(A78-A27,'Summary'!$B$11)=0),I27,0)+IF(AND(A78&gt;A28,A78&lt;=A28+'Summary'!$B$10*12,MOD(A78-A28,'Summary'!$B$11)=0),I28,0)+IF(AND(A78&gt;A29,A78&lt;=A29+'Summary'!$B$10*12,MOD(A78-A29,'Summary'!$B$11)=0),I29,0)+IF(AND(A78&gt;A30,A78&lt;=A30+'Summary'!$B$10*12,MOD(A78-A30,'Summary'!$B$11)=0),I30,0)+IF(AND(A78&gt;A31,A78&lt;=A31+'Summary'!$B$10*12,MOD(A78-A31,'Summary'!$B$11)=0),I31,0)+IF(AND(A78&gt;A32,A78&lt;=A32+'Summary'!$B$10*12,MOD(A78-A32,'Summary'!$B$11)=0),I32,0)+IF(AND(A78&gt;A33,A78&lt;=A33+'Summary'!$B$10*12,MOD(A78-A33,'Summary'!$B$11)=0),I33,0)+IF(AND(A78&gt;A34,A78&lt;=A34+'Summary'!$B$10*12,MOD(A78-A34,'Summary'!$B$11)=0),I34,0)+IF(AND(A78&gt;A35,A78&lt;=A35+'Summary'!$B$10*12,MOD(A78-A35,'Summary'!$B$11)=0),I35,0)+IF(AND(A78&gt;A36,A78&lt;=A36+'Summary'!$B$10*12,MOD(A78-A36,'Summary'!$B$11)=0),I36,0)+IF(AND(A78&gt;A37,A78&lt;=A37+'Summary'!$B$10*12,MOD(A78-A37,'Summary'!$B$11)=0),I37,0)+IF(AND(A78&gt;A38,A78&lt;=A38+'Summary'!$B$10*12,MOD(A78-A38,'Summary'!$B$11)=0),I38,0)+IF(AND(A78&gt;A39,A78&lt;=A39+'Summary'!$B$10*12,MOD(A78-A39,'Summary'!$B$11)=0),I39,0)+IF(AND(A78&gt;A40,A78&lt;=A40+'Summary'!$B$10*12,MOD(A78-A40,'Summary'!$B$11)=0),I40,0)+IF(AND(A78&gt;A41,A78&lt;=A41+'Summary'!$B$10*12,MOD(A78-A41,'Summary'!$B$11)=0),I41,0)+IF(AND(A78&gt;A42,A78&lt;=A42+'Summary'!$B$10*12,MOD(A78-A42,'Summary'!$B$11)=0),I42,0)+IF(AND(A78&gt;A43,A78&lt;=A43+'Summary'!$B$10*12,MOD(A78-A43,'Summary'!$B$11)=0),I43,0)+IF(AND(A78&gt;A44,A78&lt;=A44+'Summary'!$B$10*12,MOD(A78-A44,'Summary'!$B$11)=0),I44,0)+IF(AND(A78&gt;A45,A78&lt;=A45+'Summary'!$B$10*12,MOD(A78-A45,'Summary'!$B$11)=0),I45,0)+IF(AND(A78&gt;A46,A78&lt;=A46+'Summary'!$B$10*12,MOD(A78-A46,'Summary'!$B$11)=0),I46,0)+IF(AND(A78&gt;A47,A78&lt;=A47+'Summary'!$B$10*12,MOD(A78-A47,'Summary'!$B$11)=0),I47,0)+IF(AND(A78&gt;A48,A78&lt;=A48+'Summary'!$B$10*12,MOD(A78-A48,'Summary'!$B$11)=0),I48,0)+IF(AND(A78&gt;A49,A78&lt;=A49+'Summary'!$B$10*12,MOD(A78-A49,'Summary'!$B$11)=0),I49,0)+IF(AND(A78&gt;A50,A78&lt;=A50+'Summary'!$B$10*12,MOD(A78-A50,'Summary'!$B$11)=0),I50,0)+IF(AND(A78&gt;A51,A78&lt;=A51+'Summary'!$B$10*12,MOD(A78-A51,'Summary'!$B$11)=0),I51,0)+IF(AND(A78&gt;A52,A78&lt;=A52+'Summary'!$B$10*12,MOD(A78-A52,'Summary'!$B$11)=0),I52,0)+IF(AND(A78&gt;A53,A78&lt;=A53+'Summary'!$B$10*12,MOD(A78-A53,'Summary'!$B$11)=0),I53,0)+IF(AND(A78&gt;A54,A78&lt;=A54+'Summary'!$B$10*12,MOD(A78-A54,'Summary'!$B$11)=0),I54,0)+IF(AND(A78&gt;A55,A78&lt;=A55+'Summary'!$B$10*12,MOD(A78-A55,'Summary'!$B$11)=0),I55,0)+IF(AND(A78&gt;A56,A78&lt;=A56+'Summary'!$B$10*12,MOD(A78-A56,'Summary'!$B$11)=0),I56,0)+IF(AND(A78&gt;A57,A78&lt;=A57+'Summary'!$B$10*12,MOD(A78-A57,'Summary'!$B$11)=0),I57,0)+IF(AND(A78&gt;A58,A78&lt;=A58+'Summary'!$B$10*12,MOD(A78-A58,'Summary'!$B$11)=0),I58,0)+IF(AND(A78&gt;A59,A78&lt;=A59+'Summary'!$B$10*12,MOD(A78-A59,'Summary'!$B$11)=0),I59,0)+IF(AND(A78&gt;A60,A78&lt;=A60+'Summary'!$B$10*12,MOD(A78-A60,'Summary'!$B$11)=0),I60,0)+IF(AND(A78&gt;A61,A78&lt;=A61+'Summary'!$B$10*12,MOD(A78-A61,'Summary'!$B$11)=0),I61,0)+IF(AND(A78&gt;A62,A78&lt;=A62+'Summary'!$B$10*12,MOD(A78-A62,'Summary'!$B$11)=0),I62,0)+IF(AND(A78&gt;A63,A78&lt;=A63+'Summary'!$B$10*12,MOD(A78-A63,'Summary'!$B$11)=0),I63,0)+IF(AND(A78&gt;A64,A78&lt;=A64+'Summary'!$B$10*12,MOD(A78-A64,'Summary'!$B$11)=0),I64,0)+IF(AND(A78&gt;A65,A78&lt;=A65+'Summary'!$B$10*12,MOD(A78-A65,'Summary'!$B$11)=0),I65,0)+IF(AND(A78&gt;A66,A78&lt;=A66+'Summary'!$B$10*12,MOD(A78-A66,'Summary'!$B$11)=0),I66,0)+IF(AND(A78&gt;A67,A78&lt;=A67+'Summary'!$B$10*12,MOD(A78-A67,'Summary'!$B$11)=0),I67,0)+IF(AND(A78&gt;A68,A78&lt;=A68+'Summary'!$B$10*12,MOD(A78-A68,'Summary'!$B$11)=0),I68,0)+IF(AND(A78&gt;A69,A78&lt;=A69+'Summary'!$B$10*12,MOD(A78-A69,'Summary'!$B$11)=0),I69,0)+IF(AND(A78&gt;A70,A78&lt;=A70+'Summary'!$B$10*12,MOD(A78-A70,'Summary'!$B$11)=0),I70,0)+IF(AND(A78&gt;A71,A78&lt;=A71+'Summary'!$B$10*12,MOD(A78-A71,'Summary'!$B$11)=0),I71,0)+IF(AND(A78&gt;A72,A78&lt;=A72+'Summary'!$B$10*12,MOD(A78-A72,'Summary'!$B$11)=0),I72,0)+IF(AND(A78&gt;A73,A78&lt;=A73+'Summary'!$B$10*12,MOD(A78-A73,'Summary'!$B$11)=0),I73,0)+IF(AND(A78&gt;A74,A78&lt;=A74+'Summary'!$B$10*12,MOD(A78-A74,'Summary'!$B$11)=0),I74,0)+IF(AND(A78&gt;A75,A78&lt;=A75+'Summary'!$B$10*12,MOD(A78-A75,'Summary'!$B$11)=0),I75,0)+IF(AND(A78&gt;A76,A78&lt;=A76+'Summary'!$B$10*12,MOD(A78-A76,'Summary'!$B$11)=0),I76,0)+IF(AND(A78&gt;A77,A78&lt;=A77+'Summary'!$B$10*12,MOD(A78-A77,'Summary'!$B$11)=0),I77,0))*'Summary'!$B$8/2</x:f>
        <x:v>22.473009627855575</x:v>
      </x:c>
      <x:c r="G78" s="62" t="n">
        <x:f>IF(A78=A8+'Summary'!$B$10*12,I8,0)+IF(A78=A9+'Summary'!$B$10*12,I9,0)+IF(A78=A10+'Summary'!$B$10*12,I10,0)+IF(A78=A11+'Summary'!$B$10*12,I11,0)+IF(A78=A12+'Summary'!$B$10*12,I12,0)+IF(A78=A13+'Summary'!$B$10*12,I13,0)+IF(A78=A14+'Summary'!$B$10*12,I14,0)+IF(A78=A15+'Summary'!$B$10*12,I15,0)+IF(A78=A16+'Summary'!$B$10*12,I16,0)+IF(A78=A17+'Summary'!$B$10*12,I17,0)+IF(A78=A18+'Summary'!$B$10*12,I18,0)+IF(A78=A19+'Summary'!$B$10*12,I19,0)+IF(A78=A20+'Summary'!$B$10*12,I20,0)+IF(A78=A21+'Summary'!$B$10*12,I21,0)+IF(A78=A22+'Summary'!$B$10*12,I22,0)+IF(A78=A23+'Summary'!$B$10*12,I23,0)+IF(A78=A24+'Summary'!$B$10*12,I24,0)+IF(A78=A25+'Summary'!$B$10*12,I25,0)+IF(A78=A26+'Summary'!$B$10*12,I26,0)+IF(A78=A27+'Summary'!$B$10*12,I27,0)+IF(A78=A28+'Summary'!$B$10*12,I28,0)+IF(A78=A29+'Summary'!$B$10*12,I29,0)+IF(A78=A30+'Summary'!$B$10*12,I30,0)+IF(A78=A31+'Summary'!$B$10*12,I31,0)+IF(A78=A32+'Summary'!$B$10*12,I32,0)+IF(A78=A33+'Summary'!$B$10*12,I33,0)+IF(A78=A34+'Summary'!$B$10*12,I34,0)+IF(A78=A35+'Summary'!$B$10*12,I35,0)+IF(A78=A36+'Summary'!$B$10*12,I36,0)+IF(A78=A37+'Summary'!$B$10*12,I37,0)+IF(A78=A38+'Summary'!$B$10*12,I38,0)+IF(A78=A39+'Summary'!$B$10*12,I39,0)+IF(A78=A40+'Summary'!$B$10*12,I40,0)+IF(A78=A41+'Summary'!$B$10*12,I41,0)+IF(A78=A42+'Summary'!$B$10*12,I42,0)+IF(A78=A43+'Summary'!$B$10*12,I43,0)+IF(A78=A44+'Summary'!$B$10*12,I44,0)+IF(A78=A45+'Summary'!$B$10*12,I45,0)+IF(A78=A46+'Summary'!$B$10*12,I46,0)+IF(A78=A47+'Summary'!$B$10*12,I47,0)+IF(A78=A48+'Summary'!$B$10*12,I48,0)+IF(A78=A49+'Summary'!$B$10*12,I49,0)+IF(A78=A50+'Summary'!$B$10*12,I50,0)+IF(A78=A51+'Summary'!$B$10*12,I51,0)+IF(A78=A52+'Summary'!$B$10*12,I52,0)+IF(A78=A53+'Summary'!$B$10*12,I53,0)+IF(A78=A54+'Summary'!$B$10*12,I54,0)+IF(A78=A55+'Summary'!$B$10*12,I55,0)+IF(A78=A56+'Summary'!$B$10*12,I56,0)+IF(A78=A57+'Summary'!$B$10*12,I57,0)+IF(A78=A58+'Summary'!$B$10*12,I58,0)+IF(A78=A59+'Summary'!$B$10*12,I59,0)+IF(A78=A60+'Summary'!$B$10*12,I60,0)+IF(A78=A61+'Summary'!$B$10*12,I61,0)+IF(A78=A62+'Summary'!$B$10*12,I62,0)+IF(A78=A63+'Summary'!$B$10*12,I63,0)+IF(A78=A64+'Summary'!$B$10*12,I64,0)+IF(A78=A65+'Summary'!$B$10*12,I65,0)+IF(A78=A66+'Summary'!$B$10*12,I66,0)+IF(A78=A67+'Summary'!$B$10*12,I67,0)+IF(A78=A68+'Summary'!$B$10*12,I68,0)+IF(A78=A69+'Summary'!$B$10*12,I69,0)+IF(A78=A70+'Summary'!$B$10*12,I70,0)+IF(A78=A71+'Summary'!$B$10*12,I71,0)+IF(A78=A72+'Summary'!$B$10*12,I72,0)+IF(A78=A73+'Summary'!$B$10*12,I73,0)+IF(A78=A74+'Summary'!$B$10*12,I74,0)+IF(A78=A75+'Summary'!$B$10*12,I75,0)+IF(A78=A76+'Summary'!$B$10*12,I76,0)+IF(A78=A77+'Summary'!$B$10*12,I77,0)</x:f>
        <x:v>101.86</x:v>
      </x:c>
      <x:c r="H78" s="62" t="n">
        <x:f>E78+D78+F78+G78</x:f>
        <x:v>224.33300962785557</x:v>
      </x:c>
      <x:c r="I78" s="62" t="n">
        <x:f>IF(B78,IF(H78&gt;='Summary'!$B$12,H78,0),0)</x:f>
        <x:v>224.33300962785557</x:v>
      </x:c>
      <x:c r="J78" s="62" t="n">
        <x:f>H78-I78</x:f>
        <x:v>0</x:v>
      </x:c>
      <x:c r="K78" s="63" t="n">
        <x:f>J78+IF(A8+'Summary'!$B$10*12&gt;A78,I8,0)+IF(A9+'Summary'!$B$10*12&gt;A78,I9,0)+IF(A10+'Summary'!$B$10*12&gt;A78,I10,0)+IF(A11+'Summary'!$B$10*12&gt;A78,I11,0)+IF(A12+'Summary'!$B$10*12&gt;A78,I12,0)+IF(A13+'Summary'!$B$10*12&gt;A78,I13,0)+IF(A14+'Summary'!$B$10*12&gt;A78,I14,0)+IF(A15+'Summary'!$B$10*12&gt;A78,I15,0)+IF(A16+'Summary'!$B$10*12&gt;A78,I16,0)+IF(A17+'Summary'!$B$10*12&gt;A78,I17,0)+IF(A18+'Summary'!$B$10*12&gt;A78,I18,0)+IF(A19+'Summary'!$B$10*12&gt;A78,I19,0)+IF(A20+'Summary'!$B$10*12&gt;A78,I20,0)+IF(A21+'Summary'!$B$10*12&gt;A78,I21,0)+IF(A22+'Summary'!$B$10*12&gt;A78,I22,0)+IF(A23+'Summary'!$B$10*12&gt;A78,I23,0)+IF(A24+'Summary'!$B$10*12&gt;A78,I24,0)+IF(A25+'Summary'!$B$10*12&gt;A78,I25,0)+IF(A26+'Summary'!$B$10*12&gt;A78,I26,0)+IF(A27+'Summary'!$B$10*12&gt;A78,I27,0)+IF(A28+'Summary'!$B$10*12&gt;A78,I28,0)+IF(A29+'Summary'!$B$10*12&gt;A78,I29,0)+IF(A30+'Summary'!$B$10*12&gt;A78,I30,0)+IF(A31+'Summary'!$B$10*12&gt;A78,I31,0)+IF(A32+'Summary'!$B$10*12&gt;A78,I32,0)+IF(A33+'Summary'!$B$10*12&gt;A78,I33,0)+IF(A34+'Summary'!$B$10*12&gt;A78,I34,0)+IF(A35+'Summary'!$B$10*12&gt;A78,I35,0)+IF(A36+'Summary'!$B$10*12&gt;A78,I36,0)+IF(A37+'Summary'!$B$10*12&gt;A78,I37,0)+IF(A38+'Summary'!$B$10*12&gt;A78,I38,0)+IF(A39+'Summary'!$B$10*12&gt;A78,I39,0)+IF(A40+'Summary'!$B$10*12&gt;A78,I40,0)+IF(A41+'Summary'!$B$10*12&gt;A78,I41,0)+IF(A42+'Summary'!$B$10*12&gt;A78,I42,0)+IF(A43+'Summary'!$B$10*12&gt;A78,I43,0)+IF(A44+'Summary'!$B$10*12&gt;A78,I44,0)+IF(A45+'Summary'!$B$10*12&gt;A78,I45,0)+IF(A46+'Summary'!$B$10*12&gt;A78,I46,0)+IF(A47+'Summary'!$B$10*12&gt;A78,I47,0)+IF(A48+'Summary'!$B$10*12&gt;A78,I48,0)+IF(A49+'Summary'!$B$10*12&gt;A78,I49,0)+IF(A50+'Summary'!$B$10*12&gt;A78,I50,0)+IF(A51+'Summary'!$B$10*12&gt;A78,I51,0)+IF(A52+'Summary'!$B$10*12&gt;A78,I52,0)+IF(A53+'Summary'!$B$10*12&gt;A78,I53,0)+IF(A54+'Summary'!$B$10*12&gt;A78,I54,0)+IF(A55+'Summary'!$B$10*12&gt;A78,I55,0)+IF(A56+'Summary'!$B$10*12&gt;A78,I56,0)+IF(A57+'Summary'!$B$10*12&gt;A78,I57,0)+IF(A58+'Summary'!$B$10*12&gt;A78,I58,0)+IF(A59+'Summary'!$B$10*12&gt;A78,I59,0)+IF(A60+'Summary'!$B$10*12&gt;A78,I60,0)+IF(A61+'Summary'!$B$10*12&gt;A78,I61,0)+IF(A62+'Summary'!$B$10*12&gt;A78,I62,0)+IF(A63+'Summary'!$B$10*12&gt;A78,I63,0)+IF(A64+'Summary'!$B$10*12&gt;A78,I64,0)+IF(A65+'Summary'!$B$10*12&gt;A78,I65,0)+IF(A66+'Summary'!$B$10*12&gt;A78,I66,0)+IF(A67+'Summary'!$B$10*12&gt;A78,I67,0)+IF(A68+'Summary'!$B$10*12&gt;A78,I68,0)+IF(A69+'Summary'!$B$10*12&gt;A78,I69,0)+IF(A70+'Summary'!$B$10*12&gt;A78,I70,0)+IF(A71+'Summary'!$B$10*12&gt;A78,I71,0)+IF(A72+'Summary'!$B$10*12&gt;A78,I72,0)+IF(A73+'Summary'!$B$10*12&gt;A78,I73,0)+IF(A74+'Summary'!$B$10*12&gt;A78,I74,0)+IF(A75+'Summary'!$B$10*12&gt;A78,I75,0)+IF(A76+'Summary'!$B$10*12&gt;A78,I76,0)+IF(A77+'Summary'!$B$10*12&gt;A78,I77,0)+IF(A78+'Summary'!$B$10*12&gt;A78,I78,0)</x:f>
        <x:v>20109.023955394365</x:v>
      </x:c>
    </x:row>
    <x:row r="79">
      <x:c r="A79" s="55" t="n">
        <x:v>71</x:v>
      </x:c>
      <x:c r="B79" s="71" t="b">
        <x:f>A79&lt;='Summary'!$B$9*12</x:f>
        <x:v>1</x:v>
      </x:c>
      <x:c r="C79" s="62" t="n">
        <x:f>IF(A79=0,IF('Summary'!$B$6&gt;=5,'Summary'!$B$6,0),C78)+IF(A79&lt;'Summary'!$B$9*12,IF('Summary'!$B$7&gt;=5,'Summary'!$B$7,0),0)</x:f>
        <x:v>17200</x:v>
      </x:c>
      <x:c r="D79" s="62" t="n">
        <x:f>IF(A79=0,IF('Summary'!$B$6&gt;=5,'Summary'!$B$6,0),0)+IF(A79&lt;'Summary'!$B$9*12,IF('Summary'!$B$7&gt;=5,'Summary'!$B$7,0),0)</x:f>
        <x:v>100</x:v>
      </x:c>
      <x:c r="E79" s="62" t="n">
        <x:f>J78</x:f>
        <x:v>0</x:v>
      </x:c>
      <x:c r="F79" s="62" t="n">
        <x:f>(IF(AND(A79&gt;A8,A79&lt;=A8+'Summary'!$B$10*12,MOD(A79-A8,'Summary'!$B$11)=0),I8,0)+IF(AND(A79&gt;A9,A79&lt;=A9+'Summary'!$B$10*12,MOD(A79-A9,'Summary'!$B$11)=0),I9,0)+IF(AND(A79&gt;A10,A79&lt;=A10+'Summary'!$B$10*12,MOD(A79-A10,'Summary'!$B$11)=0),I10,0)+IF(AND(A79&gt;A11,A79&lt;=A11+'Summary'!$B$10*12,MOD(A79-A11,'Summary'!$B$11)=0),I11,0)+IF(AND(A79&gt;A12,A79&lt;=A12+'Summary'!$B$10*12,MOD(A79-A12,'Summary'!$B$11)=0),I12,0)+IF(AND(A79&gt;A13,A79&lt;=A13+'Summary'!$B$10*12,MOD(A79-A13,'Summary'!$B$11)=0),I13,0)+IF(AND(A79&gt;A14,A79&lt;=A14+'Summary'!$B$10*12,MOD(A79-A14,'Summary'!$B$11)=0),I14,0)+IF(AND(A79&gt;A15,A79&lt;=A15+'Summary'!$B$10*12,MOD(A79-A15,'Summary'!$B$11)=0),I15,0)+IF(AND(A79&gt;A16,A79&lt;=A16+'Summary'!$B$10*12,MOD(A79-A16,'Summary'!$B$11)=0),I16,0)+IF(AND(A79&gt;A17,A79&lt;=A17+'Summary'!$B$10*12,MOD(A79-A17,'Summary'!$B$11)=0),I17,0)+IF(AND(A79&gt;A18,A79&lt;=A18+'Summary'!$B$10*12,MOD(A79-A18,'Summary'!$B$11)=0),I18,0)+IF(AND(A79&gt;A19,A79&lt;=A19+'Summary'!$B$10*12,MOD(A79-A19,'Summary'!$B$11)=0),I19,0)+IF(AND(A79&gt;A20,A79&lt;=A20+'Summary'!$B$10*12,MOD(A79-A20,'Summary'!$B$11)=0),I20,0)+IF(AND(A79&gt;A21,A79&lt;=A21+'Summary'!$B$10*12,MOD(A79-A21,'Summary'!$B$11)=0),I21,0)+IF(AND(A79&gt;A22,A79&lt;=A22+'Summary'!$B$10*12,MOD(A79-A22,'Summary'!$B$11)=0),I22,0)+IF(AND(A79&gt;A23,A79&lt;=A23+'Summary'!$B$10*12,MOD(A79-A23,'Summary'!$B$11)=0),I23,0)+IF(AND(A79&gt;A24,A79&lt;=A24+'Summary'!$B$10*12,MOD(A79-A24,'Summary'!$B$11)=0),I24,0)+IF(AND(A79&gt;A25,A79&lt;=A25+'Summary'!$B$10*12,MOD(A79-A25,'Summary'!$B$11)=0),I25,0)+IF(AND(A79&gt;A26,A79&lt;=A26+'Summary'!$B$10*12,MOD(A79-A26,'Summary'!$B$11)=0),I26,0)+IF(AND(A79&gt;A27,A79&lt;=A27+'Summary'!$B$10*12,MOD(A79-A27,'Summary'!$B$11)=0),I27,0)+IF(AND(A79&gt;A28,A79&lt;=A28+'Summary'!$B$10*12,MOD(A79-A28,'Summary'!$B$11)=0),I28,0)+IF(AND(A79&gt;A29,A79&lt;=A29+'Summary'!$B$10*12,MOD(A79-A29,'Summary'!$B$11)=0),I29,0)+IF(AND(A79&gt;A30,A79&lt;=A30+'Summary'!$B$10*12,MOD(A79-A30,'Summary'!$B$11)=0),I30,0)+IF(AND(A79&gt;A31,A79&lt;=A31+'Summary'!$B$10*12,MOD(A79-A31,'Summary'!$B$11)=0),I31,0)+IF(AND(A79&gt;A32,A79&lt;=A32+'Summary'!$B$10*12,MOD(A79-A32,'Summary'!$B$11)=0),I32,0)+IF(AND(A79&gt;A33,A79&lt;=A33+'Summary'!$B$10*12,MOD(A79-A33,'Summary'!$B$11)=0),I33,0)+IF(AND(A79&gt;A34,A79&lt;=A34+'Summary'!$B$10*12,MOD(A79-A34,'Summary'!$B$11)=0),I34,0)+IF(AND(A79&gt;A35,A79&lt;=A35+'Summary'!$B$10*12,MOD(A79-A35,'Summary'!$B$11)=0),I35,0)+IF(AND(A79&gt;A36,A79&lt;=A36+'Summary'!$B$10*12,MOD(A79-A36,'Summary'!$B$11)=0),I36,0)+IF(AND(A79&gt;A37,A79&lt;=A37+'Summary'!$B$10*12,MOD(A79-A37,'Summary'!$B$11)=0),I37,0)+IF(AND(A79&gt;A38,A79&lt;=A38+'Summary'!$B$10*12,MOD(A79-A38,'Summary'!$B$11)=0),I38,0)+IF(AND(A79&gt;A39,A79&lt;=A39+'Summary'!$B$10*12,MOD(A79-A39,'Summary'!$B$11)=0),I39,0)+IF(AND(A79&gt;A40,A79&lt;=A40+'Summary'!$B$10*12,MOD(A79-A40,'Summary'!$B$11)=0),I40,0)+IF(AND(A79&gt;A41,A79&lt;=A41+'Summary'!$B$10*12,MOD(A79-A41,'Summary'!$B$11)=0),I41,0)+IF(AND(A79&gt;A42,A79&lt;=A42+'Summary'!$B$10*12,MOD(A79-A42,'Summary'!$B$11)=0),I42,0)+IF(AND(A79&gt;A43,A79&lt;=A43+'Summary'!$B$10*12,MOD(A79-A43,'Summary'!$B$11)=0),I43,0)+IF(AND(A79&gt;A44,A79&lt;=A44+'Summary'!$B$10*12,MOD(A79-A44,'Summary'!$B$11)=0),I44,0)+IF(AND(A79&gt;A45,A79&lt;=A45+'Summary'!$B$10*12,MOD(A79-A45,'Summary'!$B$11)=0),I45,0)+IF(AND(A79&gt;A46,A79&lt;=A46+'Summary'!$B$10*12,MOD(A79-A46,'Summary'!$B$11)=0),I46,0)+IF(AND(A79&gt;A47,A79&lt;=A47+'Summary'!$B$10*12,MOD(A79-A47,'Summary'!$B$11)=0),I47,0)+IF(AND(A79&gt;A48,A79&lt;=A48+'Summary'!$B$10*12,MOD(A79-A48,'Summary'!$B$11)=0),I48,0)+IF(AND(A79&gt;A49,A79&lt;=A49+'Summary'!$B$10*12,MOD(A79-A49,'Summary'!$B$11)=0),I49,0)+IF(AND(A79&gt;A50,A79&lt;=A50+'Summary'!$B$10*12,MOD(A79-A50,'Summary'!$B$11)=0),I50,0)+IF(AND(A79&gt;A51,A79&lt;=A51+'Summary'!$B$10*12,MOD(A79-A51,'Summary'!$B$11)=0),I51,0)+IF(AND(A79&gt;A52,A79&lt;=A52+'Summary'!$B$10*12,MOD(A79-A52,'Summary'!$B$11)=0),I52,0)+IF(AND(A79&gt;A53,A79&lt;=A53+'Summary'!$B$10*12,MOD(A79-A53,'Summary'!$B$11)=0),I53,0)+IF(AND(A79&gt;A54,A79&lt;=A54+'Summary'!$B$10*12,MOD(A79-A54,'Summary'!$B$11)=0),I54,0)+IF(AND(A79&gt;A55,A79&lt;=A55+'Summary'!$B$10*12,MOD(A79-A55,'Summary'!$B$11)=0),I55,0)+IF(AND(A79&gt;A56,A79&lt;=A56+'Summary'!$B$10*12,MOD(A79-A56,'Summary'!$B$11)=0),I56,0)+IF(AND(A79&gt;A57,A79&lt;=A57+'Summary'!$B$10*12,MOD(A79-A57,'Summary'!$B$11)=0),I57,0)+IF(AND(A79&gt;A58,A79&lt;=A58+'Summary'!$B$10*12,MOD(A79-A58,'Summary'!$B$11)=0),I58,0)+IF(AND(A79&gt;A59,A79&lt;=A59+'Summary'!$B$10*12,MOD(A79-A59,'Summary'!$B$11)=0),I59,0)+IF(AND(A79&gt;A60,A79&lt;=A60+'Summary'!$B$10*12,MOD(A79-A60,'Summary'!$B$11)=0),I60,0)+IF(AND(A79&gt;A61,A79&lt;=A61+'Summary'!$B$10*12,MOD(A79-A61,'Summary'!$B$11)=0),I61,0)+IF(AND(A79&gt;A62,A79&lt;=A62+'Summary'!$B$10*12,MOD(A79-A62,'Summary'!$B$11)=0),I62,0)+IF(AND(A79&gt;A63,A79&lt;=A63+'Summary'!$B$10*12,MOD(A79-A63,'Summary'!$B$11)=0),I63,0)+IF(AND(A79&gt;A64,A79&lt;=A64+'Summary'!$B$10*12,MOD(A79-A64,'Summary'!$B$11)=0),I64,0)+IF(AND(A79&gt;A65,A79&lt;=A65+'Summary'!$B$10*12,MOD(A79-A65,'Summary'!$B$11)=0),I65,0)+IF(AND(A79&gt;A66,A79&lt;=A66+'Summary'!$B$10*12,MOD(A79-A66,'Summary'!$B$11)=0),I66,0)+IF(AND(A79&gt;A67,A79&lt;=A67+'Summary'!$B$10*12,MOD(A79-A67,'Summary'!$B$11)=0),I67,0)+IF(AND(A79&gt;A68,A79&lt;=A68+'Summary'!$B$10*12,MOD(A79-A68,'Summary'!$B$11)=0),I68,0)+IF(AND(A79&gt;A69,A79&lt;=A69+'Summary'!$B$10*12,MOD(A79-A69,'Summary'!$B$11)=0),I69,0)+IF(AND(A79&gt;A70,A79&lt;=A70+'Summary'!$B$10*12,MOD(A79-A70,'Summary'!$B$11)=0),I70,0)+IF(AND(A79&gt;A71,A79&lt;=A71+'Summary'!$B$10*12,MOD(A79-A71,'Summary'!$B$11)=0),I71,0)+IF(AND(A79&gt;A72,A79&lt;=A72+'Summary'!$B$10*12,MOD(A79-A72,'Summary'!$B$11)=0),I72,0)+IF(AND(A79&gt;A73,A79&lt;=A73+'Summary'!$B$10*12,MOD(A79-A73,'Summary'!$B$11)=0),I73,0)+IF(AND(A79&gt;A74,A79&lt;=A74+'Summary'!$B$10*12,MOD(A79-A74,'Summary'!$B$11)=0),I74,0)+IF(AND(A79&gt;A75,A79&lt;=A75+'Summary'!$B$10*12,MOD(A79-A75,'Summary'!$B$11)=0),I75,0)+IF(AND(A79&gt;A76,A79&lt;=A76+'Summary'!$B$10*12,MOD(A79-A76,'Summary'!$B$11)=0),I76,0)+IF(AND(A79&gt;A77,A79&lt;=A77+'Summary'!$B$10*12,MOD(A79-A77,'Summary'!$B$11)=0),I77,0)+IF(AND(A79&gt;A78,A79&lt;=A78+'Summary'!$B$10*12,MOD(A79-A78,'Summary'!$B$11)=0),I78,0))*'Summary'!$B$8/2</x:f>
        <x:v>22.473009627855575</x:v>
      </x:c>
      <x:c r="G79" s="62" t="n">
        <x:f>IF(A79=A8+'Summary'!$B$10*12,I8,0)+IF(A79=A9+'Summary'!$B$10*12,I9,0)+IF(A79=A10+'Summary'!$B$10*12,I10,0)+IF(A79=A11+'Summary'!$B$10*12,I11,0)+IF(A79=A12+'Summary'!$B$10*12,I12,0)+IF(A79=A13+'Summary'!$B$10*12,I13,0)+IF(A79=A14+'Summary'!$B$10*12,I14,0)+IF(A79=A15+'Summary'!$B$10*12,I15,0)+IF(A79=A16+'Summary'!$B$10*12,I16,0)+IF(A79=A17+'Summary'!$B$10*12,I17,0)+IF(A79=A18+'Summary'!$B$10*12,I18,0)+IF(A79=A19+'Summary'!$B$10*12,I19,0)+IF(A79=A20+'Summary'!$B$10*12,I20,0)+IF(A79=A21+'Summary'!$B$10*12,I21,0)+IF(A79=A22+'Summary'!$B$10*12,I22,0)+IF(A79=A23+'Summary'!$B$10*12,I23,0)+IF(A79=A24+'Summary'!$B$10*12,I24,0)+IF(A79=A25+'Summary'!$B$10*12,I25,0)+IF(A79=A26+'Summary'!$B$10*12,I26,0)+IF(A79=A27+'Summary'!$B$10*12,I27,0)+IF(A79=A28+'Summary'!$B$10*12,I28,0)+IF(A79=A29+'Summary'!$B$10*12,I29,0)+IF(A79=A30+'Summary'!$B$10*12,I30,0)+IF(A79=A31+'Summary'!$B$10*12,I31,0)+IF(A79=A32+'Summary'!$B$10*12,I32,0)+IF(A79=A33+'Summary'!$B$10*12,I33,0)+IF(A79=A34+'Summary'!$B$10*12,I34,0)+IF(A79=A35+'Summary'!$B$10*12,I35,0)+IF(A79=A36+'Summary'!$B$10*12,I36,0)+IF(A79=A37+'Summary'!$B$10*12,I37,0)+IF(A79=A38+'Summary'!$B$10*12,I38,0)+IF(A79=A39+'Summary'!$B$10*12,I39,0)+IF(A79=A40+'Summary'!$B$10*12,I40,0)+IF(A79=A41+'Summary'!$B$10*12,I41,0)+IF(A79=A42+'Summary'!$B$10*12,I42,0)+IF(A79=A43+'Summary'!$B$10*12,I43,0)+IF(A79=A44+'Summary'!$B$10*12,I44,0)+IF(A79=A45+'Summary'!$B$10*12,I45,0)+IF(A79=A46+'Summary'!$B$10*12,I46,0)+IF(A79=A47+'Summary'!$B$10*12,I47,0)+IF(A79=A48+'Summary'!$B$10*12,I48,0)+IF(A79=A49+'Summary'!$B$10*12,I49,0)+IF(A79=A50+'Summary'!$B$10*12,I50,0)+IF(A79=A51+'Summary'!$B$10*12,I51,0)+IF(A79=A52+'Summary'!$B$10*12,I52,0)+IF(A79=A53+'Summary'!$B$10*12,I53,0)+IF(A79=A54+'Summary'!$B$10*12,I54,0)+IF(A79=A55+'Summary'!$B$10*12,I55,0)+IF(A79=A56+'Summary'!$B$10*12,I56,0)+IF(A79=A57+'Summary'!$B$10*12,I57,0)+IF(A79=A58+'Summary'!$B$10*12,I58,0)+IF(A79=A59+'Summary'!$B$10*12,I59,0)+IF(A79=A60+'Summary'!$B$10*12,I60,0)+IF(A79=A61+'Summary'!$B$10*12,I61,0)+IF(A79=A62+'Summary'!$B$10*12,I62,0)+IF(A79=A63+'Summary'!$B$10*12,I63,0)+IF(A79=A64+'Summary'!$B$10*12,I64,0)+IF(A79=A65+'Summary'!$B$10*12,I65,0)+IF(A79=A66+'Summary'!$B$10*12,I66,0)+IF(A79=A67+'Summary'!$B$10*12,I67,0)+IF(A79=A68+'Summary'!$B$10*12,I68,0)+IF(A79=A69+'Summary'!$B$10*12,I69,0)+IF(A79=A70+'Summary'!$B$10*12,I70,0)+IF(A79=A71+'Summary'!$B$10*12,I71,0)+IF(A79=A72+'Summary'!$B$10*12,I72,0)+IF(A79=A73+'Summary'!$B$10*12,I73,0)+IF(A79=A74+'Summary'!$B$10*12,I74,0)+IF(A79=A75+'Summary'!$B$10*12,I75,0)+IF(A79=A76+'Summary'!$B$10*12,I76,0)+IF(A79=A77+'Summary'!$B$10*12,I77,0)+IF(A79=A78+'Summary'!$B$10*12,I78,0)</x:f>
        <x:v>101.86</x:v>
      </x:c>
      <x:c r="H79" s="62" t="n">
        <x:f>E79+D79+F79+G79</x:f>
        <x:v>224.33300962785557</x:v>
      </x:c>
      <x:c r="I79" s="62" t="n">
        <x:f>IF(B79,IF(H79&gt;='Summary'!$B$12,H79,0),0)</x:f>
        <x:v>224.33300962785557</x:v>
      </x:c>
      <x:c r="J79" s="62" t="n">
        <x:f>H79-I79</x:f>
        <x:v>0</x:v>
      </x:c>
      <x:c r="K79" s="63" t="n">
        <x:f>J79+IF(A8+'Summary'!$B$10*12&gt;A79,I8,0)+IF(A9+'Summary'!$B$10*12&gt;A79,I9,0)+IF(A10+'Summary'!$B$10*12&gt;A79,I10,0)+IF(A11+'Summary'!$B$10*12&gt;A79,I11,0)+IF(A12+'Summary'!$B$10*12&gt;A79,I12,0)+IF(A13+'Summary'!$B$10*12&gt;A79,I13,0)+IF(A14+'Summary'!$B$10*12&gt;A79,I14,0)+IF(A15+'Summary'!$B$10*12&gt;A79,I15,0)+IF(A16+'Summary'!$B$10*12&gt;A79,I16,0)+IF(A17+'Summary'!$B$10*12&gt;A79,I17,0)+IF(A18+'Summary'!$B$10*12&gt;A79,I18,0)+IF(A19+'Summary'!$B$10*12&gt;A79,I19,0)+IF(A20+'Summary'!$B$10*12&gt;A79,I20,0)+IF(A21+'Summary'!$B$10*12&gt;A79,I21,0)+IF(A22+'Summary'!$B$10*12&gt;A79,I22,0)+IF(A23+'Summary'!$B$10*12&gt;A79,I23,0)+IF(A24+'Summary'!$B$10*12&gt;A79,I24,0)+IF(A25+'Summary'!$B$10*12&gt;A79,I25,0)+IF(A26+'Summary'!$B$10*12&gt;A79,I26,0)+IF(A27+'Summary'!$B$10*12&gt;A79,I27,0)+IF(A28+'Summary'!$B$10*12&gt;A79,I28,0)+IF(A29+'Summary'!$B$10*12&gt;A79,I29,0)+IF(A30+'Summary'!$B$10*12&gt;A79,I30,0)+IF(A31+'Summary'!$B$10*12&gt;A79,I31,0)+IF(A32+'Summary'!$B$10*12&gt;A79,I32,0)+IF(A33+'Summary'!$B$10*12&gt;A79,I33,0)+IF(A34+'Summary'!$B$10*12&gt;A79,I34,0)+IF(A35+'Summary'!$B$10*12&gt;A79,I35,0)+IF(A36+'Summary'!$B$10*12&gt;A79,I36,0)+IF(A37+'Summary'!$B$10*12&gt;A79,I37,0)+IF(A38+'Summary'!$B$10*12&gt;A79,I38,0)+IF(A39+'Summary'!$B$10*12&gt;A79,I39,0)+IF(A40+'Summary'!$B$10*12&gt;A79,I40,0)+IF(A41+'Summary'!$B$10*12&gt;A79,I41,0)+IF(A42+'Summary'!$B$10*12&gt;A79,I42,0)+IF(A43+'Summary'!$B$10*12&gt;A79,I43,0)+IF(A44+'Summary'!$B$10*12&gt;A79,I44,0)+IF(A45+'Summary'!$B$10*12&gt;A79,I45,0)+IF(A46+'Summary'!$B$10*12&gt;A79,I46,0)+IF(A47+'Summary'!$B$10*12&gt;A79,I47,0)+IF(A48+'Summary'!$B$10*12&gt;A79,I48,0)+IF(A49+'Summary'!$B$10*12&gt;A79,I49,0)+IF(A50+'Summary'!$B$10*12&gt;A79,I50,0)+IF(A51+'Summary'!$B$10*12&gt;A79,I51,0)+IF(A52+'Summary'!$B$10*12&gt;A79,I52,0)+IF(A53+'Summary'!$B$10*12&gt;A79,I53,0)+IF(A54+'Summary'!$B$10*12&gt;A79,I54,0)+IF(A55+'Summary'!$B$10*12&gt;A79,I55,0)+IF(A56+'Summary'!$B$10*12&gt;A79,I56,0)+IF(A57+'Summary'!$B$10*12&gt;A79,I57,0)+IF(A58+'Summary'!$B$10*12&gt;A79,I58,0)+IF(A59+'Summary'!$B$10*12&gt;A79,I59,0)+IF(A60+'Summary'!$B$10*12&gt;A79,I60,0)+IF(A61+'Summary'!$B$10*12&gt;A79,I61,0)+IF(A62+'Summary'!$B$10*12&gt;A79,I62,0)+IF(A63+'Summary'!$B$10*12&gt;A79,I63,0)+IF(A64+'Summary'!$B$10*12&gt;A79,I64,0)+IF(A65+'Summary'!$B$10*12&gt;A79,I65,0)+IF(A66+'Summary'!$B$10*12&gt;A79,I66,0)+IF(A67+'Summary'!$B$10*12&gt;A79,I67,0)+IF(A68+'Summary'!$B$10*12&gt;A79,I68,0)+IF(A69+'Summary'!$B$10*12&gt;A79,I69,0)+IF(A70+'Summary'!$B$10*12&gt;A79,I70,0)+IF(A71+'Summary'!$B$10*12&gt;A79,I71,0)+IF(A72+'Summary'!$B$10*12&gt;A79,I72,0)+IF(A73+'Summary'!$B$10*12&gt;A79,I73,0)+IF(A74+'Summary'!$B$10*12&gt;A79,I74,0)+IF(A75+'Summary'!$B$10*12&gt;A79,I75,0)+IF(A76+'Summary'!$B$10*12&gt;A79,I76,0)+IF(A77+'Summary'!$B$10*12&gt;A79,I77,0)+IF(A78+'Summary'!$B$10*12&gt;A79,I78,0)+IF(A79+'Summary'!$B$10*12&gt;A79,I79,0)</x:f>
        <x:v>20231.49696502222</x:v>
      </x:c>
    </x:row>
    <x:row r="80">
      <x:c r="A80" s="55" t="n">
        <x:v>72</x:v>
      </x:c>
      <x:c r="B80" s="71" t="b">
        <x:f>A80&lt;='Summary'!$B$9*12</x:f>
        <x:v>1</x:v>
      </x:c>
      <x:c r="C80" s="62" t="n">
        <x:f>IF(A80=0,IF('Summary'!$B$6&gt;=5,'Summary'!$B$6,0),C79)+IF(A80&lt;'Summary'!$B$9*12,IF('Summary'!$B$7&gt;=5,'Summary'!$B$7,0),0)</x:f>
        <x:v>17300</x:v>
      </x:c>
      <x:c r="D80" s="62" t="n">
        <x:f>IF(A80=0,IF('Summary'!$B$6&gt;=5,'Summary'!$B$6,0),0)+IF(A80&lt;'Summary'!$B$9*12,IF('Summary'!$B$7&gt;=5,'Summary'!$B$7,0),0)</x:f>
        <x:v>100</x:v>
      </x:c>
      <x:c r="E80" s="62" t="n">
        <x:f>J79</x:f>
        <x:v>0</x:v>
      </x:c>
      <x:c r="F80" s="62" t="n">
        <x:f>(IF(AND(A80&gt;A8,A80&lt;=A8+'Summary'!$B$10*12,MOD(A80-A8,'Summary'!$B$11)=0),I8,0)+IF(AND(A80&gt;A9,A80&lt;=A9+'Summary'!$B$10*12,MOD(A80-A9,'Summary'!$B$11)=0),I9,0)+IF(AND(A80&gt;A10,A80&lt;=A10+'Summary'!$B$10*12,MOD(A80-A10,'Summary'!$B$11)=0),I10,0)+IF(AND(A80&gt;A11,A80&lt;=A11+'Summary'!$B$10*12,MOD(A80-A11,'Summary'!$B$11)=0),I11,0)+IF(AND(A80&gt;A12,A80&lt;=A12+'Summary'!$B$10*12,MOD(A80-A12,'Summary'!$B$11)=0),I12,0)+IF(AND(A80&gt;A13,A80&lt;=A13+'Summary'!$B$10*12,MOD(A80-A13,'Summary'!$B$11)=0),I13,0)+IF(AND(A80&gt;A14,A80&lt;=A14+'Summary'!$B$10*12,MOD(A80-A14,'Summary'!$B$11)=0),I14,0)+IF(AND(A80&gt;A15,A80&lt;=A15+'Summary'!$B$10*12,MOD(A80-A15,'Summary'!$B$11)=0),I15,0)+IF(AND(A80&gt;A16,A80&lt;=A16+'Summary'!$B$10*12,MOD(A80-A16,'Summary'!$B$11)=0),I16,0)+IF(AND(A80&gt;A17,A80&lt;=A17+'Summary'!$B$10*12,MOD(A80-A17,'Summary'!$B$11)=0),I17,0)+IF(AND(A80&gt;A18,A80&lt;=A18+'Summary'!$B$10*12,MOD(A80-A18,'Summary'!$B$11)=0),I18,0)+IF(AND(A80&gt;A19,A80&lt;=A19+'Summary'!$B$10*12,MOD(A80-A19,'Summary'!$B$11)=0),I19,0)+IF(AND(A80&gt;A20,A80&lt;=A20+'Summary'!$B$10*12,MOD(A80-A20,'Summary'!$B$11)=0),I20,0)+IF(AND(A80&gt;A21,A80&lt;=A21+'Summary'!$B$10*12,MOD(A80-A21,'Summary'!$B$11)=0),I21,0)+IF(AND(A80&gt;A22,A80&lt;=A22+'Summary'!$B$10*12,MOD(A80-A22,'Summary'!$B$11)=0),I22,0)+IF(AND(A80&gt;A23,A80&lt;=A23+'Summary'!$B$10*12,MOD(A80-A23,'Summary'!$B$11)=0),I23,0)+IF(AND(A80&gt;A24,A80&lt;=A24+'Summary'!$B$10*12,MOD(A80-A24,'Summary'!$B$11)=0),I24,0)+IF(AND(A80&gt;A25,A80&lt;=A25+'Summary'!$B$10*12,MOD(A80-A25,'Summary'!$B$11)=0),I25,0)+IF(AND(A80&gt;A26,A80&lt;=A26+'Summary'!$B$10*12,MOD(A80-A26,'Summary'!$B$11)=0),I26,0)+IF(AND(A80&gt;A27,A80&lt;=A27+'Summary'!$B$10*12,MOD(A80-A27,'Summary'!$B$11)=0),I27,0)+IF(AND(A80&gt;A28,A80&lt;=A28+'Summary'!$B$10*12,MOD(A80-A28,'Summary'!$B$11)=0),I28,0)+IF(AND(A80&gt;A29,A80&lt;=A29+'Summary'!$B$10*12,MOD(A80-A29,'Summary'!$B$11)=0),I29,0)+IF(AND(A80&gt;A30,A80&lt;=A30+'Summary'!$B$10*12,MOD(A80-A30,'Summary'!$B$11)=0),I30,0)+IF(AND(A80&gt;A31,A80&lt;=A31+'Summary'!$B$10*12,MOD(A80-A31,'Summary'!$B$11)=0),I31,0)+IF(AND(A80&gt;A32,A80&lt;=A32+'Summary'!$B$10*12,MOD(A80-A32,'Summary'!$B$11)=0),I32,0)+IF(AND(A80&gt;A33,A80&lt;=A33+'Summary'!$B$10*12,MOD(A80-A33,'Summary'!$B$11)=0),I33,0)+IF(AND(A80&gt;A34,A80&lt;=A34+'Summary'!$B$10*12,MOD(A80-A34,'Summary'!$B$11)=0),I34,0)+IF(AND(A80&gt;A35,A80&lt;=A35+'Summary'!$B$10*12,MOD(A80-A35,'Summary'!$B$11)=0),I35,0)+IF(AND(A80&gt;A36,A80&lt;=A36+'Summary'!$B$10*12,MOD(A80-A36,'Summary'!$B$11)=0),I36,0)+IF(AND(A80&gt;A37,A80&lt;=A37+'Summary'!$B$10*12,MOD(A80-A37,'Summary'!$B$11)=0),I37,0)+IF(AND(A80&gt;A38,A80&lt;=A38+'Summary'!$B$10*12,MOD(A80-A38,'Summary'!$B$11)=0),I38,0)+IF(AND(A80&gt;A39,A80&lt;=A39+'Summary'!$B$10*12,MOD(A80-A39,'Summary'!$B$11)=0),I39,0)+IF(AND(A80&gt;A40,A80&lt;=A40+'Summary'!$B$10*12,MOD(A80-A40,'Summary'!$B$11)=0),I40,0)+IF(AND(A80&gt;A41,A80&lt;=A41+'Summary'!$B$10*12,MOD(A80-A41,'Summary'!$B$11)=0),I41,0)+IF(AND(A80&gt;A42,A80&lt;=A42+'Summary'!$B$10*12,MOD(A80-A42,'Summary'!$B$11)=0),I42,0)+IF(AND(A80&gt;A43,A80&lt;=A43+'Summary'!$B$10*12,MOD(A80-A43,'Summary'!$B$11)=0),I43,0)+IF(AND(A80&gt;A44,A80&lt;=A44+'Summary'!$B$10*12,MOD(A80-A44,'Summary'!$B$11)=0),I44,0)+IF(AND(A80&gt;A45,A80&lt;=A45+'Summary'!$B$10*12,MOD(A80-A45,'Summary'!$B$11)=0),I45,0)+IF(AND(A80&gt;A46,A80&lt;=A46+'Summary'!$B$10*12,MOD(A80-A46,'Summary'!$B$11)=0),I46,0)+IF(AND(A80&gt;A47,A80&lt;=A47+'Summary'!$B$10*12,MOD(A80-A47,'Summary'!$B$11)=0),I47,0)+IF(AND(A80&gt;A48,A80&lt;=A48+'Summary'!$B$10*12,MOD(A80-A48,'Summary'!$B$11)=0),I48,0)+IF(AND(A80&gt;A49,A80&lt;=A49+'Summary'!$B$10*12,MOD(A80-A49,'Summary'!$B$11)=0),I49,0)+IF(AND(A80&gt;A50,A80&lt;=A50+'Summary'!$B$10*12,MOD(A80-A50,'Summary'!$B$11)=0),I50,0)+IF(AND(A80&gt;A51,A80&lt;=A51+'Summary'!$B$10*12,MOD(A80-A51,'Summary'!$B$11)=0),I51,0)+IF(AND(A80&gt;A52,A80&lt;=A52+'Summary'!$B$10*12,MOD(A80-A52,'Summary'!$B$11)=0),I52,0)+IF(AND(A80&gt;A53,A80&lt;=A53+'Summary'!$B$10*12,MOD(A80-A53,'Summary'!$B$11)=0),I53,0)+IF(AND(A80&gt;A54,A80&lt;=A54+'Summary'!$B$10*12,MOD(A80-A54,'Summary'!$B$11)=0),I54,0)+IF(AND(A80&gt;A55,A80&lt;=A55+'Summary'!$B$10*12,MOD(A80-A55,'Summary'!$B$11)=0),I55,0)+IF(AND(A80&gt;A56,A80&lt;=A56+'Summary'!$B$10*12,MOD(A80-A56,'Summary'!$B$11)=0),I56,0)+IF(AND(A80&gt;A57,A80&lt;=A57+'Summary'!$B$10*12,MOD(A80-A57,'Summary'!$B$11)=0),I57,0)+IF(AND(A80&gt;A58,A80&lt;=A58+'Summary'!$B$10*12,MOD(A80-A58,'Summary'!$B$11)=0),I58,0)+IF(AND(A80&gt;A59,A80&lt;=A59+'Summary'!$B$10*12,MOD(A80-A59,'Summary'!$B$11)=0),I59,0)+IF(AND(A80&gt;A60,A80&lt;=A60+'Summary'!$B$10*12,MOD(A80-A60,'Summary'!$B$11)=0),I60,0)+IF(AND(A80&gt;A61,A80&lt;=A61+'Summary'!$B$10*12,MOD(A80-A61,'Summary'!$B$11)=0),I61,0)+IF(AND(A80&gt;A62,A80&lt;=A62+'Summary'!$B$10*12,MOD(A80-A62,'Summary'!$B$11)=0),I62,0)+IF(AND(A80&gt;A63,A80&lt;=A63+'Summary'!$B$10*12,MOD(A80-A63,'Summary'!$B$11)=0),I63,0)+IF(AND(A80&gt;A64,A80&lt;=A64+'Summary'!$B$10*12,MOD(A80-A64,'Summary'!$B$11)=0),I64,0)+IF(AND(A80&gt;A65,A80&lt;=A65+'Summary'!$B$10*12,MOD(A80-A65,'Summary'!$B$11)=0),I65,0)+IF(AND(A80&gt;A66,A80&lt;=A66+'Summary'!$B$10*12,MOD(A80-A66,'Summary'!$B$11)=0),I66,0)+IF(AND(A80&gt;A67,A80&lt;=A67+'Summary'!$B$10*12,MOD(A80-A67,'Summary'!$B$11)=0),I67,0)+IF(AND(A80&gt;A68,A80&lt;=A68+'Summary'!$B$10*12,MOD(A80-A68,'Summary'!$B$11)=0),I68,0)+IF(AND(A80&gt;A69,A80&lt;=A69+'Summary'!$B$10*12,MOD(A80-A69,'Summary'!$B$11)=0),I69,0)+IF(AND(A80&gt;A70,A80&lt;=A70+'Summary'!$B$10*12,MOD(A80-A70,'Summary'!$B$11)=0),I70,0)+IF(AND(A80&gt;A71,A80&lt;=A71+'Summary'!$B$10*12,MOD(A80-A71,'Summary'!$B$11)=0),I71,0)+IF(AND(A80&gt;A72,A80&lt;=A72+'Summary'!$B$10*12,MOD(A80-A72,'Summary'!$B$11)=0),I72,0)+IF(AND(A80&gt;A73,A80&lt;=A73+'Summary'!$B$10*12,MOD(A80-A73,'Summary'!$B$11)=0),I73,0)+IF(AND(A80&gt;A74,A80&lt;=A74+'Summary'!$B$10*12,MOD(A80-A74,'Summary'!$B$11)=0),I74,0)+IF(AND(A80&gt;A75,A80&lt;=A75+'Summary'!$B$10*12,MOD(A80-A75,'Summary'!$B$11)=0),I75,0)+IF(AND(A80&gt;A76,A80&lt;=A76+'Summary'!$B$10*12,MOD(A80-A76,'Summary'!$B$11)=0),I76,0)+IF(AND(A80&gt;A77,A80&lt;=A77+'Summary'!$B$10*12,MOD(A80-A77,'Summary'!$B$11)=0),I77,0)+IF(AND(A80&gt;A78,A80&lt;=A78+'Summary'!$B$10*12,MOD(A80-A78,'Summary'!$B$11)=0),I78,0)+IF(AND(A80&gt;A79,A80&lt;=A79+'Summary'!$B$10*12,MOD(A80-A79,'Summary'!$B$11)=0),I79,0))*'Summary'!$B$8/2</x:f>
        <x:v>252.55080551474504</x:v>
      </x:c>
      <x:c r="G80" s="62" t="n">
        <x:f>IF(A80=A8+'Summary'!$B$10*12,I8,0)+IF(A80=A9+'Summary'!$B$10*12,I9,0)+IF(A80=A10+'Summary'!$B$10*12,I10,0)+IF(A80=A11+'Summary'!$B$10*12,I11,0)+IF(A80=A12+'Summary'!$B$10*12,I12,0)+IF(A80=A13+'Summary'!$B$10*12,I13,0)+IF(A80=A14+'Summary'!$B$10*12,I14,0)+IF(A80=A15+'Summary'!$B$10*12,I15,0)+IF(A80=A16+'Summary'!$B$10*12,I16,0)+IF(A80=A17+'Summary'!$B$10*12,I17,0)+IF(A80=A18+'Summary'!$B$10*12,I18,0)+IF(A80=A19+'Summary'!$B$10*12,I19,0)+IF(A80=A20+'Summary'!$B$10*12,I20,0)+IF(A80=A21+'Summary'!$B$10*12,I21,0)+IF(A80=A22+'Summary'!$B$10*12,I22,0)+IF(A80=A23+'Summary'!$B$10*12,I23,0)+IF(A80=A24+'Summary'!$B$10*12,I24,0)+IF(A80=A25+'Summary'!$B$10*12,I25,0)+IF(A80=A26+'Summary'!$B$10*12,I26,0)+IF(A80=A27+'Summary'!$B$10*12,I27,0)+IF(A80=A28+'Summary'!$B$10*12,I28,0)+IF(A80=A29+'Summary'!$B$10*12,I29,0)+IF(A80=A30+'Summary'!$B$10*12,I30,0)+IF(A80=A31+'Summary'!$B$10*12,I31,0)+IF(A80=A32+'Summary'!$B$10*12,I32,0)+IF(A80=A33+'Summary'!$B$10*12,I33,0)+IF(A80=A34+'Summary'!$B$10*12,I34,0)+IF(A80=A35+'Summary'!$B$10*12,I35,0)+IF(A80=A36+'Summary'!$B$10*12,I36,0)+IF(A80=A37+'Summary'!$B$10*12,I37,0)+IF(A80=A38+'Summary'!$B$10*12,I38,0)+IF(A80=A39+'Summary'!$B$10*12,I39,0)+IF(A80=A40+'Summary'!$B$10*12,I40,0)+IF(A80=A41+'Summary'!$B$10*12,I41,0)+IF(A80=A42+'Summary'!$B$10*12,I42,0)+IF(A80=A43+'Summary'!$B$10*12,I43,0)+IF(A80=A44+'Summary'!$B$10*12,I44,0)+IF(A80=A45+'Summary'!$B$10*12,I45,0)+IF(A80=A46+'Summary'!$B$10*12,I46,0)+IF(A80=A47+'Summary'!$B$10*12,I47,0)+IF(A80=A48+'Summary'!$B$10*12,I48,0)+IF(A80=A49+'Summary'!$B$10*12,I49,0)+IF(A80=A50+'Summary'!$B$10*12,I50,0)+IF(A80=A51+'Summary'!$B$10*12,I51,0)+IF(A80=A52+'Summary'!$B$10*12,I52,0)+IF(A80=A53+'Summary'!$B$10*12,I53,0)+IF(A80=A54+'Summary'!$B$10*12,I54,0)+IF(A80=A55+'Summary'!$B$10*12,I55,0)+IF(A80=A56+'Summary'!$B$10*12,I56,0)+IF(A80=A57+'Summary'!$B$10*12,I57,0)+IF(A80=A58+'Summary'!$B$10*12,I58,0)+IF(A80=A59+'Summary'!$B$10*12,I59,0)+IF(A80=A60+'Summary'!$B$10*12,I60,0)+IF(A80=A61+'Summary'!$B$10*12,I61,0)+IF(A80=A62+'Summary'!$B$10*12,I62,0)+IF(A80=A63+'Summary'!$B$10*12,I63,0)+IF(A80=A64+'Summary'!$B$10*12,I64,0)+IF(A80=A65+'Summary'!$B$10*12,I65,0)+IF(A80=A66+'Summary'!$B$10*12,I66,0)+IF(A80=A67+'Summary'!$B$10*12,I67,0)+IF(A80=A68+'Summary'!$B$10*12,I68,0)+IF(A80=A69+'Summary'!$B$10*12,I69,0)+IF(A80=A70+'Summary'!$B$10*12,I70,0)+IF(A80=A71+'Summary'!$B$10*12,I71,0)+IF(A80=A72+'Summary'!$B$10*12,I72,0)+IF(A80=A73+'Summary'!$B$10*12,I73,0)+IF(A80=A74+'Summary'!$B$10*12,I74,0)+IF(A80=A75+'Summary'!$B$10*12,I75,0)+IF(A80=A76+'Summary'!$B$10*12,I76,0)+IF(A80=A77+'Summary'!$B$10*12,I77,0)+IF(A80=A78+'Summary'!$B$10*12,I78,0)+IF(A80=A79+'Summary'!$B$10*12,I79,0)</x:f>
        <x:v>293.214196</x:v>
      </x:c>
      <x:c r="H80" s="62" t="n">
        <x:f>E80+D80+F80+G80</x:f>
        <x:v>645.7650015147451</x:v>
      </x:c>
      <x:c r="I80" s="62" t="n">
        <x:f>IF(B80,IF(H80&gt;='Summary'!$B$12,H80,0),0)</x:f>
        <x:v>645.7650015147451</x:v>
      </x:c>
      <x:c r="J80" s="62" t="n">
        <x:f>H80-I80</x:f>
        <x:v>0</x:v>
      </x:c>
      <x:c r="K80" s="63" t="n">
        <x:f>J80+IF(A8+'Summary'!$B$10*12&gt;A80,I8,0)+IF(A9+'Summary'!$B$10*12&gt;A80,I9,0)+IF(A10+'Summary'!$B$10*12&gt;A80,I10,0)+IF(A11+'Summary'!$B$10*12&gt;A80,I11,0)+IF(A12+'Summary'!$B$10*12&gt;A80,I12,0)+IF(A13+'Summary'!$B$10*12&gt;A80,I13,0)+IF(A14+'Summary'!$B$10*12&gt;A80,I14,0)+IF(A15+'Summary'!$B$10*12&gt;A80,I15,0)+IF(A16+'Summary'!$B$10*12&gt;A80,I16,0)+IF(A17+'Summary'!$B$10*12&gt;A80,I17,0)+IF(A18+'Summary'!$B$10*12&gt;A80,I18,0)+IF(A19+'Summary'!$B$10*12&gt;A80,I19,0)+IF(A20+'Summary'!$B$10*12&gt;A80,I20,0)+IF(A21+'Summary'!$B$10*12&gt;A80,I21,0)+IF(A22+'Summary'!$B$10*12&gt;A80,I22,0)+IF(A23+'Summary'!$B$10*12&gt;A80,I23,0)+IF(A24+'Summary'!$B$10*12&gt;A80,I24,0)+IF(A25+'Summary'!$B$10*12&gt;A80,I25,0)+IF(A26+'Summary'!$B$10*12&gt;A80,I26,0)+IF(A27+'Summary'!$B$10*12&gt;A80,I27,0)+IF(A28+'Summary'!$B$10*12&gt;A80,I28,0)+IF(A29+'Summary'!$B$10*12&gt;A80,I29,0)+IF(A30+'Summary'!$B$10*12&gt;A80,I30,0)+IF(A31+'Summary'!$B$10*12&gt;A80,I31,0)+IF(A32+'Summary'!$B$10*12&gt;A80,I32,0)+IF(A33+'Summary'!$B$10*12&gt;A80,I33,0)+IF(A34+'Summary'!$B$10*12&gt;A80,I34,0)+IF(A35+'Summary'!$B$10*12&gt;A80,I35,0)+IF(A36+'Summary'!$B$10*12&gt;A80,I36,0)+IF(A37+'Summary'!$B$10*12&gt;A80,I37,0)+IF(A38+'Summary'!$B$10*12&gt;A80,I38,0)+IF(A39+'Summary'!$B$10*12&gt;A80,I39,0)+IF(A40+'Summary'!$B$10*12&gt;A80,I40,0)+IF(A41+'Summary'!$B$10*12&gt;A80,I41,0)+IF(A42+'Summary'!$B$10*12&gt;A80,I42,0)+IF(A43+'Summary'!$B$10*12&gt;A80,I43,0)+IF(A44+'Summary'!$B$10*12&gt;A80,I44,0)+IF(A45+'Summary'!$B$10*12&gt;A80,I45,0)+IF(A46+'Summary'!$B$10*12&gt;A80,I46,0)+IF(A47+'Summary'!$B$10*12&gt;A80,I47,0)+IF(A48+'Summary'!$B$10*12&gt;A80,I48,0)+IF(A49+'Summary'!$B$10*12&gt;A80,I49,0)+IF(A50+'Summary'!$B$10*12&gt;A80,I50,0)+IF(A51+'Summary'!$B$10*12&gt;A80,I51,0)+IF(A52+'Summary'!$B$10*12&gt;A80,I52,0)+IF(A53+'Summary'!$B$10*12&gt;A80,I53,0)+IF(A54+'Summary'!$B$10*12&gt;A80,I54,0)+IF(A55+'Summary'!$B$10*12&gt;A80,I55,0)+IF(A56+'Summary'!$B$10*12&gt;A80,I56,0)+IF(A57+'Summary'!$B$10*12&gt;A80,I57,0)+IF(A58+'Summary'!$B$10*12&gt;A80,I58,0)+IF(A59+'Summary'!$B$10*12&gt;A80,I59,0)+IF(A60+'Summary'!$B$10*12&gt;A80,I60,0)+IF(A61+'Summary'!$B$10*12&gt;A80,I61,0)+IF(A62+'Summary'!$B$10*12&gt;A80,I62,0)+IF(A63+'Summary'!$B$10*12&gt;A80,I63,0)+IF(A64+'Summary'!$B$10*12&gt;A80,I64,0)+IF(A65+'Summary'!$B$10*12&gt;A80,I65,0)+IF(A66+'Summary'!$B$10*12&gt;A80,I66,0)+IF(A67+'Summary'!$B$10*12&gt;A80,I67,0)+IF(A68+'Summary'!$B$10*12&gt;A80,I68,0)+IF(A69+'Summary'!$B$10*12&gt;A80,I69,0)+IF(A70+'Summary'!$B$10*12&gt;A80,I70,0)+IF(A71+'Summary'!$B$10*12&gt;A80,I71,0)+IF(A72+'Summary'!$B$10*12&gt;A80,I72,0)+IF(A73+'Summary'!$B$10*12&gt;A80,I73,0)+IF(A74+'Summary'!$B$10*12&gt;A80,I74,0)+IF(A75+'Summary'!$B$10*12&gt;A80,I75,0)+IF(A76+'Summary'!$B$10*12&gt;A80,I76,0)+IF(A77+'Summary'!$B$10*12&gt;A80,I77,0)+IF(A78+'Summary'!$B$10*12&gt;A80,I78,0)+IF(A79+'Summary'!$B$10*12&gt;A80,I79,0)+IF(A80+'Summary'!$B$10*12&gt;A80,I80,0)</x:f>
        <x:v>20584.047770536963</x:v>
      </x:c>
    </x:row>
    <x:row r="81">
      <x:c r="A81" s="55" t="n">
        <x:v>73</x:v>
      </x:c>
      <x:c r="B81" s="71" t="b">
        <x:f>A81&lt;='Summary'!$B$9*12</x:f>
        <x:v>1</x:v>
      </x:c>
      <x:c r="C81" s="62" t="n">
        <x:f>IF(A81=0,IF('Summary'!$B$6&gt;=5,'Summary'!$B$6,0),C80)+IF(A81&lt;'Summary'!$B$9*12,IF('Summary'!$B$7&gt;=5,'Summary'!$B$7,0),0)</x:f>
        <x:v>17400</x:v>
      </x:c>
      <x:c r="D81" s="62" t="n">
        <x:f>IF(A81=0,IF('Summary'!$B$6&gt;=5,'Summary'!$B$6,0),0)+IF(A81&lt;'Summary'!$B$9*12,IF('Summary'!$B$7&gt;=5,'Summary'!$B$7,0),0)</x:f>
        <x:v>100</x:v>
      </x:c>
      <x:c r="E81" s="62" t="n">
        <x:f>J80</x:f>
        <x:v>0</x:v>
      </x:c>
      <x:c r="F81" s="62" t="n">
        <x:f>(IF(AND(A81&gt;A8,A81&lt;=A8+'Summary'!$B$10*12,MOD(A81-A8,'Summary'!$B$11)=0),I8,0)+IF(AND(A81&gt;A9,A81&lt;=A9+'Summary'!$B$10*12,MOD(A81-A9,'Summary'!$B$11)=0),I9,0)+IF(AND(A81&gt;A10,A81&lt;=A10+'Summary'!$B$10*12,MOD(A81-A10,'Summary'!$B$11)=0),I10,0)+IF(AND(A81&gt;A11,A81&lt;=A11+'Summary'!$B$10*12,MOD(A81-A11,'Summary'!$B$11)=0),I11,0)+IF(AND(A81&gt;A12,A81&lt;=A12+'Summary'!$B$10*12,MOD(A81-A12,'Summary'!$B$11)=0),I12,0)+IF(AND(A81&gt;A13,A81&lt;=A13+'Summary'!$B$10*12,MOD(A81-A13,'Summary'!$B$11)=0),I13,0)+IF(AND(A81&gt;A14,A81&lt;=A14+'Summary'!$B$10*12,MOD(A81-A14,'Summary'!$B$11)=0),I14,0)+IF(AND(A81&gt;A15,A81&lt;=A15+'Summary'!$B$10*12,MOD(A81-A15,'Summary'!$B$11)=0),I15,0)+IF(AND(A81&gt;A16,A81&lt;=A16+'Summary'!$B$10*12,MOD(A81-A16,'Summary'!$B$11)=0),I16,0)+IF(AND(A81&gt;A17,A81&lt;=A17+'Summary'!$B$10*12,MOD(A81-A17,'Summary'!$B$11)=0),I17,0)+IF(AND(A81&gt;A18,A81&lt;=A18+'Summary'!$B$10*12,MOD(A81-A18,'Summary'!$B$11)=0),I18,0)+IF(AND(A81&gt;A19,A81&lt;=A19+'Summary'!$B$10*12,MOD(A81-A19,'Summary'!$B$11)=0),I19,0)+IF(AND(A81&gt;A20,A81&lt;=A20+'Summary'!$B$10*12,MOD(A81-A20,'Summary'!$B$11)=0),I20,0)+IF(AND(A81&gt;A21,A81&lt;=A21+'Summary'!$B$10*12,MOD(A81-A21,'Summary'!$B$11)=0),I21,0)+IF(AND(A81&gt;A22,A81&lt;=A22+'Summary'!$B$10*12,MOD(A81-A22,'Summary'!$B$11)=0),I22,0)+IF(AND(A81&gt;A23,A81&lt;=A23+'Summary'!$B$10*12,MOD(A81-A23,'Summary'!$B$11)=0),I23,0)+IF(AND(A81&gt;A24,A81&lt;=A24+'Summary'!$B$10*12,MOD(A81-A24,'Summary'!$B$11)=0),I24,0)+IF(AND(A81&gt;A25,A81&lt;=A25+'Summary'!$B$10*12,MOD(A81-A25,'Summary'!$B$11)=0),I25,0)+IF(AND(A81&gt;A26,A81&lt;=A26+'Summary'!$B$10*12,MOD(A81-A26,'Summary'!$B$11)=0),I26,0)+IF(AND(A81&gt;A27,A81&lt;=A27+'Summary'!$B$10*12,MOD(A81-A27,'Summary'!$B$11)=0),I27,0)+IF(AND(A81&gt;A28,A81&lt;=A28+'Summary'!$B$10*12,MOD(A81-A28,'Summary'!$B$11)=0),I28,0)+IF(AND(A81&gt;A29,A81&lt;=A29+'Summary'!$B$10*12,MOD(A81-A29,'Summary'!$B$11)=0),I29,0)+IF(AND(A81&gt;A30,A81&lt;=A30+'Summary'!$B$10*12,MOD(A81-A30,'Summary'!$B$11)=0),I30,0)+IF(AND(A81&gt;A31,A81&lt;=A31+'Summary'!$B$10*12,MOD(A81-A31,'Summary'!$B$11)=0),I31,0)+IF(AND(A81&gt;A32,A81&lt;=A32+'Summary'!$B$10*12,MOD(A81-A32,'Summary'!$B$11)=0),I32,0)+IF(AND(A81&gt;A33,A81&lt;=A33+'Summary'!$B$10*12,MOD(A81-A33,'Summary'!$B$11)=0),I33,0)+IF(AND(A81&gt;A34,A81&lt;=A34+'Summary'!$B$10*12,MOD(A81-A34,'Summary'!$B$11)=0),I34,0)+IF(AND(A81&gt;A35,A81&lt;=A35+'Summary'!$B$10*12,MOD(A81-A35,'Summary'!$B$11)=0),I35,0)+IF(AND(A81&gt;A36,A81&lt;=A36+'Summary'!$B$10*12,MOD(A81-A36,'Summary'!$B$11)=0),I36,0)+IF(AND(A81&gt;A37,A81&lt;=A37+'Summary'!$B$10*12,MOD(A81-A37,'Summary'!$B$11)=0),I37,0)+IF(AND(A81&gt;A38,A81&lt;=A38+'Summary'!$B$10*12,MOD(A81-A38,'Summary'!$B$11)=0),I38,0)+IF(AND(A81&gt;A39,A81&lt;=A39+'Summary'!$B$10*12,MOD(A81-A39,'Summary'!$B$11)=0),I39,0)+IF(AND(A81&gt;A40,A81&lt;=A40+'Summary'!$B$10*12,MOD(A81-A40,'Summary'!$B$11)=0),I40,0)+IF(AND(A81&gt;A41,A81&lt;=A41+'Summary'!$B$10*12,MOD(A81-A41,'Summary'!$B$11)=0),I41,0)+IF(AND(A81&gt;A42,A81&lt;=A42+'Summary'!$B$10*12,MOD(A81-A42,'Summary'!$B$11)=0),I42,0)+IF(AND(A81&gt;A43,A81&lt;=A43+'Summary'!$B$10*12,MOD(A81-A43,'Summary'!$B$11)=0),I43,0)+IF(AND(A81&gt;A44,A81&lt;=A44+'Summary'!$B$10*12,MOD(A81-A44,'Summary'!$B$11)=0),I44,0)+IF(AND(A81&gt;A45,A81&lt;=A45+'Summary'!$B$10*12,MOD(A81-A45,'Summary'!$B$11)=0),I45,0)+IF(AND(A81&gt;A46,A81&lt;=A46+'Summary'!$B$10*12,MOD(A81-A46,'Summary'!$B$11)=0),I46,0)+IF(AND(A81&gt;A47,A81&lt;=A47+'Summary'!$B$10*12,MOD(A81-A47,'Summary'!$B$11)=0),I47,0)+IF(AND(A81&gt;A48,A81&lt;=A48+'Summary'!$B$10*12,MOD(A81-A48,'Summary'!$B$11)=0),I48,0)+IF(AND(A81&gt;A49,A81&lt;=A49+'Summary'!$B$10*12,MOD(A81-A49,'Summary'!$B$11)=0),I49,0)+IF(AND(A81&gt;A50,A81&lt;=A50+'Summary'!$B$10*12,MOD(A81-A50,'Summary'!$B$11)=0),I50,0)+IF(AND(A81&gt;A51,A81&lt;=A51+'Summary'!$B$10*12,MOD(A81-A51,'Summary'!$B$11)=0),I51,0)+IF(AND(A81&gt;A52,A81&lt;=A52+'Summary'!$B$10*12,MOD(A81-A52,'Summary'!$B$11)=0),I52,0)+IF(AND(A81&gt;A53,A81&lt;=A53+'Summary'!$B$10*12,MOD(A81-A53,'Summary'!$B$11)=0),I53,0)+IF(AND(A81&gt;A54,A81&lt;=A54+'Summary'!$B$10*12,MOD(A81-A54,'Summary'!$B$11)=0),I54,0)+IF(AND(A81&gt;A55,A81&lt;=A55+'Summary'!$B$10*12,MOD(A81-A55,'Summary'!$B$11)=0),I55,0)+IF(AND(A81&gt;A56,A81&lt;=A56+'Summary'!$B$10*12,MOD(A81-A56,'Summary'!$B$11)=0),I56,0)+IF(AND(A81&gt;A57,A81&lt;=A57+'Summary'!$B$10*12,MOD(A81-A57,'Summary'!$B$11)=0),I57,0)+IF(AND(A81&gt;A58,A81&lt;=A58+'Summary'!$B$10*12,MOD(A81-A58,'Summary'!$B$11)=0),I58,0)+IF(AND(A81&gt;A59,A81&lt;=A59+'Summary'!$B$10*12,MOD(A81-A59,'Summary'!$B$11)=0),I59,0)+IF(AND(A81&gt;A60,A81&lt;=A60+'Summary'!$B$10*12,MOD(A81-A60,'Summary'!$B$11)=0),I60,0)+IF(AND(A81&gt;A61,A81&lt;=A61+'Summary'!$B$10*12,MOD(A81-A61,'Summary'!$B$11)=0),I61,0)+IF(AND(A81&gt;A62,A81&lt;=A62+'Summary'!$B$10*12,MOD(A81-A62,'Summary'!$B$11)=0),I62,0)+IF(AND(A81&gt;A63,A81&lt;=A63+'Summary'!$B$10*12,MOD(A81-A63,'Summary'!$B$11)=0),I63,0)+IF(AND(A81&gt;A64,A81&lt;=A64+'Summary'!$B$10*12,MOD(A81-A64,'Summary'!$B$11)=0),I64,0)+IF(AND(A81&gt;A65,A81&lt;=A65+'Summary'!$B$10*12,MOD(A81-A65,'Summary'!$B$11)=0),I65,0)+IF(AND(A81&gt;A66,A81&lt;=A66+'Summary'!$B$10*12,MOD(A81-A66,'Summary'!$B$11)=0),I66,0)+IF(AND(A81&gt;A67,A81&lt;=A67+'Summary'!$B$10*12,MOD(A81-A67,'Summary'!$B$11)=0),I67,0)+IF(AND(A81&gt;A68,A81&lt;=A68+'Summary'!$B$10*12,MOD(A81-A68,'Summary'!$B$11)=0),I68,0)+IF(AND(A81&gt;A69,A81&lt;=A69+'Summary'!$B$10*12,MOD(A81-A69,'Summary'!$B$11)=0),I69,0)+IF(AND(A81&gt;A70,A81&lt;=A70+'Summary'!$B$10*12,MOD(A81-A70,'Summary'!$B$11)=0),I70,0)+IF(AND(A81&gt;A71,A81&lt;=A71+'Summary'!$B$10*12,MOD(A81-A71,'Summary'!$B$11)=0),I71,0)+IF(AND(A81&gt;A72,A81&lt;=A72+'Summary'!$B$10*12,MOD(A81-A72,'Summary'!$B$11)=0),I72,0)+IF(AND(A81&gt;A73,A81&lt;=A73+'Summary'!$B$10*12,MOD(A81-A73,'Summary'!$B$11)=0),I73,0)+IF(AND(A81&gt;A74,A81&lt;=A74+'Summary'!$B$10*12,MOD(A81-A74,'Summary'!$B$11)=0),I74,0)+IF(AND(A81&gt;A75,A81&lt;=A75+'Summary'!$B$10*12,MOD(A81-A75,'Summary'!$B$11)=0),I75,0)+IF(AND(A81&gt;A76,A81&lt;=A76+'Summary'!$B$10*12,MOD(A81-A76,'Summary'!$B$11)=0),I76,0)+IF(AND(A81&gt;A77,A81&lt;=A77+'Summary'!$B$10*12,MOD(A81-A77,'Summary'!$B$11)=0),I77,0)+IF(AND(A81&gt;A78,A81&lt;=A78+'Summary'!$B$10*12,MOD(A81-A78,'Summary'!$B$11)=0),I78,0)+IF(AND(A81&gt;A79,A81&lt;=A79+'Summary'!$B$10*12,MOD(A81-A79,'Summary'!$B$11)=0),I79,0)+IF(AND(A81&gt;A80,A81&lt;=A80+'Summary'!$B$10*12,MOD(A81-A80,'Summary'!$B$11)=0),I80,0))*'Summary'!$B$8/2</x:f>
        <x:v>24.751007606933687</x:v>
      </x:c>
      <x:c r="G81" s="62" t="n">
        <x:f>IF(A81=A8+'Summary'!$B$10*12,I8,0)+IF(A81=A9+'Summary'!$B$10*12,I9,0)+IF(A81=A10+'Summary'!$B$10*12,I10,0)+IF(A81=A11+'Summary'!$B$10*12,I11,0)+IF(A81=A12+'Summary'!$B$10*12,I12,0)+IF(A81=A13+'Summary'!$B$10*12,I13,0)+IF(A81=A14+'Summary'!$B$10*12,I14,0)+IF(A81=A15+'Summary'!$B$10*12,I15,0)+IF(A81=A16+'Summary'!$B$10*12,I16,0)+IF(A81=A17+'Summary'!$B$10*12,I17,0)+IF(A81=A18+'Summary'!$B$10*12,I18,0)+IF(A81=A19+'Summary'!$B$10*12,I19,0)+IF(A81=A20+'Summary'!$B$10*12,I20,0)+IF(A81=A21+'Summary'!$B$10*12,I21,0)+IF(A81=A22+'Summary'!$B$10*12,I22,0)+IF(A81=A23+'Summary'!$B$10*12,I23,0)+IF(A81=A24+'Summary'!$B$10*12,I24,0)+IF(A81=A25+'Summary'!$B$10*12,I25,0)+IF(A81=A26+'Summary'!$B$10*12,I26,0)+IF(A81=A27+'Summary'!$B$10*12,I27,0)+IF(A81=A28+'Summary'!$B$10*12,I28,0)+IF(A81=A29+'Summary'!$B$10*12,I29,0)+IF(A81=A30+'Summary'!$B$10*12,I30,0)+IF(A81=A31+'Summary'!$B$10*12,I31,0)+IF(A81=A32+'Summary'!$B$10*12,I32,0)+IF(A81=A33+'Summary'!$B$10*12,I33,0)+IF(A81=A34+'Summary'!$B$10*12,I34,0)+IF(A81=A35+'Summary'!$B$10*12,I35,0)+IF(A81=A36+'Summary'!$B$10*12,I36,0)+IF(A81=A37+'Summary'!$B$10*12,I37,0)+IF(A81=A38+'Summary'!$B$10*12,I38,0)+IF(A81=A39+'Summary'!$B$10*12,I39,0)+IF(A81=A40+'Summary'!$B$10*12,I40,0)+IF(A81=A41+'Summary'!$B$10*12,I41,0)+IF(A81=A42+'Summary'!$B$10*12,I42,0)+IF(A81=A43+'Summary'!$B$10*12,I43,0)+IF(A81=A44+'Summary'!$B$10*12,I44,0)+IF(A81=A45+'Summary'!$B$10*12,I45,0)+IF(A81=A46+'Summary'!$B$10*12,I46,0)+IF(A81=A47+'Summary'!$B$10*12,I47,0)+IF(A81=A48+'Summary'!$B$10*12,I48,0)+IF(A81=A49+'Summary'!$B$10*12,I49,0)+IF(A81=A50+'Summary'!$B$10*12,I50,0)+IF(A81=A51+'Summary'!$B$10*12,I51,0)+IF(A81=A52+'Summary'!$B$10*12,I52,0)+IF(A81=A53+'Summary'!$B$10*12,I53,0)+IF(A81=A54+'Summary'!$B$10*12,I54,0)+IF(A81=A55+'Summary'!$B$10*12,I55,0)+IF(A81=A56+'Summary'!$B$10*12,I56,0)+IF(A81=A57+'Summary'!$B$10*12,I57,0)+IF(A81=A58+'Summary'!$B$10*12,I58,0)+IF(A81=A59+'Summary'!$B$10*12,I59,0)+IF(A81=A60+'Summary'!$B$10*12,I60,0)+IF(A81=A61+'Summary'!$B$10*12,I61,0)+IF(A81=A62+'Summary'!$B$10*12,I62,0)+IF(A81=A63+'Summary'!$B$10*12,I63,0)+IF(A81=A64+'Summary'!$B$10*12,I64,0)+IF(A81=A65+'Summary'!$B$10*12,I65,0)+IF(A81=A66+'Summary'!$B$10*12,I66,0)+IF(A81=A67+'Summary'!$B$10*12,I67,0)+IF(A81=A68+'Summary'!$B$10*12,I68,0)+IF(A81=A69+'Summary'!$B$10*12,I69,0)+IF(A81=A70+'Summary'!$B$10*12,I70,0)+IF(A81=A71+'Summary'!$B$10*12,I71,0)+IF(A81=A72+'Summary'!$B$10*12,I72,0)+IF(A81=A73+'Summary'!$B$10*12,I73,0)+IF(A81=A74+'Summary'!$B$10*12,I74,0)+IF(A81=A75+'Summary'!$B$10*12,I75,0)+IF(A81=A76+'Summary'!$B$10*12,I76,0)+IF(A81=A77+'Summary'!$B$10*12,I77,0)+IF(A81=A78+'Summary'!$B$10*12,I78,0)+IF(A81=A79+'Summary'!$B$10*12,I79,0)+IF(A81=A80+'Summary'!$B$10*12,I80,0)</x:f>
        <x:v>103.754596</x:v>
      </x:c>
      <x:c r="H81" s="62" t="n">
        <x:f>E81+D81+F81+G81</x:f>
        <x:v>228.50560360693368</x:v>
      </x:c>
      <x:c r="I81" s="62" t="n">
        <x:f>IF(B81,IF(H81&gt;='Summary'!$B$12,H81,0),0)</x:f>
        <x:v>228.50560360693368</x:v>
      </x:c>
      <x:c r="J81" s="62" t="n">
        <x:f>H81-I81</x:f>
        <x:v>0</x:v>
      </x:c>
      <x:c r="K81" s="63" t="n">
        <x:f>J81+IF(A8+'Summary'!$B$10*12&gt;A81,I8,0)+IF(A9+'Summary'!$B$10*12&gt;A81,I9,0)+IF(A10+'Summary'!$B$10*12&gt;A81,I10,0)+IF(A11+'Summary'!$B$10*12&gt;A81,I11,0)+IF(A12+'Summary'!$B$10*12&gt;A81,I12,0)+IF(A13+'Summary'!$B$10*12&gt;A81,I13,0)+IF(A14+'Summary'!$B$10*12&gt;A81,I14,0)+IF(A15+'Summary'!$B$10*12&gt;A81,I15,0)+IF(A16+'Summary'!$B$10*12&gt;A81,I16,0)+IF(A17+'Summary'!$B$10*12&gt;A81,I17,0)+IF(A18+'Summary'!$B$10*12&gt;A81,I18,0)+IF(A19+'Summary'!$B$10*12&gt;A81,I19,0)+IF(A20+'Summary'!$B$10*12&gt;A81,I20,0)+IF(A21+'Summary'!$B$10*12&gt;A81,I21,0)+IF(A22+'Summary'!$B$10*12&gt;A81,I22,0)+IF(A23+'Summary'!$B$10*12&gt;A81,I23,0)+IF(A24+'Summary'!$B$10*12&gt;A81,I24,0)+IF(A25+'Summary'!$B$10*12&gt;A81,I25,0)+IF(A26+'Summary'!$B$10*12&gt;A81,I26,0)+IF(A27+'Summary'!$B$10*12&gt;A81,I27,0)+IF(A28+'Summary'!$B$10*12&gt;A81,I28,0)+IF(A29+'Summary'!$B$10*12&gt;A81,I29,0)+IF(A30+'Summary'!$B$10*12&gt;A81,I30,0)+IF(A31+'Summary'!$B$10*12&gt;A81,I31,0)+IF(A32+'Summary'!$B$10*12&gt;A81,I32,0)+IF(A33+'Summary'!$B$10*12&gt;A81,I33,0)+IF(A34+'Summary'!$B$10*12&gt;A81,I34,0)+IF(A35+'Summary'!$B$10*12&gt;A81,I35,0)+IF(A36+'Summary'!$B$10*12&gt;A81,I36,0)+IF(A37+'Summary'!$B$10*12&gt;A81,I37,0)+IF(A38+'Summary'!$B$10*12&gt;A81,I38,0)+IF(A39+'Summary'!$B$10*12&gt;A81,I39,0)+IF(A40+'Summary'!$B$10*12&gt;A81,I40,0)+IF(A41+'Summary'!$B$10*12&gt;A81,I41,0)+IF(A42+'Summary'!$B$10*12&gt;A81,I42,0)+IF(A43+'Summary'!$B$10*12&gt;A81,I43,0)+IF(A44+'Summary'!$B$10*12&gt;A81,I44,0)+IF(A45+'Summary'!$B$10*12&gt;A81,I45,0)+IF(A46+'Summary'!$B$10*12&gt;A81,I46,0)+IF(A47+'Summary'!$B$10*12&gt;A81,I47,0)+IF(A48+'Summary'!$B$10*12&gt;A81,I48,0)+IF(A49+'Summary'!$B$10*12&gt;A81,I49,0)+IF(A50+'Summary'!$B$10*12&gt;A81,I50,0)+IF(A51+'Summary'!$B$10*12&gt;A81,I51,0)+IF(A52+'Summary'!$B$10*12&gt;A81,I52,0)+IF(A53+'Summary'!$B$10*12&gt;A81,I53,0)+IF(A54+'Summary'!$B$10*12&gt;A81,I54,0)+IF(A55+'Summary'!$B$10*12&gt;A81,I55,0)+IF(A56+'Summary'!$B$10*12&gt;A81,I56,0)+IF(A57+'Summary'!$B$10*12&gt;A81,I57,0)+IF(A58+'Summary'!$B$10*12&gt;A81,I58,0)+IF(A59+'Summary'!$B$10*12&gt;A81,I59,0)+IF(A60+'Summary'!$B$10*12&gt;A81,I60,0)+IF(A61+'Summary'!$B$10*12&gt;A81,I61,0)+IF(A62+'Summary'!$B$10*12&gt;A81,I62,0)+IF(A63+'Summary'!$B$10*12&gt;A81,I63,0)+IF(A64+'Summary'!$B$10*12&gt;A81,I64,0)+IF(A65+'Summary'!$B$10*12&gt;A81,I65,0)+IF(A66+'Summary'!$B$10*12&gt;A81,I66,0)+IF(A67+'Summary'!$B$10*12&gt;A81,I67,0)+IF(A68+'Summary'!$B$10*12&gt;A81,I68,0)+IF(A69+'Summary'!$B$10*12&gt;A81,I69,0)+IF(A70+'Summary'!$B$10*12&gt;A81,I70,0)+IF(A71+'Summary'!$B$10*12&gt;A81,I71,0)+IF(A72+'Summary'!$B$10*12&gt;A81,I72,0)+IF(A73+'Summary'!$B$10*12&gt;A81,I73,0)+IF(A74+'Summary'!$B$10*12&gt;A81,I74,0)+IF(A75+'Summary'!$B$10*12&gt;A81,I75,0)+IF(A76+'Summary'!$B$10*12&gt;A81,I76,0)+IF(A77+'Summary'!$B$10*12&gt;A81,I77,0)+IF(A78+'Summary'!$B$10*12&gt;A81,I78,0)+IF(A79+'Summary'!$B$10*12&gt;A81,I79,0)+IF(A80+'Summary'!$B$10*12&gt;A81,I80,0)+IF(A81+'Summary'!$B$10*12&gt;A81,I81,0)</x:f>
        <x:v>20708.798778143897</x:v>
      </x:c>
    </x:row>
    <x:row r="82">
      <x:c r="A82" s="55" t="n">
        <x:v>74</x:v>
      </x:c>
      <x:c r="B82" s="71" t="b">
        <x:f>A82&lt;='Summary'!$B$9*12</x:f>
        <x:v>1</x:v>
      </x:c>
      <x:c r="C82" s="62" t="n">
        <x:f>IF(A82=0,IF('Summary'!$B$6&gt;=5,'Summary'!$B$6,0),C81)+IF(A82&lt;'Summary'!$B$9*12,IF('Summary'!$B$7&gt;=5,'Summary'!$B$7,0),0)</x:f>
        <x:v>17500</x:v>
      </x:c>
      <x:c r="D82" s="62" t="n">
        <x:f>IF(A82=0,IF('Summary'!$B$6&gt;=5,'Summary'!$B$6,0),0)+IF(A82&lt;'Summary'!$B$9*12,IF('Summary'!$B$7&gt;=5,'Summary'!$B$7,0),0)</x:f>
        <x:v>100</x:v>
      </x:c>
      <x:c r="E82" s="62" t="n">
        <x:f>J81</x:f>
        <x:v>0</x:v>
      </x:c>
      <x:c r="F82" s="62" t="n">
        <x:f>(IF(AND(A82&gt;A8,A82&lt;=A8+'Summary'!$B$10*12,MOD(A82-A8,'Summary'!$B$11)=0),I8,0)+IF(AND(A82&gt;A9,A82&lt;=A9+'Summary'!$B$10*12,MOD(A82-A9,'Summary'!$B$11)=0),I9,0)+IF(AND(A82&gt;A10,A82&lt;=A10+'Summary'!$B$10*12,MOD(A82-A10,'Summary'!$B$11)=0),I10,0)+IF(AND(A82&gt;A11,A82&lt;=A11+'Summary'!$B$10*12,MOD(A82-A11,'Summary'!$B$11)=0),I11,0)+IF(AND(A82&gt;A12,A82&lt;=A12+'Summary'!$B$10*12,MOD(A82-A12,'Summary'!$B$11)=0),I12,0)+IF(AND(A82&gt;A13,A82&lt;=A13+'Summary'!$B$10*12,MOD(A82-A13,'Summary'!$B$11)=0),I13,0)+IF(AND(A82&gt;A14,A82&lt;=A14+'Summary'!$B$10*12,MOD(A82-A14,'Summary'!$B$11)=0),I14,0)+IF(AND(A82&gt;A15,A82&lt;=A15+'Summary'!$B$10*12,MOD(A82-A15,'Summary'!$B$11)=0),I15,0)+IF(AND(A82&gt;A16,A82&lt;=A16+'Summary'!$B$10*12,MOD(A82-A16,'Summary'!$B$11)=0),I16,0)+IF(AND(A82&gt;A17,A82&lt;=A17+'Summary'!$B$10*12,MOD(A82-A17,'Summary'!$B$11)=0),I17,0)+IF(AND(A82&gt;A18,A82&lt;=A18+'Summary'!$B$10*12,MOD(A82-A18,'Summary'!$B$11)=0),I18,0)+IF(AND(A82&gt;A19,A82&lt;=A19+'Summary'!$B$10*12,MOD(A82-A19,'Summary'!$B$11)=0),I19,0)+IF(AND(A82&gt;A20,A82&lt;=A20+'Summary'!$B$10*12,MOD(A82-A20,'Summary'!$B$11)=0),I20,0)+IF(AND(A82&gt;A21,A82&lt;=A21+'Summary'!$B$10*12,MOD(A82-A21,'Summary'!$B$11)=0),I21,0)+IF(AND(A82&gt;A22,A82&lt;=A22+'Summary'!$B$10*12,MOD(A82-A22,'Summary'!$B$11)=0),I22,0)+IF(AND(A82&gt;A23,A82&lt;=A23+'Summary'!$B$10*12,MOD(A82-A23,'Summary'!$B$11)=0),I23,0)+IF(AND(A82&gt;A24,A82&lt;=A24+'Summary'!$B$10*12,MOD(A82-A24,'Summary'!$B$11)=0),I24,0)+IF(AND(A82&gt;A25,A82&lt;=A25+'Summary'!$B$10*12,MOD(A82-A25,'Summary'!$B$11)=0),I25,0)+IF(AND(A82&gt;A26,A82&lt;=A26+'Summary'!$B$10*12,MOD(A82-A26,'Summary'!$B$11)=0),I26,0)+IF(AND(A82&gt;A27,A82&lt;=A27+'Summary'!$B$10*12,MOD(A82-A27,'Summary'!$B$11)=0),I27,0)+IF(AND(A82&gt;A28,A82&lt;=A28+'Summary'!$B$10*12,MOD(A82-A28,'Summary'!$B$11)=0),I28,0)+IF(AND(A82&gt;A29,A82&lt;=A29+'Summary'!$B$10*12,MOD(A82-A29,'Summary'!$B$11)=0),I29,0)+IF(AND(A82&gt;A30,A82&lt;=A30+'Summary'!$B$10*12,MOD(A82-A30,'Summary'!$B$11)=0),I30,0)+IF(AND(A82&gt;A31,A82&lt;=A31+'Summary'!$B$10*12,MOD(A82-A31,'Summary'!$B$11)=0),I31,0)+IF(AND(A82&gt;A32,A82&lt;=A32+'Summary'!$B$10*12,MOD(A82-A32,'Summary'!$B$11)=0),I32,0)+IF(AND(A82&gt;A33,A82&lt;=A33+'Summary'!$B$10*12,MOD(A82-A33,'Summary'!$B$11)=0),I33,0)+IF(AND(A82&gt;A34,A82&lt;=A34+'Summary'!$B$10*12,MOD(A82-A34,'Summary'!$B$11)=0),I34,0)+IF(AND(A82&gt;A35,A82&lt;=A35+'Summary'!$B$10*12,MOD(A82-A35,'Summary'!$B$11)=0),I35,0)+IF(AND(A82&gt;A36,A82&lt;=A36+'Summary'!$B$10*12,MOD(A82-A36,'Summary'!$B$11)=0),I36,0)+IF(AND(A82&gt;A37,A82&lt;=A37+'Summary'!$B$10*12,MOD(A82-A37,'Summary'!$B$11)=0),I37,0)+IF(AND(A82&gt;A38,A82&lt;=A38+'Summary'!$B$10*12,MOD(A82-A38,'Summary'!$B$11)=0),I38,0)+IF(AND(A82&gt;A39,A82&lt;=A39+'Summary'!$B$10*12,MOD(A82-A39,'Summary'!$B$11)=0),I39,0)+IF(AND(A82&gt;A40,A82&lt;=A40+'Summary'!$B$10*12,MOD(A82-A40,'Summary'!$B$11)=0),I40,0)+IF(AND(A82&gt;A41,A82&lt;=A41+'Summary'!$B$10*12,MOD(A82-A41,'Summary'!$B$11)=0),I41,0)+IF(AND(A82&gt;A42,A82&lt;=A42+'Summary'!$B$10*12,MOD(A82-A42,'Summary'!$B$11)=0),I42,0)+IF(AND(A82&gt;A43,A82&lt;=A43+'Summary'!$B$10*12,MOD(A82-A43,'Summary'!$B$11)=0),I43,0)+IF(AND(A82&gt;A44,A82&lt;=A44+'Summary'!$B$10*12,MOD(A82-A44,'Summary'!$B$11)=0),I44,0)+IF(AND(A82&gt;A45,A82&lt;=A45+'Summary'!$B$10*12,MOD(A82-A45,'Summary'!$B$11)=0),I45,0)+IF(AND(A82&gt;A46,A82&lt;=A46+'Summary'!$B$10*12,MOD(A82-A46,'Summary'!$B$11)=0),I46,0)+IF(AND(A82&gt;A47,A82&lt;=A47+'Summary'!$B$10*12,MOD(A82-A47,'Summary'!$B$11)=0),I47,0)+IF(AND(A82&gt;A48,A82&lt;=A48+'Summary'!$B$10*12,MOD(A82-A48,'Summary'!$B$11)=0),I48,0)+IF(AND(A82&gt;A49,A82&lt;=A49+'Summary'!$B$10*12,MOD(A82-A49,'Summary'!$B$11)=0),I49,0)+IF(AND(A82&gt;A50,A82&lt;=A50+'Summary'!$B$10*12,MOD(A82-A50,'Summary'!$B$11)=0),I50,0)+IF(AND(A82&gt;A51,A82&lt;=A51+'Summary'!$B$10*12,MOD(A82-A51,'Summary'!$B$11)=0),I51,0)+IF(AND(A82&gt;A52,A82&lt;=A52+'Summary'!$B$10*12,MOD(A82-A52,'Summary'!$B$11)=0),I52,0)+IF(AND(A82&gt;A53,A82&lt;=A53+'Summary'!$B$10*12,MOD(A82-A53,'Summary'!$B$11)=0),I53,0)+IF(AND(A82&gt;A54,A82&lt;=A54+'Summary'!$B$10*12,MOD(A82-A54,'Summary'!$B$11)=0),I54,0)+IF(AND(A82&gt;A55,A82&lt;=A55+'Summary'!$B$10*12,MOD(A82-A55,'Summary'!$B$11)=0),I55,0)+IF(AND(A82&gt;A56,A82&lt;=A56+'Summary'!$B$10*12,MOD(A82-A56,'Summary'!$B$11)=0),I56,0)+IF(AND(A82&gt;A57,A82&lt;=A57+'Summary'!$B$10*12,MOD(A82-A57,'Summary'!$B$11)=0),I57,0)+IF(AND(A82&gt;A58,A82&lt;=A58+'Summary'!$B$10*12,MOD(A82-A58,'Summary'!$B$11)=0),I58,0)+IF(AND(A82&gt;A59,A82&lt;=A59+'Summary'!$B$10*12,MOD(A82-A59,'Summary'!$B$11)=0),I59,0)+IF(AND(A82&gt;A60,A82&lt;=A60+'Summary'!$B$10*12,MOD(A82-A60,'Summary'!$B$11)=0),I60,0)+IF(AND(A82&gt;A61,A82&lt;=A61+'Summary'!$B$10*12,MOD(A82-A61,'Summary'!$B$11)=0),I61,0)+IF(AND(A82&gt;A62,A82&lt;=A62+'Summary'!$B$10*12,MOD(A82-A62,'Summary'!$B$11)=0),I62,0)+IF(AND(A82&gt;A63,A82&lt;=A63+'Summary'!$B$10*12,MOD(A82-A63,'Summary'!$B$11)=0),I63,0)+IF(AND(A82&gt;A64,A82&lt;=A64+'Summary'!$B$10*12,MOD(A82-A64,'Summary'!$B$11)=0),I64,0)+IF(AND(A82&gt;A65,A82&lt;=A65+'Summary'!$B$10*12,MOD(A82-A65,'Summary'!$B$11)=0),I65,0)+IF(AND(A82&gt;A66,A82&lt;=A66+'Summary'!$B$10*12,MOD(A82-A66,'Summary'!$B$11)=0),I66,0)+IF(AND(A82&gt;A67,A82&lt;=A67+'Summary'!$B$10*12,MOD(A82-A67,'Summary'!$B$11)=0),I67,0)+IF(AND(A82&gt;A68,A82&lt;=A68+'Summary'!$B$10*12,MOD(A82-A68,'Summary'!$B$11)=0),I68,0)+IF(AND(A82&gt;A69,A82&lt;=A69+'Summary'!$B$10*12,MOD(A82-A69,'Summary'!$B$11)=0),I69,0)+IF(AND(A82&gt;A70,A82&lt;=A70+'Summary'!$B$10*12,MOD(A82-A70,'Summary'!$B$11)=0),I70,0)+IF(AND(A82&gt;A71,A82&lt;=A71+'Summary'!$B$10*12,MOD(A82-A71,'Summary'!$B$11)=0),I71,0)+IF(AND(A82&gt;A72,A82&lt;=A72+'Summary'!$B$10*12,MOD(A82-A72,'Summary'!$B$11)=0),I72,0)+IF(AND(A82&gt;A73,A82&lt;=A73+'Summary'!$B$10*12,MOD(A82-A73,'Summary'!$B$11)=0),I73,0)+IF(AND(A82&gt;A74,A82&lt;=A74+'Summary'!$B$10*12,MOD(A82-A74,'Summary'!$B$11)=0),I74,0)+IF(AND(A82&gt;A75,A82&lt;=A75+'Summary'!$B$10*12,MOD(A82-A75,'Summary'!$B$11)=0),I75,0)+IF(AND(A82&gt;A76,A82&lt;=A76+'Summary'!$B$10*12,MOD(A82-A76,'Summary'!$B$11)=0),I76,0)+IF(AND(A82&gt;A77,A82&lt;=A77+'Summary'!$B$10*12,MOD(A82-A77,'Summary'!$B$11)=0),I77,0)+IF(AND(A82&gt;A78,A82&lt;=A78+'Summary'!$B$10*12,MOD(A82-A78,'Summary'!$B$11)=0),I78,0)+IF(AND(A82&gt;A79,A82&lt;=A79+'Summary'!$B$10*12,MOD(A82-A79,'Summary'!$B$11)=0),I79,0)+IF(AND(A82&gt;A80,A82&lt;=A80+'Summary'!$B$10*12,MOD(A82-A80,'Summary'!$B$11)=0),I80,0)+IF(AND(A82&gt;A81,A82&lt;=A81+'Summary'!$B$10*12,MOD(A82-A81,'Summary'!$B$11)=0),I81,0))*'Summary'!$B$8/2</x:f>
        <x:v>24.751007606933687</x:v>
      </x:c>
      <x:c r="G82" s="62" t="n">
        <x:f>IF(A82=A8+'Summary'!$B$10*12,I8,0)+IF(A82=A9+'Summary'!$B$10*12,I9,0)+IF(A82=A10+'Summary'!$B$10*12,I10,0)+IF(A82=A11+'Summary'!$B$10*12,I11,0)+IF(A82=A12+'Summary'!$B$10*12,I12,0)+IF(A82=A13+'Summary'!$B$10*12,I13,0)+IF(A82=A14+'Summary'!$B$10*12,I14,0)+IF(A82=A15+'Summary'!$B$10*12,I15,0)+IF(A82=A16+'Summary'!$B$10*12,I16,0)+IF(A82=A17+'Summary'!$B$10*12,I17,0)+IF(A82=A18+'Summary'!$B$10*12,I18,0)+IF(A82=A19+'Summary'!$B$10*12,I19,0)+IF(A82=A20+'Summary'!$B$10*12,I20,0)+IF(A82=A21+'Summary'!$B$10*12,I21,0)+IF(A82=A22+'Summary'!$B$10*12,I22,0)+IF(A82=A23+'Summary'!$B$10*12,I23,0)+IF(A82=A24+'Summary'!$B$10*12,I24,0)+IF(A82=A25+'Summary'!$B$10*12,I25,0)+IF(A82=A26+'Summary'!$B$10*12,I26,0)+IF(A82=A27+'Summary'!$B$10*12,I27,0)+IF(A82=A28+'Summary'!$B$10*12,I28,0)+IF(A82=A29+'Summary'!$B$10*12,I29,0)+IF(A82=A30+'Summary'!$B$10*12,I30,0)+IF(A82=A31+'Summary'!$B$10*12,I31,0)+IF(A82=A32+'Summary'!$B$10*12,I32,0)+IF(A82=A33+'Summary'!$B$10*12,I33,0)+IF(A82=A34+'Summary'!$B$10*12,I34,0)+IF(A82=A35+'Summary'!$B$10*12,I35,0)+IF(A82=A36+'Summary'!$B$10*12,I36,0)+IF(A82=A37+'Summary'!$B$10*12,I37,0)+IF(A82=A38+'Summary'!$B$10*12,I38,0)+IF(A82=A39+'Summary'!$B$10*12,I39,0)+IF(A82=A40+'Summary'!$B$10*12,I40,0)+IF(A82=A41+'Summary'!$B$10*12,I41,0)+IF(A82=A42+'Summary'!$B$10*12,I42,0)+IF(A82=A43+'Summary'!$B$10*12,I43,0)+IF(A82=A44+'Summary'!$B$10*12,I44,0)+IF(A82=A45+'Summary'!$B$10*12,I45,0)+IF(A82=A46+'Summary'!$B$10*12,I46,0)+IF(A82=A47+'Summary'!$B$10*12,I47,0)+IF(A82=A48+'Summary'!$B$10*12,I48,0)+IF(A82=A49+'Summary'!$B$10*12,I49,0)+IF(A82=A50+'Summary'!$B$10*12,I50,0)+IF(A82=A51+'Summary'!$B$10*12,I51,0)+IF(A82=A52+'Summary'!$B$10*12,I52,0)+IF(A82=A53+'Summary'!$B$10*12,I53,0)+IF(A82=A54+'Summary'!$B$10*12,I54,0)+IF(A82=A55+'Summary'!$B$10*12,I55,0)+IF(A82=A56+'Summary'!$B$10*12,I56,0)+IF(A82=A57+'Summary'!$B$10*12,I57,0)+IF(A82=A58+'Summary'!$B$10*12,I58,0)+IF(A82=A59+'Summary'!$B$10*12,I59,0)+IF(A82=A60+'Summary'!$B$10*12,I60,0)+IF(A82=A61+'Summary'!$B$10*12,I61,0)+IF(A82=A62+'Summary'!$B$10*12,I62,0)+IF(A82=A63+'Summary'!$B$10*12,I63,0)+IF(A82=A64+'Summary'!$B$10*12,I64,0)+IF(A82=A65+'Summary'!$B$10*12,I65,0)+IF(A82=A66+'Summary'!$B$10*12,I66,0)+IF(A82=A67+'Summary'!$B$10*12,I67,0)+IF(A82=A68+'Summary'!$B$10*12,I68,0)+IF(A82=A69+'Summary'!$B$10*12,I69,0)+IF(A82=A70+'Summary'!$B$10*12,I70,0)+IF(A82=A71+'Summary'!$B$10*12,I71,0)+IF(A82=A72+'Summary'!$B$10*12,I72,0)+IF(A82=A73+'Summary'!$B$10*12,I73,0)+IF(A82=A74+'Summary'!$B$10*12,I74,0)+IF(A82=A75+'Summary'!$B$10*12,I75,0)+IF(A82=A76+'Summary'!$B$10*12,I76,0)+IF(A82=A77+'Summary'!$B$10*12,I77,0)+IF(A82=A78+'Summary'!$B$10*12,I78,0)+IF(A82=A79+'Summary'!$B$10*12,I79,0)+IF(A82=A80+'Summary'!$B$10*12,I80,0)+IF(A82=A81+'Summary'!$B$10*12,I81,0)</x:f>
        <x:v>103.754596</x:v>
      </x:c>
      <x:c r="H82" s="62" t="n">
        <x:f>E82+D82+F82+G82</x:f>
        <x:v>228.50560360693368</x:v>
      </x:c>
      <x:c r="I82" s="62" t="n">
        <x:f>IF(B82,IF(H82&gt;='Summary'!$B$12,H82,0),0)</x:f>
        <x:v>228.50560360693368</x:v>
      </x:c>
      <x:c r="J82" s="62" t="n">
        <x:f>H82-I82</x:f>
        <x:v>0</x:v>
      </x:c>
      <x:c r="K82" s="63" t="n">
        <x:f>J82+IF(A8+'Summary'!$B$10*12&gt;A82,I8,0)+IF(A9+'Summary'!$B$10*12&gt;A82,I9,0)+IF(A10+'Summary'!$B$10*12&gt;A82,I10,0)+IF(A11+'Summary'!$B$10*12&gt;A82,I11,0)+IF(A12+'Summary'!$B$10*12&gt;A82,I12,0)+IF(A13+'Summary'!$B$10*12&gt;A82,I13,0)+IF(A14+'Summary'!$B$10*12&gt;A82,I14,0)+IF(A15+'Summary'!$B$10*12&gt;A82,I15,0)+IF(A16+'Summary'!$B$10*12&gt;A82,I16,0)+IF(A17+'Summary'!$B$10*12&gt;A82,I17,0)+IF(A18+'Summary'!$B$10*12&gt;A82,I18,0)+IF(A19+'Summary'!$B$10*12&gt;A82,I19,0)+IF(A20+'Summary'!$B$10*12&gt;A82,I20,0)+IF(A21+'Summary'!$B$10*12&gt;A82,I21,0)+IF(A22+'Summary'!$B$10*12&gt;A82,I22,0)+IF(A23+'Summary'!$B$10*12&gt;A82,I23,0)+IF(A24+'Summary'!$B$10*12&gt;A82,I24,0)+IF(A25+'Summary'!$B$10*12&gt;A82,I25,0)+IF(A26+'Summary'!$B$10*12&gt;A82,I26,0)+IF(A27+'Summary'!$B$10*12&gt;A82,I27,0)+IF(A28+'Summary'!$B$10*12&gt;A82,I28,0)+IF(A29+'Summary'!$B$10*12&gt;A82,I29,0)+IF(A30+'Summary'!$B$10*12&gt;A82,I30,0)+IF(A31+'Summary'!$B$10*12&gt;A82,I31,0)+IF(A32+'Summary'!$B$10*12&gt;A82,I32,0)+IF(A33+'Summary'!$B$10*12&gt;A82,I33,0)+IF(A34+'Summary'!$B$10*12&gt;A82,I34,0)+IF(A35+'Summary'!$B$10*12&gt;A82,I35,0)+IF(A36+'Summary'!$B$10*12&gt;A82,I36,0)+IF(A37+'Summary'!$B$10*12&gt;A82,I37,0)+IF(A38+'Summary'!$B$10*12&gt;A82,I38,0)+IF(A39+'Summary'!$B$10*12&gt;A82,I39,0)+IF(A40+'Summary'!$B$10*12&gt;A82,I40,0)+IF(A41+'Summary'!$B$10*12&gt;A82,I41,0)+IF(A42+'Summary'!$B$10*12&gt;A82,I42,0)+IF(A43+'Summary'!$B$10*12&gt;A82,I43,0)+IF(A44+'Summary'!$B$10*12&gt;A82,I44,0)+IF(A45+'Summary'!$B$10*12&gt;A82,I45,0)+IF(A46+'Summary'!$B$10*12&gt;A82,I46,0)+IF(A47+'Summary'!$B$10*12&gt;A82,I47,0)+IF(A48+'Summary'!$B$10*12&gt;A82,I48,0)+IF(A49+'Summary'!$B$10*12&gt;A82,I49,0)+IF(A50+'Summary'!$B$10*12&gt;A82,I50,0)+IF(A51+'Summary'!$B$10*12&gt;A82,I51,0)+IF(A52+'Summary'!$B$10*12&gt;A82,I52,0)+IF(A53+'Summary'!$B$10*12&gt;A82,I53,0)+IF(A54+'Summary'!$B$10*12&gt;A82,I54,0)+IF(A55+'Summary'!$B$10*12&gt;A82,I55,0)+IF(A56+'Summary'!$B$10*12&gt;A82,I56,0)+IF(A57+'Summary'!$B$10*12&gt;A82,I57,0)+IF(A58+'Summary'!$B$10*12&gt;A82,I58,0)+IF(A59+'Summary'!$B$10*12&gt;A82,I59,0)+IF(A60+'Summary'!$B$10*12&gt;A82,I60,0)+IF(A61+'Summary'!$B$10*12&gt;A82,I61,0)+IF(A62+'Summary'!$B$10*12&gt;A82,I62,0)+IF(A63+'Summary'!$B$10*12&gt;A82,I63,0)+IF(A64+'Summary'!$B$10*12&gt;A82,I64,0)+IF(A65+'Summary'!$B$10*12&gt;A82,I65,0)+IF(A66+'Summary'!$B$10*12&gt;A82,I66,0)+IF(A67+'Summary'!$B$10*12&gt;A82,I67,0)+IF(A68+'Summary'!$B$10*12&gt;A82,I68,0)+IF(A69+'Summary'!$B$10*12&gt;A82,I69,0)+IF(A70+'Summary'!$B$10*12&gt;A82,I70,0)+IF(A71+'Summary'!$B$10*12&gt;A82,I71,0)+IF(A72+'Summary'!$B$10*12&gt;A82,I72,0)+IF(A73+'Summary'!$B$10*12&gt;A82,I73,0)+IF(A74+'Summary'!$B$10*12&gt;A82,I74,0)+IF(A75+'Summary'!$B$10*12&gt;A82,I75,0)+IF(A76+'Summary'!$B$10*12&gt;A82,I76,0)+IF(A77+'Summary'!$B$10*12&gt;A82,I77,0)+IF(A78+'Summary'!$B$10*12&gt;A82,I78,0)+IF(A79+'Summary'!$B$10*12&gt;A82,I79,0)+IF(A80+'Summary'!$B$10*12&gt;A82,I80,0)+IF(A81+'Summary'!$B$10*12&gt;A82,I81,0)+IF(A82+'Summary'!$B$10*12&gt;A82,I82,0)</x:f>
        <x:v>20833.549785750827</x:v>
      </x:c>
    </x:row>
    <x:row r="83">
      <x:c r="A83" s="55" t="n">
        <x:v>75</x:v>
      </x:c>
      <x:c r="B83" s="71" t="b">
        <x:f>A83&lt;='Summary'!$B$9*12</x:f>
        <x:v>1</x:v>
      </x:c>
      <x:c r="C83" s="62" t="n">
        <x:f>IF(A83=0,IF('Summary'!$B$6&gt;=5,'Summary'!$B$6,0),C82)+IF(A83&lt;'Summary'!$B$9*12,IF('Summary'!$B$7&gt;=5,'Summary'!$B$7,0),0)</x:f>
        <x:v>17600</x:v>
      </x:c>
      <x:c r="D83" s="62" t="n">
        <x:f>IF(A83=0,IF('Summary'!$B$6&gt;=5,'Summary'!$B$6,0),0)+IF(A83&lt;'Summary'!$B$9*12,IF('Summary'!$B$7&gt;=5,'Summary'!$B$7,0),0)</x:f>
        <x:v>100</x:v>
      </x:c>
      <x:c r="E83" s="62" t="n">
        <x:f>J82</x:f>
        <x:v>0</x:v>
      </x:c>
      <x:c r="F83" s="62" t="n">
        <x:f>(IF(AND(A83&gt;A8,A83&lt;=A8+'Summary'!$B$10*12,MOD(A83-A8,'Summary'!$B$11)=0),I8,0)+IF(AND(A83&gt;A9,A83&lt;=A9+'Summary'!$B$10*12,MOD(A83-A9,'Summary'!$B$11)=0),I9,0)+IF(AND(A83&gt;A10,A83&lt;=A10+'Summary'!$B$10*12,MOD(A83-A10,'Summary'!$B$11)=0),I10,0)+IF(AND(A83&gt;A11,A83&lt;=A11+'Summary'!$B$10*12,MOD(A83-A11,'Summary'!$B$11)=0),I11,0)+IF(AND(A83&gt;A12,A83&lt;=A12+'Summary'!$B$10*12,MOD(A83-A12,'Summary'!$B$11)=0),I12,0)+IF(AND(A83&gt;A13,A83&lt;=A13+'Summary'!$B$10*12,MOD(A83-A13,'Summary'!$B$11)=0),I13,0)+IF(AND(A83&gt;A14,A83&lt;=A14+'Summary'!$B$10*12,MOD(A83-A14,'Summary'!$B$11)=0),I14,0)+IF(AND(A83&gt;A15,A83&lt;=A15+'Summary'!$B$10*12,MOD(A83-A15,'Summary'!$B$11)=0),I15,0)+IF(AND(A83&gt;A16,A83&lt;=A16+'Summary'!$B$10*12,MOD(A83-A16,'Summary'!$B$11)=0),I16,0)+IF(AND(A83&gt;A17,A83&lt;=A17+'Summary'!$B$10*12,MOD(A83-A17,'Summary'!$B$11)=0),I17,0)+IF(AND(A83&gt;A18,A83&lt;=A18+'Summary'!$B$10*12,MOD(A83-A18,'Summary'!$B$11)=0),I18,0)+IF(AND(A83&gt;A19,A83&lt;=A19+'Summary'!$B$10*12,MOD(A83-A19,'Summary'!$B$11)=0),I19,0)+IF(AND(A83&gt;A20,A83&lt;=A20+'Summary'!$B$10*12,MOD(A83-A20,'Summary'!$B$11)=0),I20,0)+IF(AND(A83&gt;A21,A83&lt;=A21+'Summary'!$B$10*12,MOD(A83-A21,'Summary'!$B$11)=0),I21,0)+IF(AND(A83&gt;A22,A83&lt;=A22+'Summary'!$B$10*12,MOD(A83-A22,'Summary'!$B$11)=0),I22,0)+IF(AND(A83&gt;A23,A83&lt;=A23+'Summary'!$B$10*12,MOD(A83-A23,'Summary'!$B$11)=0),I23,0)+IF(AND(A83&gt;A24,A83&lt;=A24+'Summary'!$B$10*12,MOD(A83-A24,'Summary'!$B$11)=0),I24,0)+IF(AND(A83&gt;A25,A83&lt;=A25+'Summary'!$B$10*12,MOD(A83-A25,'Summary'!$B$11)=0),I25,0)+IF(AND(A83&gt;A26,A83&lt;=A26+'Summary'!$B$10*12,MOD(A83-A26,'Summary'!$B$11)=0),I26,0)+IF(AND(A83&gt;A27,A83&lt;=A27+'Summary'!$B$10*12,MOD(A83-A27,'Summary'!$B$11)=0),I27,0)+IF(AND(A83&gt;A28,A83&lt;=A28+'Summary'!$B$10*12,MOD(A83-A28,'Summary'!$B$11)=0),I28,0)+IF(AND(A83&gt;A29,A83&lt;=A29+'Summary'!$B$10*12,MOD(A83-A29,'Summary'!$B$11)=0),I29,0)+IF(AND(A83&gt;A30,A83&lt;=A30+'Summary'!$B$10*12,MOD(A83-A30,'Summary'!$B$11)=0),I30,0)+IF(AND(A83&gt;A31,A83&lt;=A31+'Summary'!$B$10*12,MOD(A83-A31,'Summary'!$B$11)=0),I31,0)+IF(AND(A83&gt;A32,A83&lt;=A32+'Summary'!$B$10*12,MOD(A83-A32,'Summary'!$B$11)=0),I32,0)+IF(AND(A83&gt;A33,A83&lt;=A33+'Summary'!$B$10*12,MOD(A83-A33,'Summary'!$B$11)=0),I33,0)+IF(AND(A83&gt;A34,A83&lt;=A34+'Summary'!$B$10*12,MOD(A83-A34,'Summary'!$B$11)=0),I34,0)+IF(AND(A83&gt;A35,A83&lt;=A35+'Summary'!$B$10*12,MOD(A83-A35,'Summary'!$B$11)=0),I35,0)+IF(AND(A83&gt;A36,A83&lt;=A36+'Summary'!$B$10*12,MOD(A83-A36,'Summary'!$B$11)=0),I36,0)+IF(AND(A83&gt;A37,A83&lt;=A37+'Summary'!$B$10*12,MOD(A83-A37,'Summary'!$B$11)=0),I37,0)+IF(AND(A83&gt;A38,A83&lt;=A38+'Summary'!$B$10*12,MOD(A83-A38,'Summary'!$B$11)=0),I38,0)+IF(AND(A83&gt;A39,A83&lt;=A39+'Summary'!$B$10*12,MOD(A83-A39,'Summary'!$B$11)=0),I39,0)+IF(AND(A83&gt;A40,A83&lt;=A40+'Summary'!$B$10*12,MOD(A83-A40,'Summary'!$B$11)=0),I40,0)+IF(AND(A83&gt;A41,A83&lt;=A41+'Summary'!$B$10*12,MOD(A83-A41,'Summary'!$B$11)=0),I41,0)+IF(AND(A83&gt;A42,A83&lt;=A42+'Summary'!$B$10*12,MOD(A83-A42,'Summary'!$B$11)=0),I42,0)+IF(AND(A83&gt;A43,A83&lt;=A43+'Summary'!$B$10*12,MOD(A83-A43,'Summary'!$B$11)=0),I43,0)+IF(AND(A83&gt;A44,A83&lt;=A44+'Summary'!$B$10*12,MOD(A83-A44,'Summary'!$B$11)=0),I44,0)+IF(AND(A83&gt;A45,A83&lt;=A45+'Summary'!$B$10*12,MOD(A83-A45,'Summary'!$B$11)=0),I45,0)+IF(AND(A83&gt;A46,A83&lt;=A46+'Summary'!$B$10*12,MOD(A83-A46,'Summary'!$B$11)=0),I46,0)+IF(AND(A83&gt;A47,A83&lt;=A47+'Summary'!$B$10*12,MOD(A83-A47,'Summary'!$B$11)=0),I47,0)+IF(AND(A83&gt;A48,A83&lt;=A48+'Summary'!$B$10*12,MOD(A83-A48,'Summary'!$B$11)=0),I48,0)+IF(AND(A83&gt;A49,A83&lt;=A49+'Summary'!$B$10*12,MOD(A83-A49,'Summary'!$B$11)=0),I49,0)+IF(AND(A83&gt;A50,A83&lt;=A50+'Summary'!$B$10*12,MOD(A83-A50,'Summary'!$B$11)=0),I50,0)+IF(AND(A83&gt;A51,A83&lt;=A51+'Summary'!$B$10*12,MOD(A83-A51,'Summary'!$B$11)=0),I51,0)+IF(AND(A83&gt;A52,A83&lt;=A52+'Summary'!$B$10*12,MOD(A83-A52,'Summary'!$B$11)=0),I52,0)+IF(AND(A83&gt;A53,A83&lt;=A53+'Summary'!$B$10*12,MOD(A83-A53,'Summary'!$B$11)=0),I53,0)+IF(AND(A83&gt;A54,A83&lt;=A54+'Summary'!$B$10*12,MOD(A83-A54,'Summary'!$B$11)=0),I54,0)+IF(AND(A83&gt;A55,A83&lt;=A55+'Summary'!$B$10*12,MOD(A83-A55,'Summary'!$B$11)=0),I55,0)+IF(AND(A83&gt;A56,A83&lt;=A56+'Summary'!$B$10*12,MOD(A83-A56,'Summary'!$B$11)=0),I56,0)+IF(AND(A83&gt;A57,A83&lt;=A57+'Summary'!$B$10*12,MOD(A83-A57,'Summary'!$B$11)=0),I57,0)+IF(AND(A83&gt;A58,A83&lt;=A58+'Summary'!$B$10*12,MOD(A83-A58,'Summary'!$B$11)=0),I58,0)+IF(AND(A83&gt;A59,A83&lt;=A59+'Summary'!$B$10*12,MOD(A83-A59,'Summary'!$B$11)=0),I59,0)+IF(AND(A83&gt;A60,A83&lt;=A60+'Summary'!$B$10*12,MOD(A83-A60,'Summary'!$B$11)=0),I60,0)+IF(AND(A83&gt;A61,A83&lt;=A61+'Summary'!$B$10*12,MOD(A83-A61,'Summary'!$B$11)=0),I61,0)+IF(AND(A83&gt;A62,A83&lt;=A62+'Summary'!$B$10*12,MOD(A83-A62,'Summary'!$B$11)=0),I62,0)+IF(AND(A83&gt;A63,A83&lt;=A63+'Summary'!$B$10*12,MOD(A83-A63,'Summary'!$B$11)=0),I63,0)+IF(AND(A83&gt;A64,A83&lt;=A64+'Summary'!$B$10*12,MOD(A83-A64,'Summary'!$B$11)=0),I64,0)+IF(AND(A83&gt;A65,A83&lt;=A65+'Summary'!$B$10*12,MOD(A83-A65,'Summary'!$B$11)=0),I65,0)+IF(AND(A83&gt;A66,A83&lt;=A66+'Summary'!$B$10*12,MOD(A83-A66,'Summary'!$B$11)=0),I66,0)+IF(AND(A83&gt;A67,A83&lt;=A67+'Summary'!$B$10*12,MOD(A83-A67,'Summary'!$B$11)=0),I67,0)+IF(AND(A83&gt;A68,A83&lt;=A68+'Summary'!$B$10*12,MOD(A83-A68,'Summary'!$B$11)=0),I68,0)+IF(AND(A83&gt;A69,A83&lt;=A69+'Summary'!$B$10*12,MOD(A83-A69,'Summary'!$B$11)=0),I69,0)+IF(AND(A83&gt;A70,A83&lt;=A70+'Summary'!$B$10*12,MOD(A83-A70,'Summary'!$B$11)=0),I70,0)+IF(AND(A83&gt;A71,A83&lt;=A71+'Summary'!$B$10*12,MOD(A83-A71,'Summary'!$B$11)=0),I71,0)+IF(AND(A83&gt;A72,A83&lt;=A72+'Summary'!$B$10*12,MOD(A83-A72,'Summary'!$B$11)=0),I72,0)+IF(AND(A83&gt;A73,A83&lt;=A73+'Summary'!$B$10*12,MOD(A83-A73,'Summary'!$B$11)=0),I73,0)+IF(AND(A83&gt;A74,A83&lt;=A74+'Summary'!$B$10*12,MOD(A83-A74,'Summary'!$B$11)=0),I74,0)+IF(AND(A83&gt;A75,A83&lt;=A75+'Summary'!$B$10*12,MOD(A83-A75,'Summary'!$B$11)=0),I75,0)+IF(AND(A83&gt;A76,A83&lt;=A76+'Summary'!$B$10*12,MOD(A83-A76,'Summary'!$B$11)=0),I76,0)+IF(AND(A83&gt;A77,A83&lt;=A77+'Summary'!$B$10*12,MOD(A83-A77,'Summary'!$B$11)=0),I77,0)+IF(AND(A83&gt;A78,A83&lt;=A78+'Summary'!$B$10*12,MOD(A83-A78,'Summary'!$B$11)=0),I78,0)+IF(AND(A83&gt;A79,A83&lt;=A79+'Summary'!$B$10*12,MOD(A83-A79,'Summary'!$B$11)=0),I79,0)+IF(AND(A83&gt;A80,A83&lt;=A80+'Summary'!$B$10*12,MOD(A83-A80,'Summary'!$B$11)=0),I80,0)+IF(AND(A83&gt;A81,A83&lt;=A81+'Summary'!$B$10*12,MOD(A83-A81,'Summary'!$B$11)=0),I81,0)+IF(AND(A83&gt;A82,A83&lt;=A82+'Summary'!$B$10*12,MOD(A83-A82,'Summary'!$B$11)=0),I82,0))*'Summary'!$B$8/2</x:f>
        <x:v>24.751007606933687</x:v>
      </x:c>
      <x:c r="G83" s="62" t="n">
        <x:f>IF(A83=A8+'Summary'!$B$10*12,I8,0)+IF(A83=A9+'Summary'!$B$10*12,I9,0)+IF(A83=A10+'Summary'!$B$10*12,I10,0)+IF(A83=A11+'Summary'!$B$10*12,I11,0)+IF(A83=A12+'Summary'!$B$10*12,I12,0)+IF(A83=A13+'Summary'!$B$10*12,I13,0)+IF(A83=A14+'Summary'!$B$10*12,I14,0)+IF(A83=A15+'Summary'!$B$10*12,I15,0)+IF(A83=A16+'Summary'!$B$10*12,I16,0)+IF(A83=A17+'Summary'!$B$10*12,I17,0)+IF(A83=A18+'Summary'!$B$10*12,I18,0)+IF(A83=A19+'Summary'!$B$10*12,I19,0)+IF(A83=A20+'Summary'!$B$10*12,I20,0)+IF(A83=A21+'Summary'!$B$10*12,I21,0)+IF(A83=A22+'Summary'!$B$10*12,I22,0)+IF(A83=A23+'Summary'!$B$10*12,I23,0)+IF(A83=A24+'Summary'!$B$10*12,I24,0)+IF(A83=A25+'Summary'!$B$10*12,I25,0)+IF(A83=A26+'Summary'!$B$10*12,I26,0)+IF(A83=A27+'Summary'!$B$10*12,I27,0)+IF(A83=A28+'Summary'!$B$10*12,I28,0)+IF(A83=A29+'Summary'!$B$10*12,I29,0)+IF(A83=A30+'Summary'!$B$10*12,I30,0)+IF(A83=A31+'Summary'!$B$10*12,I31,0)+IF(A83=A32+'Summary'!$B$10*12,I32,0)+IF(A83=A33+'Summary'!$B$10*12,I33,0)+IF(A83=A34+'Summary'!$B$10*12,I34,0)+IF(A83=A35+'Summary'!$B$10*12,I35,0)+IF(A83=A36+'Summary'!$B$10*12,I36,0)+IF(A83=A37+'Summary'!$B$10*12,I37,0)+IF(A83=A38+'Summary'!$B$10*12,I38,0)+IF(A83=A39+'Summary'!$B$10*12,I39,0)+IF(A83=A40+'Summary'!$B$10*12,I40,0)+IF(A83=A41+'Summary'!$B$10*12,I41,0)+IF(A83=A42+'Summary'!$B$10*12,I42,0)+IF(A83=A43+'Summary'!$B$10*12,I43,0)+IF(A83=A44+'Summary'!$B$10*12,I44,0)+IF(A83=A45+'Summary'!$B$10*12,I45,0)+IF(A83=A46+'Summary'!$B$10*12,I46,0)+IF(A83=A47+'Summary'!$B$10*12,I47,0)+IF(A83=A48+'Summary'!$B$10*12,I48,0)+IF(A83=A49+'Summary'!$B$10*12,I49,0)+IF(A83=A50+'Summary'!$B$10*12,I50,0)+IF(A83=A51+'Summary'!$B$10*12,I51,0)+IF(A83=A52+'Summary'!$B$10*12,I52,0)+IF(A83=A53+'Summary'!$B$10*12,I53,0)+IF(A83=A54+'Summary'!$B$10*12,I54,0)+IF(A83=A55+'Summary'!$B$10*12,I55,0)+IF(A83=A56+'Summary'!$B$10*12,I56,0)+IF(A83=A57+'Summary'!$B$10*12,I57,0)+IF(A83=A58+'Summary'!$B$10*12,I58,0)+IF(A83=A59+'Summary'!$B$10*12,I59,0)+IF(A83=A60+'Summary'!$B$10*12,I60,0)+IF(A83=A61+'Summary'!$B$10*12,I61,0)+IF(A83=A62+'Summary'!$B$10*12,I62,0)+IF(A83=A63+'Summary'!$B$10*12,I63,0)+IF(A83=A64+'Summary'!$B$10*12,I64,0)+IF(A83=A65+'Summary'!$B$10*12,I65,0)+IF(A83=A66+'Summary'!$B$10*12,I66,0)+IF(A83=A67+'Summary'!$B$10*12,I67,0)+IF(A83=A68+'Summary'!$B$10*12,I68,0)+IF(A83=A69+'Summary'!$B$10*12,I69,0)+IF(A83=A70+'Summary'!$B$10*12,I70,0)+IF(A83=A71+'Summary'!$B$10*12,I71,0)+IF(A83=A72+'Summary'!$B$10*12,I72,0)+IF(A83=A73+'Summary'!$B$10*12,I73,0)+IF(A83=A74+'Summary'!$B$10*12,I74,0)+IF(A83=A75+'Summary'!$B$10*12,I75,0)+IF(A83=A76+'Summary'!$B$10*12,I76,0)+IF(A83=A77+'Summary'!$B$10*12,I77,0)+IF(A83=A78+'Summary'!$B$10*12,I78,0)+IF(A83=A79+'Summary'!$B$10*12,I79,0)+IF(A83=A80+'Summary'!$B$10*12,I80,0)+IF(A83=A81+'Summary'!$B$10*12,I81,0)+IF(A83=A82+'Summary'!$B$10*12,I82,0)</x:f>
        <x:v>103.754596</x:v>
      </x:c>
      <x:c r="H83" s="62" t="n">
        <x:f>E83+D83+F83+G83</x:f>
        <x:v>228.50560360693368</x:v>
      </x:c>
      <x:c r="I83" s="62" t="n">
        <x:f>IF(B83,IF(H83&gt;='Summary'!$B$12,H83,0),0)</x:f>
        <x:v>228.50560360693368</x:v>
      </x:c>
      <x:c r="J83" s="62" t="n">
        <x:f>H83-I83</x:f>
        <x:v>0</x:v>
      </x:c>
      <x:c r="K83" s="63" t="n">
        <x:f>J83+IF(A8+'Summary'!$B$10*12&gt;A83,I8,0)+IF(A9+'Summary'!$B$10*12&gt;A83,I9,0)+IF(A10+'Summary'!$B$10*12&gt;A83,I10,0)+IF(A11+'Summary'!$B$10*12&gt;A83,I11,0)+IF(A12+'Summary'!$B$10*12&gt;A83,I12,0)+IF(A13+'Summary'!$B$10*12&gt;A83,I13,0)+IF(A14+'Summary'!$B$10*12&gt;A83,I14,0)+IF(A15+'Summary'!$B$10*12&gt;A83,I15,0)+IF(A16+'Summary'!$B$10*12&gt;A83,I16,0)+IF(A17+'Summary'!$B$10*12&gt;A83,I17,0)+IF(A18+'Summary'!$B$10*12&gt;A83,I18,0)+IF(A19+'Summary'!$B$10*12&gt;A83,I19,0)+IF(A20+'Summary'!$B$10*12&gt;A83,I20,0)+IF(A21+'Summary'!$B$10*12&gt;A83,I21,0)+IF(A22+'Summary'!$B$10*12&gt;A83,I22,0)+IF(A23+'Summary'!$B$10*12&gt;A83,I23,0)+IF(A24+'Summary'!$B$10*12&gt;A83,I24,0)+IF(A25+'Summary'!$B$10*12&gt;A83,I25,0)+IF(A26+'Summary'!$B$10*12&gt;A83,I26,0)+IF(A27+'Summary'!$B$10*12&gt;A83,I27,0)+IF(A28+'Summary'!$B$10*12&gt;A83,I28,0)+IF(A29+'Summary'!$B$10*12&gt;A83,I29,0)+IF(A30+'Summary'!$B$10*12&gt;A83,I30,0)+IF(A31+'Summary'!$B$10*12&gt;A83,I31,0)+IF(A32+'Summary'!$B$10*12&gt;A83,I32,0)+IF(A33+'Summary'!$B$10*12&gt;A83,I33,0)+IF(A34+'Summary'!$B$10*12&gt;A83,I34,0)+IF(A35+'Summary'!$B$10*12&gt;A83,I35,0)+IF(A36+'Summary'!$B$10*12&gt;A83,I36,0)+IF(A37+'Summary'!$B$10*12&gt;A83,I37,0)+IF(A38+'Summary'!$B$10*12&gt;A83,I38,0)+IF(A39+'Summary'!$B$10*12&gt;A83,I39,0)+IF(A40+'Summary'!$B$10*12&gt;A83,I40,0)+IF(A41+'Summary'!$B$10*12&gt;A83,I41,0)+IF(A42+'Summary'!$B$10*12&gt;A83,I42,0)+IF(A43+'Summary'!$B$10*12&gt;A83,I43,0)+IF(A44+'Summary'!$B$10*12&gt;A83,I44,0)+IF(A45+'Summary'!$B$10*12&gt;A83,I45,0)+IF(A46+'Summary'!$B$10*12&gt;A83,I46,0)+IF(A47+'Summary'!$B$10*12&gt;A83,I47,0)+IF(A48+'Summary'!$B$10*12&gt;A83,I48,0)+IF(A49+'Summary'!$B$10*12&gt;A83,I49,0)+IF(A50+'Summary'!$B$10*12&gt;A83,I50,0)+IF(A51+'Summary'!$B$10*12&gt;A83,I51,0)+IF(A52+'Summary'!$B$10*12&gt;A83,I52,0)+IF(A53+'Summary'!$B$10*12&gt;A83,I53,0)+IF(A54+'Summary'!$B$10*12&gt;A83,I54,0)+IF(A55+'Summary'!$B$10*12&gt;A83,I55,0)+IF(A56+'Summary'!$B$10*12&gt;A83,I56,0)+IF(A57+'Summary'!$B$10*12&gt;A83,I57,0)+IF(A58+'Summary'!$B$10*12&gt;A83,I58,0)+IF(A59+'Summary'!$B$10*12&gt;A83,I59,0)+IF(A60+'Summary'!$B$10*12&gt;A83,I60,0)+IF(A61+'Summary'!$B$10*12&gt;A83,I61,0)+IF(A62+'Summary'!$B$10*12&gt;A83,I62,0)+IF(A63+'Summary'!$B$10*12&gt;A83,I63,0)+IF(A64+'Summary'!$B$10*12&gt;A83,I64,0)+IF(A65+'Summary'!$B$10*12&gt;A83,I65,0)+IF(A66+'Summary'!$B$10*12&gt;A83,I66,0)+IF(A67+'Summary'!$B$10*12&gt;A83,I67,0)+IF(A68+'Summary'!$B$10*12&gt;A83,I68,0)+IF(A69+'Summary'!$B$10*12&gt;A83,I69,0)+IF(A70+'Summary'!$B$10*12&gt;A83,I70,0)+IF(A71+'Summary'!$B$10*12&gt;A83,I71,0)+IF(A72+'Summary'!$B$10*12&gt;A83,I72,0)+IF(A73+'Summary'!$B$10*12&gt;A83,I73,0)+IF(A74+'Summary'!$B$10*12&gt;A83,I74,0)+IF(A75+'Summary'!$B$10*12&gt;A83,I75,0)+IF(A76+'Summary'!$B$10*12&gt;A83,I76,0)+IF(A77+'Summary'!$B$10*12&gt;A83,I77,0)+IF(A78+'Summary'!$B$10*12&gt;A83,I78,0)+IF(A79+'Summary'!$B$10*12&gt;A83,I79,0)+IF(A80+'Summary'!$B$10*12&gt;A83,I80,0)+IF(A81+'Summary'!$B$10*12&gt;A83,I81,0)+IF(A82+'Summary'!$B$10*12&gt;A83,I82,0)+IF(A83+'Summary'!$B$10*12&gt;A83,I83,0)</x:f>
        <x:v>20958.30079335776</x:v>
      </x:c>
    </x:row>
    <x:row r="84">
      <x:c r="A84" s="55" t="n">
        <x:v>76</x:v>
      </x:c>
      <x:c r="B84" s="71" t="b">
        <x:f>A84&lt;='Summary'!$B$9*12</x:f>
        <x:v>1</x:v>
      </x:c>
      <x:c r="C84" s="62" t="n">
        <x:f>IF(A84=0,IF('Summary'!$B$6&gt;=5,'Summary'!$B$6,0),C83)+IF(A84&lt;'Summary'!$B$9*12,IF('Summary'!$B$7&gt;=5,'Summary'!$B$7,0),0)</x:f>
        <x:v>17700</x:v>
      </x:c>
      <x:c r="D84" s="62" t="n">
        <x:f>IF(A84=0,IF('Summary'!$B$6&gt;=5,'Summary'!$B$6,0),0)+IF(A84&lt;'Summary'!$B$9*12,IF('Summary'!$B$7&gt;=5,'Summary'!$B$7,0),0)</x:f>
        <x:v>100</x:v>
      </x:c>
      <x:c r="E84" s="62" t="n">
        <x:f>J83</x:f>
        <x:v>0</x:v>
      </x:c>
      <x:c r="F84" s="62" t="n">
        <x:f>(IF(AND(A84&gt;A8,A84&lt;=A8+'Summary'!$B$10*12,MOD(A84-A8,'Summary'!$B$11)=0),I8,0)+IF(AND(A84&gt;A9,A84&lt;=A9+'Summary'!$B$10*12,MOD(A84-A9,'Summary'!$B$11)=0),I9,0)+IF(AND(A84&gt;A10,A84&lt;=A10+'Summary'!$B$10*12,MOD(A84-A10,'Summary'!$B$11)=0),I10,0)+IF(AND(A84&gt;A11,A84&lt;=A11+'Summary'!$B$10*12,MOD(A84-A11,'Summary'!$B$11)=0),I11,0)+IF(AND(A84&gt;A12,A84&lt;=A12+'Summary'!$B$10*12,MOD(A84-A12,'Summary'!$B$11)=0),I12,0)+IF(AND(A84&gt;A13,A84&lt;=A13+'Summary'!$B$10*12,MOD(A84-A13,'Summary'!$B$11)=0),I13,0)+IF(AND(A84&gt;A14,A84&lt;=A14+'Summary'!$B$10*12,MOD(A84-A14,'Summary'!$B$11)=0),I14,0)+IF(AND(A84&gt;A15,A84&lt;=A15+'Summary'!$B$10*12,MOD(A84-A15,'Summary'!$B$11)=0),I15,0)+IF(AND(A84&gt;A16,A84&lt;=A16+'Summary'!$B$10*12,MOD(A84-A16,'Summary'!$B$11)=0),I16,0)+IF(AND(A84&gt;A17,A84&lt;=A17+'Summary'!$B$10*12,MOD(A84-A17,'Summary'!$B$11)=0),I17,0)+IF(AND(A84&gt;A18,A84&lt;=A18+'Summary'!$B$10*12,MOD(A84-A18,'Summary'!$B$11)=0),I18,0)+IF(AND(A84&gt;A19,A84&lt;=A19+'Summary'!$B$10*12,MOD(A84-A19,'Summary'!$B$11)=0),I19,0)+IF(AND(A84&gt;A20,A84&lt;=A20+'Summary'!$B$10*12,MOD(A84-A20,'Summary'!$B$11)=0),I20,0)+IF(AND(A84&gt;A21,A84&lt;=A21+'Summary'!$B$10*12,MOD(A84-A21,'Summary'!$B$11)=0),I21,0)+IF(AND(A84&gt;A22,A84&lt;=A22+'Summary'!$B$10*12,MOD(A84-A22,'Summary'!$B$11)=0),I22,0)+IF(AND(A84&gt;A23,A84&lt;=A23+'Summary'!$B$10*12,MOD(A84-A23,'Summary'!$B$11)=0),I23,0)+IF(AND(A84&gt;A24,A84&lt;=A24+'Summary'!$B$10*12,MOD(A84-A24,'Summary'!$B$11)=0),I24,0)+IF(AND(A84&gt;A25,A84&lt;=A25+'Summary'!$B$10*12,MOD(A84-A25,'Summary'!$B$11)=0),I25,0)+IF(AND(A84&gt;A26,A84&lt;=A26+'Summary'!$B$10*12,MOD(A84-A26,'Summary'!$B$11)=0),I26,0)+IF(AND(A84&gt;A27,A84&lt;=A27+'Summary'!$B$10*12,MOD(A84-A27,'Summary'!$B$11)=0),I27,0)+IF(AND(A84&gt;A28,A84&lt;=A28+'Summary'!$B$10*12,MOD(A84-A28,'Summary'!$B$11)=0),I28,0)+IF(AND(A84&gt;A29,A84&lt;=A29+'Summary'!$B$10*12,MOD(A84-A29,'Summary'!$B$11)=0),I29,0)+IF(AND(A84&gt;A30,A84&lt;=A30+'Summary'!$B$10*12,MOD(A84-A30,'Summary'!$B$11)=0),I30,0)+IF(AND(A84&gt;A31,A84&lt;=A31+'Summary'!$B$10*12,MOD(A84-A31,'Summary'!$B$11)=0),I31,0)+IF(AND(A84&gt;A32,A84&lt;=A32+'Summary'!$B$10*12,MOD(A84-A32,'Summary'!$B$11)=0),I32,0)+IF(AND(A84&gt;A33,A84&lt;=A33+'Summary'!$B$10*12,MOD(A84-A33,'Summary'!$B$11)=0),I33,0)+IF(AND(A84&gt;A34,A84&lt;=A34+'Summary'!$B$10*12,MOD(A84-A34,'Summary'!$B$11)=0),I34,0)+IF(AND(A84&gt;A35,A84&lt;=A35+'Summary'!$B$10*12,MOD(A84-A35,'Summary'!$B$11)=0),I35,0)+IF(AND(A84&gt;A36,A84&lt;=A36+'Summary'!$B$10*12,MOD(A84-A36,'Summary'!$B$11)=0),I36,0)+IF(AND(A84&gt;A37,A84&lt;=A37+'Summary'!$B$10*12,MOD(A84-A37,'Summary'!$B$11)=0),I37,0)+IF(AND(A84&gt;A38,A84&lt;=A38+'Summary'!$B$10*12,MOD(A84-A38,'Summary'!$B$11)=0),I38,0)+IF(AND(A84&gt;A39,A84&lt;=A39+'Summary'!$B$10*12,MOD(A84-A39,'Summary'!$B$11)=0),I39,0)+IF(AND(A84&gt;A40,A84&lt;=A40+'Summary'!$B$10*12,MOD(A84-A40,'Summary'!$B$11)=0),I40,0)+IF(AND(A84&gt;A41,A84&lt;=A41+'Summary'!$B$10*12,MOD(A84-A41,'Summary'!$B$11)=0),I41,0)+IF(AND(A84&gt;A42,A84&lt;=A42+'Summary'!$B$10*12,MOD(A84-A42,'Summary'!$B$11)=0),I42,0)+IF(AND(A84&gt;A43,A84&lt;=A43+'Summary'!$B$10*12,MOD(A84-A43,'Summary'!$B$11)=0),I43,0)+IF(AND(A84&gt;A44,A84&lt;=A44+'Summary'!$B$10*12,MOD(A84-A44,'Summary'!$B$11)=0),I44,0)+IF(AND(A84&gt;A45,A84&lt;=A45+'Summary'!$B$10*12,MOD(A84-A45,'Summary'!$B$11)=0),I45,0)+IF(AND(A84&gt;A46,A84&lt;=A46+'Summary'!$B$10*12,MOD(A84-A46,'Summary'!$B$11)=0),I46,0)+IF(AND(A84&gt;A47,A84&lt;=A47+'Summary'!$B$10*12,MOD(A84-A47,'Summary'!$B$11)=0),I47,0)+IF(AND(A84&gt;A48,A84&lt;=A48+'Summary'!$B$10*12,MOD(A84-A48,'Summary'!$B$11)=0),I48,0)+IF(AND(A84&gt;A49,A84&lt;=A49+'Summary'!$B$10*12,MOD(A84-A49,'Summary'!$B$11)=0),I49,0)+IF(AND(A84&gt;A50,A84&lt;=A50+'Summary'!$B$10*12,MOD(A84-A50,'Summary'!$B$11)=0),I50,0)+IF(AND(A84&gt;A51,A84&lt;=A51+'Summary'!$B$10*12,MOD(A84-A51,'Summary'!$B$11)=0),I51,0)+IF(AND(A84&gt;A52,A84&lt;=A52+'Summary'!$B$10*12,MOD(A84-A52,'Summary'!$B$11)=0),I52,0)+IF(AND(A84&gt;A53,A84&lt;=A53+'Summary'!$B$10*12,MOD(A84-A53,'Summary'!$B$11)=0),I53,0)+IF(AND(A84&gt;A54,A84&lt;=A54+'Summary'!$B$10*12,MOD(A84-A54,'Summary'!$B$11)=0),I54,0)+IF(AND(A84&gt;A55,A84&lt;=A55+'Summary'!$B$10*12,MOD(A84-A55,'Summary'!$B$11)=0),I55,0)+IF(AND(A84&gt;A56,A84&lt;=A56+'Summary'!$B$10*12,MOD(A84-A56,'Summary'!$B$11)=0),I56,0)+IF(AND(A84&gt;A57,A84&lt;=A57+'Summary'!$B$10*12,MOD(A84-A57,'Summary'!$B$11)=0),I57,0)+IF(AND(A84&gt;A58,A84&lt;=A58+'Summary'!$B$10*12,MOD(A84-A58,'Summary'!$B$11)=0),I58,0)+IF(AND(A84&gt;A59,A84&lt;=A59+'Summary'!$B$10*12,MOD(A84-A59,'Summary'!$B$11)=0),I59,0)+IF(AND(A84&gt;A60,A84&lt;=A60+'Summary'!$B$10*12,MOD(A84-A60,'Summary'!$B$11)=0),I60,0)+IF(AND(A84&gt;A61,A84&lt;=A61+'Summary'!$B$10*12,MOD(A84-A61,'Summary'!$B$11)=0),I61,0)+IF(AND(A84&gt;A62,A84&lt;=A62+'Summary'!$B$10*12,MOD(A84-A62,'Summary'!$B$11)=0),I62,0)+IF(AND(A84&gt;A63,A84&lt;=A63+'Summary'!$B$10*12,MOD(A84-A63,'Summary'!$B$11)=0),I63,0)+IF(AND(A84&gt;A64,A84&lt;=A64+'Summary'!$B$10*12,MOD(A84-A64,'Summary'!$B$11)=0),I64,0)+IF(AND(A84&gt;A65,A84&lt;=A65+'Summary'!$B$10*12,MOD(A84-A65,'Summary'!$B$11)=0),I65,0)+IF(AND(A84&gt;A66,A84&lt;=A66+'Summary'!$B$10*12,MOD(A84-A66,'Summary'!$B$11)=0),I66,0)+IF(AND(A84&gt;A67,A84&lt;=A67+'Summary'!$B$10*12,MOD(A84-A67,'Summary'!$B$11)=0),I67,0)+IF(AND(A84&gt;A68,A84&lt;=A68+'Summary'!$B$10*12,MOD(A84-A68,'Summary'!$B$11)=0),I68,0)+IF(AND(A84&gt;A69,A84&lt;=A69+'Summary'!$B$10*12,MOD(A84-A69,'Summary'!$B$11)=0),I69,0)+IF(AND(A84&gt;A70,A84&lt;=A70+'Summary'!$B$10*12,MOD(A84-A70,'Summary'!$B$11)=0),I70,0)+IF(AND(A84&gt;A71,A84&lt;=A71+'Summary'!$B$10*12,MOD(A84-A71,'Summary'!$B$11)=0),I71,0)+IF(AND(A84&gt;A72,A84&lt;=A72+'Summary'!$B$10*12,MOD(A84-A72,'Summary'!$B$11)=0),I72,0)+IF(AND(A84&gt;A73,A84&lt;=A73+'Summary'!$B$10*12,MOD(A84-A73,'Summary'!$B$11)=0),I73,0)+IF(AND(A84&gt;A74,A84&lt;=A74+'Summary'!$B$10*12,MOD(A84-A74,'Summary'!$B$11)=0),I74,0)+IF(AND(A84&gt;A75,A84&lt;=A75+'Summary'!$B$10*12,MOD(A84-A75,'Summary'!$B$11)=0),I75,0)+IF(AND(A84&gt;A76,A84&lt;=A76+'Summary'!$B$10*12,MOD(A84-A76,'Summary'!$B$11)=0),I76,0)+IF(AND(A84&gt;A77,A84&lt;=A77+'Summary'!$B$10*12,MOD(A84-A77,'Summary'!$B$11)=0),I77,0)+IF(AND(A84&gt;A78,A84&lt;=A78+'Summary'!$B$10*12,MOD(A84-A78,'Summary'!$B$11)=0),I78,0)+IF(AND(A84&gt;A79,A84&lt;=A79+'Summary'!$B$10*12,MOD(A84-A79,'Summary'!$B$11)=0),I79,0)+IF(AND(A84&gt;A80,A84&lt;=A80+'Summary'!$B$10*12,MOD(A84-A80,'Summary'!$B$11)=0),I80,0)+IF(AND(A84&gt;A81,A84&lt;=A81+'Summary'!$B$10*12,MOD(A84-A81,'Summary'!$B$11)=0),I81,0)+IF(AND(A84&gt;A82,A84&lt;=A82+'Summary'!$B$10*12,MOD(A84-A82,'Summary'!$B$11)=0),I82,0)+IF(AND(A84&gt;A83,A84&lt;=A83+'Summary'!$B$10*12,MOD(A84-A83,'Summary'!$B$11)=0),I83,0))*'Summary'!$B$8/2</x:f>
        <x:v>24.751007606933687</x:v>
      </x:c>
      <x:c r="G84" s="62" t="n">
        <x:f>IF(A84=A8+'Summary'!$B$10*12,I8,0)+IF(A84=A9+'Summary'!$B$10*12,I9,0)+IF(A84=A10+'Summary'!$B$10*12,I10,0)+IF(A84=A11+'Summary'!$B$10*12,I11,0)+IF(A84=A12+'Summary'!$B$10*12,I12,0)+IF(A84=A13+'Summary'!$B$10*12,I13,0)+IF(A84=A14+'Summary'!$B$10*12,I14,0)+IF(A84=A15+'Summary'!$B$10*12,I15,0)+IF(A84=A16+'Summary'!$B$10*12,I16,0)+IF(A84=A17+'Summary'!$B$10*12,I17,0)+IF(A84=A18+'Summary'!$B$10*12,I18,0)+IF(A84=A19+'Summary'!$B$10*12,I19,0)+IF(A84=A20+'Summary'!$B$10*12,I20,0)+IF(A84=A21+'Summary'!$B$10*12,I21,0)+IF(A84=A22+'Summary'!$B$10*12,I22,0)+IF(A84=A23+'Summary'!$B$10*12,I23,0)+IF(A84=A24+'Summary'!$B$10*12,I24,0)+IF(A84=A25+'Summary'!$B$10*12,I25,0)+IF(A84=A26+'Summary'!$B$10*12,I26,0)+IF(A84=A27+'Summary'!$B$10*12,I27,0)+IF(A84=A28+'Summary'!$B$10*12,I28,0)+IF(A84=A29+'Summary'!$B$10*12,I29,0)+IF(A84=A30+'Summary'!$B$10*12,I30,0)+IF(A84=A31+'Summary'!$B$10*12,I31,0)+IF(A84=A32+'Summary'!$B$10*12,I32,0)+IF(A84=A33+'Summary'!$B$10*12,I33,0)+IF(A84=A34+'Summary'!$B$10*12,I34,0)+IF(A84=A35+'Summary'!$B$10*12,I35,0)+IF(A84=A36+'Summary'!$B$10*12,I36,0)+IF(A84=A37+'Summary'!$B$10*12,I37,0)+IF(A84=A38+'Summary'!$B$10*12,I38,0)+IF(A84=A39+'Summary'!$B$10*12,I39,0)+IF(A84=A40+'Summary'!$B$10*12,I40,0)+IF(A84=A41+'Summary'!$B$10*12,I41,0)+IF(A84=A42+'Summary'!$B$10*12,I42,0)+IF(A84=A43+'Summary'!$B$10*12,I43,0)+IF(A84=A44+'Summary'!$B$10*12,I44,0)+IF(A84=A45+'Summary'!$B$10*12,I45,0)+IF(A84=A46+'Summary'!$B$10*12,I46,0)+IF(A84=A47+'Summary'!$B$10*12,I47,0)+IF(A84=A48+'Summary'!$B$10*12,I48,0)+IF(A84=A49+'Summary'!$B$10*12,I49,0)+IF(A84=A50+'Summary'!$B$10*12,I50,0)+IF(A84=A51+'Summary'!$B$10*12,I51,0)+IF(A84=A52+'Summary'!$B$10*12,I52,0)+IF(A84=A53+'Summary'!$B$10*12,I53,0)+IF(A84=A54+'Summary'!$B$10*12,I54,0)+IF(A84=A55+'Summary'!$B$10*12,I55,0)+IF(A84=A56+'Summary'!$B$10*12,I56,0)+IF(A84=A57+'Summary'!$B$10*12,I57,0)+IF(A84=A58+'Summary'!$B$10*12,I58,0)+IF(A84=A59+'Summary'!$B$10*12,I59,0)+IF(A84=A60+'Summary'!$B$10*12,I60,0)+IF(A84=A61+'Summary'!$B$10*12,I61,0)+IF(A84=A62+'Summary'!$B$10*12,I62,0)+IF(A84=A63+'Summary'!$B$10*12,I63,0)+IF(A84=A64+'Summary'!$B$10*12,I64,0)+IF(A84=A65+'Summary'!$B$10*12,I65,0)+IF(A84=A66+'Summary'!$B$10*12,I66,0)+IF(A84=A67+'Summary'!$B$10*12,I67,0)+IF(A84=A68+'Summary'!$B$10*12,I68,0)+IF(A84=A69+'Summary'!$B$10*12,I69,0)+IF(A84=A70+'Summary'!$B$10*12,I70,0)+IF(A84=A71+'Summary'!$B$10*12,I71,0)+IF(A84=A72+'Summary'!$B$10*12,I72,0)+IF(A84=A73+'Summary'!$B$10*12,I73,0)+IF(A84=A74+'Summary'!$B$10*12,I74,0)+IF(A84=A75+'Summary'!$B$10*12,I75,0)+IF(A84=A76+'Summary'!$B$10*12,I76,0)+IF(A84=A77+'Summary'!$B$10*12,I77,0)+IF(A84=A78+'Summary'!$B$10*12,I78,0)+IF(A84=A79+'Summary'!$B$10*12,I79,0)+IF(A84=A80+'Summary'!$B$10*12,I80,0)+IF(A84=A81+'Summary'!$B$10*12,I81,0)+IF(A84=A82+'Summary'!$B$10*12,I82,0)+IF(A84=A83+'Summary'!$B$10*12,I83,0)</x:f>
        <x:v>103.754596</x:v>
      </x:c>
      <x:c r="H84" s="62" t="n">
        <x:f>E84+D84+F84+G84</x:f>
        <x:v>228.50560360693368</x:v>
      </x:c>
      <x:c r="I84" s="62" t="n">
        <x:f>IF(B84,IF(H84&gt;='Summary'!$B$12,H84,0),0)</x:f>
        <x:v>228.50560360693368</x:v>
      </x:c>
      <x:c r="J84" s="62" t="n">
        <x:f>H84-I84</x:f>
        <x:v>0</x:v>
      </x:c>
      <x:c r="K84" s="63" t="n">
        <x:f>J84+IF(A8+'Summary'!$B$10*12&gt;A84,I8,0)+IF(A9+'Summary'!$B$10*12&gt;A84,I9,0)+IF(A10+'Summary'!$B$10*12&gt;A84,I10,0)+IF(A11+'Summary'!$B$10*12&gt;A84,I11,0)+IF(A12+'Summary'!$B$10*12&gt;A84,I12,0)+IF(A13+'Summary'!$B$10*12&gt;A84,I13,0)+IF(A14+'Summary'!$B$10*12&gt;A84,I14,0)+IF(A15+'Summary'!$B$10*12&gt;A84,I15,0)+IF(A16+'Summary'!$B$10*12&gt;A84,I16,0)+IF(A17+'Summary'!$B$10*12&gt;A84,I17,0)+IF(A18+'Summary'!$B$10*12&gt;A84,I18,0)+IF(A19+'Summary'!$B$10*12&gt;A84,I19,0)+IF(A20+'Summary'!$B$10*12&gt;A84,I20,0)+IF(A21+'Summary'!$B$10*12&gt;A84,I21,0)+IF(A22+'Summary'!$B$10*12&gt;A84,I22,0)+IF(A23+'Summary'!$B$10*12&gt;A84,I23,0)+IF(A24+'Summary'!$B$10*12&gt;A84,I24,0)+IF(A25+'Summary'!$B$10*12&gt;A84,I25,0)+IF(A26+'Summary'!$B$10*12&gt;A84,I26,0)+IF(A27+'Summary'!$B$10*12&gt;A84,I27,0)+IF(A28+'Summary'!$B$10*12&gt;A84,I28,0)+IF(A29+'Summary'!$B$10*12&gt;A84,I29,0)+IF(A30+'Summary'!$B$10*12&gt;A84,I30,0)+IF(A31+'Summary'!$B$10*12&gt;A84,I31,0)+IF(A32+'Summary'!$B$10*12&gt;A84,I32,0)+IF(A33+'Summary'!$B$10*12&gt;A84,I33,0)+IF(A34+'Summary'!$B$10*12&gt;A84,I34,0)+IF(A35+'Summary'!$B$10*12&gt;A84,I35,0)+IF(A36+'Summary'!$B$10*12&gt;A84,I36,0)+IF(A37+'Summary'!$B$10*12&gt;A84,I37,0)+IF(A38+'Summary'!$B$10*12&gt;A84,I38,0)+IF(A39+'Summary'!$B$10*12&gt;A84,I39,0)+IF(A40+'Summary'!$B$10*12&gt;A84,I40,0)+IF(A41+'Summary'!$B$10*12&gt;A84,I41,0)+IF(A42+'Summary'!$B$10*12&gt;A84,I42,0)+IF(A43+'Summary'!$B$10*12&gt;A84,I43,0)+IF(A44+'Summary'!$B$10*12&gt;A84,I44,0)+IF(A45+'Summary'!$B$10*12&gt;A84,I45,0)+IF(A46+'Summary'!$B$10*12&gt;A84,I46,0)+IF(A47+'Summary'!$B$10*12&gt;A84,I47,0)+IF(A48+'Summary'!$B$10*12&gt;A84,I48,0)+IF(A49+'Summary'!$B$10*12&gt;A84,I49,0)+IF(A50+'Summary'!$B$10*12&gt;A84,I50,0)+IF(A51+'Summary'!$B$10*12&gt;A84,I51,0)+IF(A52+'Summary'!$B$10*12&gt;A84,I52,0)+IF(A53+'Summary'!$B$10*12&gt;A84,I53,0)+IF(A54+'Summary'!$B$10*12&gt;A84,I54,0)+IF(A55+'Summary'!$B$10*12&gt;A84,I55,0)+IF(A56+'Summary'!$B$10*12&gt;A84,I56,0)+IF(A57+'Summary'!$B$10*12&gt;A84,I57,0)+IF(A58+'Summary'!$B$10*12&gt;A84,I58,0)+IF(A59+'Summary'!$B$10*12&gt;A84,I59,0)+IF(A60+'Summary'!$B$10*12&gt;A84,I60,0)+IF(A61+'Summary'!$B$10*12&gt;A84,I61,0)+IF(A62+'Summary'!$B$10*12&gt;A84,I62,0)+IF(A63+'Summary'!$B$10*12&gt;A84,I63,0)+IF(A64+'Summary'!$B$10*12&gt;A84,I64,0)+IF(A65+'Summary'!$B$10*12&gt;A84,I65,0)+IF(A66+'Summary'!$B$10*12&gt;A84,I66,0)+IF(A67+'Summary'!$B$10*12&gt;A84,I67,0)+IF(A68+'Summary'!$B$10*12&gt;A84,I68,0)+IF(A69+'Summary'!$B$10*12&gt;A84,I69,0)+IF(A70+'Summary'!$B$10*12&gt;A84,I70,0)+IF(A71+'Summary'!$B$10*12&gt;A84,I71,0)+IF(A72+'Summary'!$B$10*12&gt;A84,I72,0)+IF(A73+'Summary'!$B$10*12&gt;A84,I73,0)+IF(A74+'Summary'!$B$10*12&gt;A84,I74,0)+IF(A75+'Summary'!$B$10*12&gt;A84,I75,0)+IF(A76+'Summary'!$B$10*12&gt;A84,I76,0)+IF(A77+'Summary'!$B$10*12&gt;A84,I77,0)+IF(A78+'Summary'!$B$10*12&gt;A84,I78,0)+IF(A79+'Summary'!$B$10*12&gt;A84,I79,0)+IF(A80+'Summary'!$B$10*12&gt;A84,I80,0)+IF(A81+'Summary'!$B$10*12&gt;A84,I81,0)+IF(A82+'Summary'!$B$10*12&gt;A84,I82,0)+IF(A83+'Summary'!$B$10*12&gt;A84,I83,0)+IF(A84+'Summary'!$B$10*12&gt;A84,I84,0)</x:f>
        <x:v>21083.05180096469</x:v>
      </x:c>
    </x:row>
    <x:row r="85">
      <x:c r="A85" s="55" t="n">
        <x:v>77</x:v>
      </x:c>
      <x:c r="B85" s="71" t="b">
        <x:f>A85&lt;='Summary'!$B$9*12</x:f>
        <x:v>1</x:v>
      </x:c>
      <x:c r="C85" s="62" t="n">
        <x:f>IF(A85=0,IF('Summary'!$B$6&gt;=5,'Summary'!$B$6,0),C84)+IF(A85&lt;'Summary'!$B$9*12,IF('Summary'!$B$7&gt;=5,'Summary'!$B$7,0),0)</x:f>
        <x:v>17800</x:v>
      </x:c>
      <x:c r="D85" s="62" t="n">
        <x:f>IF(A85=0,IF('Summary'!$B$6&gt;=5,'Summary'!$B$6,0),0)+IF(A85&lt;'Summary'!$B$9*12,IF('Summary'!$B$7&gt;=5,'Summary'!$B$7,0),0)</x:f>
        <x:v>100</x:v>
      </x:c>
      <x:c r="E85" s="62" t="n">
        <x:f>J84</x:f>
        <x:v>0</x:v>
      </x:c>
      <x:c r="F85" s="62" t="n">
        <x:f>(IF(AND(A85&gt;A8,A85&lt;=A8+'Summary'!$B$10*12,MOD(A85-A8,'Summary'!$B$11)=0),I8,0)+IF(AND(A85&gt;A9,A85&lt;=A9+'Summary'!$B$10*12,MOD(A85-A9,'Summary'!$B$11)=0),I9,0)+IF(AND(A85&gt;A10,A85&lt;=A10+'Summary'!$B$10*12,MOD(A85-A10,'Summary'!$B$11)=0),I10,0)+IF(AND(A85&gt;A11,A85&lt;=A11+'Summary'!$B$10*12,MOD(A85-A11,'Summary'!$B$11)=0),I11,0)+IF(AND(A85&gt;A12,A85&lt;=A12+'Summary'!$B$10*12,MOD(A85-A12,'Summary'!$B$11)=0),I12,0)+IF(AND(A85&gt;A13,A85&lt;=A13+'Summary'!$B$10*12,MOD(A85-A13,'Summary'!$B$11)=0),I13,0)+IF(AND(A85&gt;A14,A85&lt;=A14+'Summary'!$B$10*12,MOD(A85-A14,'Summary'!$B$11)=0),I14,0)+IF(AND(A85&gt;A15,A85&lt;=A15+'Summary'!$B$10*12,MOD(A85-A15,'Summary'!$B$11)=0),I15,0)+IF(AND(A85&gt;A16,A85&lt;=A16+'Summary'!$B$10*12,MOD(A85-A16,'Summary'!$B$11)=0),I16,0)+IF(AND(A85&gt;A17,A85&lt;=A17+'Summary'!$B$10*12,MOD(A85-A17,'Summary'!$B$11)=0),I17,0)+IF(AND(A85&gt;A18,A85&lt;=A18+'Summary'!$B$10*12,MOD(A85-A18,'Summary'!$B$11)=0),I18,0)+IF(AND(A85&gt;A19,A85&lt;=A19+'Summary'!$B$10*12,MOD(A85-A19,'Summary'!$B$11)=0),I19,0)+IF(AND(A85&gt;A20,A85&lt;=A20+'Summary'!$B$10*12,MOD(A85-A20,'Summary'!$B$11)=0),I20,0)+IF(AND(A85&gt;A21,A85&lt;=A21+'Summary'!$B$10*12,MOD(A85-A21,'Summary'!$B$11)=0),I21,0)+IF(AND(A85&gt;A22,A85&lt;=A22+'Summary'!$B$10*12,MOD(A85-A22,'Summary'!$B$11)=0),I22,0)+IF(AND(A85&gt;A23,A85&lt;=A23+'Summary'!$B$10*12,MOD(A85-A23,'Summary'!$B$11)=0),I23,0)+IF(AND(A85&gt;A24,A85&lt;=A24+'Summary'!$B$10*12,MOD(A85-A24,'Summary'!$B$11)=0),I24,0)+IF(AND(A85&gt;A25,A85&lt;=A25+'Summary'!$B$10*12,MOD(A85-A25,'Summary'!$B$11)=0),I25,0)+IF(AND(A85&gt;A26,A85&lt;=A26+'Summary'!$B$10*12,MOD(A85-A26,'Summary'!$B$11)=0),I26,0)+IF(AND(A85&gt;A27,A85&lt;=A27+'Summary'!$B$10*12,MOD(A85-A27,'Summary'!$B$11)=0),I27,0)+IF(AND(A85&gt;A28,A85&lt;=A28+'Summary'!$B$10*12,MOD(A85-A28,'Summary'!$B$11)=0),I28,0)+IF(AND(A85&gt;A29,A85&lt;=A29+'Summary'!$B$10*12,MOD(A85-A29,'Summary'!$B$11)=0),I29,0)+IF(AND(A85&gt;A30,A85&lt;=A30+'Summary'!$B$10*12,MOD(A85-A30,'Summary'!$B$11)=0),I30,0)+IF(AND(A85&gt;A31,A85&lt;=A31+'Summary'!$B$10*12,MOD(A85-A31,'Summary'!$B$11)=0),I31,0)+IF(AND(A85&gt;A32,A85&lt;=A32+'Summary'!$B$10*12,MOD(A85-A32,'Summary'!$B$11)=0),I32,0)+IF(AND(A85&gt;A33,A85&lt;=A33+'Summary'!$B$10*12,MOD(A85-A33,'Summary'!$B$11)=0),I33,0)+IF(AND(A85&gt;A34,A85&lt;=A34+'Summary'!$B$10*12,MOD(A85-A34,'Summary'!$B$11)=0),I34,0)+IF(AND(A85&gt;A35,A85&lt;=A35+'Summary'!$B$10*12,MOD(A85-A35,'Summary'!$B$11)=0),I35,0)+IF(AND(A85&gt;A36,A85&lt;=A36+'Summary'!$B$10*12,MOD(A85-A36,'Summary'!$B$11)=0),I36,0)+IF(AND(A85&gt;A37,A85&lt;=A37+'Summary'!$B$10*12,MOD(A85-A37,'Summary'!$B$11)=0),I37,0)+IF(AND(A85&gt;A38,A85&lt;=A38+'Summary'!$B$10*12,MOD(A85-A38,'Summary'!$B$11)=0),I38,0)+IF(AND(A85&gt;A39,A85&lt;=A39+'Summary'!$B$10*12,MOD(A85-A39,'Summary'!$B$11)=0),I39,0)+IF(AND(A85&gt;A40,A85&lt;=A40+'Summary'!$B$10*12,MOD(A85-A40,'Summary'!$B$11)=0),I40,0)+IF(AND(A85&gt;A41,A85&lt;=A41+'Summary'!$B$10*12,MOD(A85-A41,'Summary'!$B$11)=0),I41,0)+IF(AND(A85&gt;A42,A85&lt;=A42+'Summary'!$B$10*12,MOD(A85-A42,'Summary'!$B$11)=0),I42,0)+IF(AND(A85&gt;A43,A85&lt;=A43+'Summary'!$B$10*12,MOD(A85-A43,'Summary'!$B$11)=0),I43,0)+IF(AND(A85&gt;A44,A85&lt;=A44+'Summary'!$B$10*12,MOD(A85-A44,'Summary'!$B$11)=0),I44,0)+IF(AND(A85&gt;A45,A85&lt;=A45+'Summary'!$B$10*12,MOD(A85-A45,'Summary'!$B$11)=0),I45,0)+IF(AND(A85&gt;A46,A85&lt;=A46+'Summary'!$B$10*12,MOD(A85-A46,'Summary'!$B$11)=0),I46,0)+IF(AND(A85&gt;A47,A85&lt;=A47+'Summary'!$B$10*12,MOD(A85-A47,'Summary'!$B$11)=0),I47,0)+IF(AND(A85&gt;A48,A85&lt;=A48+'Summary'!$B$10*12,MOD(A85-A48,'Summary'!$B$11)=0),I48,0)+IF(AND(A85&gt;A49,A85&lt;=A49+'Summary'!$B$10*12,MOD(A85-A49,'Summary'!$B$11)=0),I49,0)+IF(AND(A85&gt;A50,A85&lt;=A50+'Summary'!$B$10*12,MOD(A85-A50,'Summary'!$B$11)=0),I50,0)+IF(AND(A85&gt;A51,A85&lt;=A51+'Summary'!$B$10*12,MOD(A85-A51,'Summary'!$B$11)=0),I51,0)+IF(AND(A85&gt;A52,A85&lt;=A52+'Summary'!$B$10*12,MOD(A85-A52,'Summary'!$B$11)=0),I52,0)+IF(AND(A85&gt;A53,A85&lt;=A53+'Summary'!$B$10*12,MOD(A85-A53,'Summary'!$B$11)=0),I53,0)+IF(AND(A85&gt;A54,A85&lt;=A54+'Summary'!$B$10*12,MOD(A85-A54,'Summary'!$B$11)=0),I54,0)+IF(AND(A85&gt;A55,A85&lt;=A55+'Summary'!$B$10*12,MOD(A85-A55,'Summary'!$B$11)=0),I55,0)+IF(AND(A85&gt;A56,A85&lt;=A56+'Summary'!$B$10*12,MOD(A85-A56,'Summary'!$B$11)=0),I56,0)+IF(AND(A85&gt;A57,A85&lt;=A57+'Summary'!$B$10*12,MOD(A85-A57,'Summary'!$B$11)=0),I57,0)+IF(AND(A85&gt;A58,A85&lt;=A58+'Summary'!$B$10*12,MOD(A85-A58,'Summary'!$B$11)=0),I58,0)+IF(AND(A85&gt;A59,A85&lt;=A59+'Summary'!$B$10*12,MOD(A85-A59,'Summary'!$B$11)=0),I59,0)+IF(AND(A85&gt;A60,A85&lt;=A60+'Summary'!$B$10*12,MOD(A85-A60,'Summary'!$B$11)=0),I60,0)+IF(AND(A85&gt;A61,A85&lt;=A61+'Summary'!$B$10*12,MOD(A85-A61,'Summary'!$B$11)=0),I61,0)+IF(AND(A85&gt;A62,A85&lt;=A62+'Summary'!$B$10*12,MOD(A85-A62,'Summary'!$B$11)=0),I62,0)+IF(AND(A85&gt;A63,A85&lt;=A63+'Summary'!$B$10*12,MOD(A85-A63,'Summary'!$B$11)=0),I63,0)+IF(AND(A85&gt;A64,A85&lt;=A64+'Summary'!$B$10*12,MOD(A85-A64,'Summary'!$B$11)=0),I64,0)+IF(AND(A85&gt;A65,A85&lt;=A65+'Summary'!$B$10*12,MOD(A85-A65,'Summary'!$B$11)=0),I65,0)+IF(AND(A85&gt;A66,A85&lt;=A66+'Summary'!$B$10*12,MOD(A85-A66,'Summary'!$B$11)=0),I66,0)+IF(AND(A85&gt;A67,A85&lt;=A67+'Summary'!$B$10*12,MOD(A85-A67,'Summary'!$B$11)=0),I67,0)+IF(AND(A85&gt;A68,A85&lt;=A68+'Summary'!$B$10*12,MOD(A85-A68,'Summary'!$B$11)=0),I68,0)+IF(AND(A85&gt;A69,A85&lt;=A69+'Summary'!$B$10*12,MOD(A85-A69,'Summary'!$B$11)=0),I69,0)+IF(AND(A85&gt;A70,A85&lt;=A70+'Summary'!$B$10*12,MOD(A85-A70,'Summary'!$B$11)=0),I70,0)+IF(AND(A85&gt;A71,A85&lt;=A71+'Summary'!$B$10*12,MOD(A85-A71,'Summary'!$B$11)=0),I71,0)+IF(AND(A85&gt;A72,A85&lt;=A72+'Summary'!$B$10*12,MOD(A85-A72,'Summary'!$B$11)=0),I72,0)+IF(AND(A85&gt;A73,A85&lt;=A73+'Summary'!$B$10*12,MOD(A85-A73,'Summary'!$B$11)=0),I73,0)+IF(AND(A85&gt;A74,A85&lt;=A74+'Summary'!$B$10*12,MOD(A85-A74,'Summary'!$B$11)=0),I74,0)+IF(AND(A85&gt;A75,A85&lt;=A75+'Summary'!$B$10*12,MOD(A85-A75,'Summary'!$B$11)=0),I75,0)+IF(AND(A85&gt;A76,A85&lt;=A76+'Summary'!$B$10*12,MOD(A85-A76,'Summary'!$B$11)=0),I76,0)+IF(AND(A85&gt;A77,A85&lt;=A77+'Summary'!$B$10*12,MOD(A85-A77,'Summary'!$B$11)=0),I77,0)+IF(AND(A85&gt;A78,A85&lt;=A78+'Summary'!$B$10*12,MOD(A85-A78,'Summary'!$B$11)=0),I78,0)+IF(AND(A85&gt;A79,A85&lt;=A79+'Summary'!$B$10*12,MOD(A85-A79,'Summary'!$B$11)=0),I79,0)+IF(AND(A85&gt;A80,A85&lt;=A80+'Summary'!$B$10*12,MOD(A85-A80,'Summary'!$B$11)=0),I80,0)+IF(AND(A85&gt;A81,A85&lt;=A81+'Summary'!$B$10*12,MOD(A85-A81,'Summary'!$B$11)=0),I81,0)+IF(AND(A85&gt;A82,A85&lt;=A82+'Summary'!$B$10*12,MOD(A85-A82,'Summary'!$B$11)=0),I82,0)+IF(AND(A85&gt;A83,A85&lt;=A83+'Summary'!$B$10*12,MOD(A85-A83,'Summary'!$B$11)=0),I83,0)+IF(AND(A85&gt;A84,A85&lt;=A84+'Summary'!$B$10*12,MOD(A85-A84,'Summary'!$B$11)=0),I84,0))*'Summary'!$B$8/2</x:f>
        <x:v>24.751007606933687</x:v>
      </x:c>
      <x:c r="G85" s="62" t="n">
        <x:f>IF(A85=A8+'Summary'!$B$10*12,I8,0)+IF(A85=A9+'Summary'!$B$10*12,I9,0)+IF(A85=A10+'Summary'!$B$10*12,I10,0)+IF(A85=A11+'Summary'!$B$10*12,I11,0)+IF(A85=A12+'Summary'!$B$10*12,I12,0)+IF(A85=A13+'Summary'!$B$10*12,I13,0)+IF(A85=A14+'Summary'!$B$10*12,I14,0)+IF(A85=A15+'Summary'!$B$10*12,I15,0)+IF(A85=A16+'Summary'!$B$10*12,I16,0)+IF(A85=A17+'Summary'!$B$10*12,I17,0)+IF(A85=A18+'Summary'!$B$10*12,I18,0)+IF(A85=A19+'Summary'!$B$10*12,I19,0)+IF(A85=A20+'Summary'!$B$10*12,I20,0)+IF(A85=A21+'Summary'!$B$10*12,I21,0)+IF(A85=A22+'Summary'!$B$10*12,I22,0)+IF(A85=A23+'Summary'!$B$10*12,I23,0)+IF(A85=A24+'Summary'!$B$10*12,I24,0)+IF(A85=A25+'Summary'!$B$10*12,I25,0)+IF(A85=A26+'Summary'!$B$10*12,I26,0)+IF(A85=A27+'Summary'!$B$10*12,I27,0)+IF(A85=A28+'Summary'!$B$10*12,I28,0)+IF(A85=A29+'Summary'!$B$10*12,I29,0)+IF(A85=A30+'Summary'!$B$10*12,I30,0)+IF(A85=A31+'Summary'!$B$10*12,I31,0)+IF(A85=A32+'Summary'!$B$10*12,I32,0)+IF(A85=A33+'Summary'!$B$10*12,I33,0)+IF(A85=A34+'Summary'!$B$10*12,I34,0)+IF(A85=A35+'Summary'!$B$10*12,I35,0)+IF(A85=A36+'Summary'!$B$10*12,I36,0)+IF(A85=A37+'Summary'!$B$10*12,I37,0)+IF(A85=A38+'Summary'!$B$10*12,I38,0)+IF(A85=A39+'Summary'!$B$10*12,I39,0)+IF(A85=A40+'Summary'!$B$10*12,I40,0)+IF(A85=A41+'Summary'!$B$10*12,I41,0)+IF(A85=A42+'Summary'!$B$10*12,I42,0)+IF(A85=A43+'Summary'!$B$10*12,I43,0)+IF(A85=A44+'Summary'!$B$10*12,I44,0)+IF(A85=A45+'Summary'!$B$10*12,I45,0)+IF(A85=A46+'Summary'!$B$10*12,I46,0)+IF(A85=A47+'Summary'!$B$10*12,I47,0)+IF(A85=A48+'Summary'!$B$10*12,I48,0)+IF(A85=A49+'Summary'!$B$10*12,I49,0)+IF(A85=A50+'Summary'!$B$10*12,I50,0)+IF(A85=A51+'Summary'!$B$10*12,I51,0)+IF(A85=A52+'Summary'!$B$10*12,I52,0)+IF(A85=A53+'Summary'!$B$10*12,I53,0)+IF(A85=A54+'Summary'!$B$10*12,I54,0)+IF(A85=A55+'Summary'!$B$10*12,I55,0)+IF(A85=A56+'Summary'!$B$10*12,I56,0)+IF(A85=A57+'Summary'!$B$10*12,I57,0)+IF(A85=A58+'Summary'!$B$10*12,I58,0)+IF(A85=A59+'Summary'!$B$10*12,I59,0)+IF(A85=A60+'Summary'!$B$10*12,I60,0)+IF(A85=A61+'Summary'!$B$10*12,I61,0)+IF(A85=A62+'Summary'!$B$10*12,I62,0)+IF(A85=A63+'Summary'!$B$10*12,I63,0)+IF(A85=A64+'Summary'!$B$10*12,I64,0)+IF(A85=A65+'Summary'!$B$10*12,I65,0)+IF(A85=A66+'Summary'!$B$10*12,I66,0)+IF(A85=A67+'Summary'!$B$10*12,I67,0)+IF(A85=A68+'Summary'!$B$10*12,I68,0)+IF(A85=A69+'Summary'!$B$10*12,I69,0)+IF(A85=A70+'Summary'!$B$10*12,I70,0)+IF(A85=A71+'Summary'!$B$10*12,I71,0)+IF(A85=A72+'Summary'!$B$10*12,I72,0)+IF(A85=A73+'Summary'!$B$10*12,I73,0)+IF(A85=A74+'Summary'!$B$10*12,I74,0)+IF(A85=A75+'Summary'!$B$10*12,I75,0)+IF(A85=A76+'Summary'!$B$10*12,I76,0)+IF(A85=A77+'Summary'!$B$10*12,I77,0)+IF(A85=A78+'Summary'!$B$10*12,I78,0)+IF(A85=A79+'Summary'!$B$10*12,I79,0)+IF(A85=A80+'Summary'!$B$10*12,I80,0)+IF(A85=A81+'Summary'!$B$10*12,I81,0)+IF(A85=A82+'Summary'!$B$10*12,I82,0)+IF(A85=A83+'Summary'!$B$10*12,I83,0)+IF(A85=A84+'Summary'!$B$10*12,I84,0)</x:f>
        <x:v>103.754596</x:v>
      </x:c>
      <x:c r="H85" s="62" t="n">
        <x:f>E85+D85+F85+G85</x:f>
        <x:v>228.50560360693368</x:v>
      </x:c>
      <x:c r="I85" s="62" t="n">
        <x:f>IF(B85,IF(H85&gt;='Summary'!$B$12,H85,0),0)</x:f>
        <x:v>228.50560360693368</x:v>
      </x:c>
      <x:c r="J85" s="62" t="n">
        <x:f>H85-I85</x:f>
        <x:v>0</x:v>
      </x:c>
      <x:c r="K85" s="63" t="n">
        <x:f>J85+IF(A8+'Summary'!$B$10*12&gt;A85,I8,0)+IF(A9+'Summary'!$B$10*12&gt;A85,I9,0)+IF(A10+'Summary'!$B$10*12&gt;A85,I10,0)+IF(A11+'Summary'!$B$10*12&gt;A85,I11,0)+IF(A12+'Summary'!$B$10*12&gt;A85,I12,0)+IF(A13+'Summary'!$B$10*12&gt;A85,I13,0)+IF(A14+'Summary'!$B$10*12&gt;A85,I14,0)+IF(A15+'Summary'!$B$10*12&gt;A85,I15,0)+IF(A16+'Summary'!$B$10*12&gt;A85,I16,0)+IF(A17+'Summary'!$B$10*12&gt;A85,I17,0)+IF(A18+'Summary'!$B$10*12&gt;A85,I18,0)+IF(A19+'Summary'!$B$10*12&gt;A85,I19,0)+IF(A20+'Summary'!$B$10*12&gt;A85,I20,0)+IF(A21+'Summary'!$B$10*12&gt;A85,I21,0)+IF(A22+'Summary'!$B$10*12&gt;A85,I22,0)+IF(A23+'Summary'!$B$10*12&gt;A85,I23,0)+IF(A24+'Summary'!$B$10*12&gt;A85,I24,0)+IF(A25+'Summary'!$B$10*12&gt;A85,I25,0)+IF(A26+'Summary'!$B$10*12&gt;A85,I26,0)+IF(A27+'Summary'!$B$10*12&gt;A85,I27,0)+IF(A28+'Summary'!$B$10*12&gt;A85,I28,0)+IF(A29+'Summary'!$B$10*12&gt;A85,I29,0)+IF(A30+'Summary'!$B$10*12&gt;A85,I30,0)+IF(A31+'Summary'!$B$10*12&gt;A85,I31,0)+IF(A32+'Summary'!$B$10*12&gt;A85,I32,0)+IF(A33+'Summary'!$B$10*12&gt;A85,I33,0)+IF(A34+'Summary'!$B$10*12&gt;A85,I34,0)+IF(A35+'Summary'!$B$10*12&gt;A85,I35,0)+IF(A36+'Summary'!$B$10*12&gt;A85,I36,0)+IF(A37+'Summary'!$B$10*12&gt;A85,I37,0)+IF(A38+'Summary'!$B$10*12&gt;A85,I38,0)+IF(A39+'Summary'!$B$10*12&gt;A85,I39,0)+IF(A40+'Summary'!$B$10*12&gt;A85,I40,0)+IF(A41+'Summary'!$B$10*12&gt;A85,I41,0)+IF(A42+'Summary'!$B$10*12&gt;A85,I42,0)+IF(A43+'Summary'!$B$10*12&gt;A85,I43,0)+IF(A44+'Summary'!$B$10*12&gt;A85,I44,0)+IF(A45+'Summary'!$B$10*12&gt;A85,I45,0)+IF(A46+'Summary'!$B$10*12&gt;A85,I46,0)+IF(A47+'Summary'!$B$10*12&gt;A85,I47,0)+IF(A48+'Summary'!$B$10*12&gt;A85,I48,0)+IF(A49+'Summary'!$B$10*12&gt;A85,I49,0)+IF(A50+'Summary'!$B$10*12&gt;A85,I50,0)+IF(A51+'Summary'!$B$10*12&gt;A85,I51,0)+IF(A52+'Summary'!$B$10*12&gt;A85,I52,0)+IF(A53+'Summary'!$B$10*12&gt;A85,I53,0)+IF(A54+'Summary'!$B$10*12&gt;A85,I54,0)+IF(A55+'Summary'!$B$10*12&gt;A85,I55,0)+IF(A56+'Summary'!$B$10*12&gt;A85,I56,0)+IF(A57+'Summary'!$B$10*12&gt;A85,I57,0)+IF(A58+'Summary'!$B$10*12&gt;A85,I58,0)+IF(A59+'Summary'!$B$10*12&gt;A85,I59,0)+IF(A60+'Summary'!$B$10*12&gt;A85,I60,0)+IF(A61+'Summary'!$B$10*12&gt;A85,I61,0)+IF(A62+'Summary'!$B$10*12&gt;A85,I62,0)+IF(A63+'Summary'!$B$10*12&gt;A85,I63,0)+IF(A64+'Summary'!$B$10*12&gt;A85,I64,0)+IF(A65+'Summary'!$B$10*12&gt;A85,I65,0)+IF(A66+'Summary'!$B$10*12&gt;A85,I66,0)+IF(A67+'Summary'!$B$10*12&gt;A85,I67,0)+IF(A68+'Summary'!$B$10*12&gt;A85,I68,0)+IF(A69+'Summary'!$B$10*12&gt;A85,I69,0)+IF(A70+'Summary'!$B$10*12&gt;A85,I70,0)+IF(A71+'Summary'!$B$10*12&gt;A85,I71,0)+IF(A72+'Summary'!$B$10*12&gt;A85,I72,0)+IF(A73+'Summary'!$B$10*12&gt;A85,I73,0)+IF(A74+'Summary'!$B$10*12&gt;A85,I74,0)+IF(A75+'Summary'!$B$10*12&gt;A85,I75,0)+IF(A76+'Summary'!$B$10*12&gt;A85,I76,0)+IF(A77+'Summary'!$B$10*12&gt;A85,I77,0)+IF(A78+'Summary'!$B$10*12&gt;A85,I78,0)+IF(A79+'Summary'!$B$10*12&gt;A85,I79,0)+IF(A80+'Summary'!$B$10*12&gt;A85,I80,0)+IF(A81+'Summary'!$B$10*12&gt;A85,I81,0)+IF(A82+'Summary'!$B$10*12&gt;A85,I82,0)+IF(A83+'Summary'!$B$10*12&gt;A85,I83,0)+IF(A84+'Summary'!$B$10*12&gt;A85,I84,0)+IF(A85+'Summary'!$B$10*12&gt;A85,I85,0)</x:f>
        <x:v>21207.802808571625</x:v>
      </x:c>
    </x:row>
    <x:row r="86">
      <x:c r="A86" s="55" t="n">
        <x:v>78</x:v>
      </x:c>
      <x:c r="B86" s="71" t="b">
        <x:f>A86&lt;='Summary'!$B$9*12</x:f>
        <x:v>1</x:v>
      </x:c>
      <x:c r="C86" s="62" t="n">
        <x:f>IF(A86=0,IF('Summary'!$B$6&gt;=5,'Summary'!$B$6,0),C85)+IF(A86&lt;'Summary'!$B$9*12,IF('Summary'!$B$7&gt;=5,'Summary'!$B$7,0),0)</x:f>
        <x:v>17900</x:v>
      </x:c>
      <x:c r="D86" s="62" t="n">
        <x:f>IF(A86=0,IF('Summary'!$B$6&gt;=5,'Summary'!$B$6,0),0)+IF(A86&lt;'Summary'!$B$9*12,IF('Summary'!$B$7&gt;=5,'Summary'!$B$7,0),0)</x:f>
        <x:v>100</x:v>
      </x:c>
      <x:c r="E86" s="62" t="n">
        <x:f>J85</x:f>
        <x:v>0</x:v>
      </x:c>
      <x:c r="F86" s="62" t="n">
        <x:f>(IF(AND(A86&gt;A8,A86&lt;=A8+'Summary'!$B$10*12,MOD(A86-A8,'Summary'!$B$11)=0),I8,0)+IF(AND(A86&gt;A9,A86&lt;=A9+'Summary'!$B$10*12,MOD(A86-A9,'Summary'!$B$11)=0),I9,0)+IF(AND(A86&gt;A10,A86&lt;=A10+'Summary'!$B$10*12,MOD(A86-A10,'Summary'!$B$11)=0),I10,0)+IF(AND(A86&gt;A11,A86&lt;=A11+'Summary'!$B$10*12,MOD(A86-A11,'Summary'!$B$11)=0),I11,0)+IF(AND(A86&gt;A12,A86&lt;=A12+'Summary'!$B$10*12,MOD(A86-A12,'Summary'!$B$11)=0),I12,0)+IF(AND(A86&gt;A13,A86&lt;=A13+'Summary'!$B$10*12,MOD(A86-A13,'Summary'!$B$11)=0),I13,0)+IF(AND(A86&gt;A14,A86&lt;=A14+'Summary'!$B$10*12,MOD(A86-A14,'Summary'!$B$11)=0),I14,0)+IF(AND(A86&gt;A15,A86&lt;=A15+'Summary'!$B$10*12,MOD(A86-A15,'Summary'!$B$11)=0),I15,0)+IF(AND(A86&gt;A16,A86&lt;=A16+'Summary'!$B$10*12,MOD(A86-A16,'Summary'!$B$11)=0),I16,0)+IF(AND(A86&gt;A17,A86&lt;=A17+'Summary'!$B$10*12,MOD(A86-A17,'Summary'!$B$11)=0),I17,0)+IF(AND(A86&gt;A18,A86&lt;=A18+'Summary'!$B$10*12,MOD(A86-A18,'Summary'!$B$11)=0),I18,0)+IF(AND(A86&gt;A19,A86&lt;=A19+'Summary'!$B$10*12,MOD(A86-A19,'Summary'!$B$11)=0),I19,0)+IF(AND(A86&gt;A20,A86&lt;=A20+'Summary'!$B$10*12,MOD(A86-A20,'Summary'!$B$11)=0),I20,0)+IF(AND(A86&gt;A21,A86&lt;=A21+'Summary'!$B$10*12,MOD(A86-A21,'Summary'!$B$11)=0),I21,0)+IF(AND(A86&gt;A22,A86&lt;=A22+'Summary'!$B$10*12,MOD(A86-A22,'Summary'!$B$11)=0),I22,0)+IF(AND(A86&gt;A23,A86&lt;=A23+'Summary'!$B$10*12,MOD(A86-A23,'Summary'!$B$11)=0),I23,0)+IF(AND(A86&gt;A24,A86&lt;=A24+'Summary'!$B$10*12,MOD(A86-A24,'Summary'!$B$11)=0),I24,0)+IF(AND(A86&gt;A25,A86&lt;=A25+'Summary'!$B$10*12,MOD(A86-A25,'Summary'!$B$11)=0),I25,0)+IF(AND(A86&gt;A26,A86&lt;=A26+'Summary'!$B$10*12,MOD(A86-A26,'Summary'!$B$11)=0),I26,0)+IF(AND(A86&gt;A27,A86&lt;=A27+'Summary'!$B$10*12,MOD(A86-A27,'Summary'!$B$11)=0),I27,0)+IF(AND(A86&gt;A28,A86&lt;=A28+'Summary'!$B$10*12,MOD(A86-A28,'Summary'!$B$11)=0),I28,0)+IF(AND(A86&gt;A29,A86&lt;=A29+'Summary'!$B$10*12,MOD(A86-A29,'Summary'!$B$11)=0),I29,0)+IF(AND(A86&gt;A30,A86&lt;=A30+'Summary'!$B$10*12,MOD(A86-A30,'Summary'!$B$11)=0),I30,0)+IF(AND(A86&gt;A31,A86&lt;=A31+'Summary'!$B$10*12,MOD(A86-A31,'Summary'!$B$11)=0),I31,0)+IF(AND(A86&gt;A32,A86&lt;=A32+'Summary'!$B$10*12,MOD(A86-A32,'Summary'!$B$11)=0),I32,0)+IF(AND(A86&gt;A33,A86&lt;=A33+'Summary'!$B$10*12,MOD(A86-A33,'Summary'!$B$11)=0),I33,0)+IF(AND(A86&gt;A34,A86&lt;=A34+'Summary'!$B$10*12,MOD(A86-A34,'Summary'!$B$11)=0),I34,0)+IF(AND(A86&gt;A35,A86&lt;=A35+'Summary'!$B$10*12,MOD(A86-A35,'Summary'!$B$11)=0),I35,0)+IF(AND(A86&gt;A36,A86&lt;=A36+'Summary'!$B$10*12,MOD(A86-A36,'Summary'!$B$11)=0),I36,0)+IF(AND(A86&gt;A37,A86&lt;=A37+'Summary'!$B$10*12,MOD(A86-A37,'Summary'!$B$11)=0),I37,0)+IF(AND(A86&gt;A38,A86&lt;=A38+'Summary'!$B$10*12,MOD(A86-A38,'Summary'!$B$11)=0),I38,0)+IF(AND(A86&gt;A39,A86&lt;=A39+'Summary'!$B$10*12,MOD(A86-A39,'Summary'!$B$11)=0),I39,0)+IF(AND(A86&gt;A40,A86&lt;=A40+'Summary'!$B$10*12,MOD(A86-A40,'Summary'!$B$11)=0),I40,0)+IF(AND(A86&gt;A41,A86&lt;=A41+'Summary'!$B$10*12,MOD(A86-A41,'Summary'!$B$11)=0),I41,0)+IF(AND(A86&gt;A42,A86&lt;=A42+'Summary'!$B$10*12,MOD(A86-A42,'Summary'!$B$11)=0),I42,0)+IF(AND(A86&gt;A43,A86&lt;=A43+'Summary'!$B$10*12,MOD(A86-A43,'Summary'!$B$11)=0),I43,0)+IF(AND(A86&gt;A44,A86&lt;=A44+'Summary'!$B$10*12,MOD(A86-A44,'Summary'!$B$11)=0),I44,0)+IF(AND(A86&gt;A45,A86&lt;=A45+'Summary'!$B$10*12,MOD(A86-A45,'Summary'!$B$11)=0),I45,0)+IF(AND(A86&gt;A46,A86&lt;=A46+'Summary'!$B$10*12,MOD(A86-A46,'Summary'!$B$11)=0),I46,0)+IF(AND(A86&gt;A47,A86&lt;=A47+'Summary'!$B$10*12,MOD(A86-A47,'Summary'!$B$11)=0),I47,0)+IF(AND(A86&gt;A48,A86&lt;=A48+'Summary'!$B$10*12,MOD(A86-A48,'Summary'!$B$11)=0),I48,0)+IF(AND(A86&gt;A49,A86&lt;=A49+'Summary'!$B$10*12,MOD(A86-A49,'Summary'!$B$11)=0),I49,0)+IF(AND(A86&gt;A50,A86&lt;=A50+'Summary'!$B$10*12,MOD(A86-A50,'Summary'!$B$11)=0),I50,0)+IF(AND(A86&gt;A51,A86&lt;=A51+'Summary'!$B$10*12,MOD(A86-A51,'Summary'!$B$11)=0),I51,0)+IF(AND(A86&gt;A52,A86&lt;=A52+'Summary'!$B$10*12,MOD(A86-A52,'Summary'!$B$11)=0),I52,0)+IF(AND(A86&gt;A53,A86&lt;=A53+'Summary'!$B$10*12,MOD(A86-A53,'Summary'!$B$11)=0),I53,0)+IF(AND(A86&gt;A54,A86&lt;=A54+'Summary'!$B$10*12,MOD(A86-A54,'Summary'!$B$11)=0),I54,0)+IF(AND(A86&gt;A55,A86&lt;=A55+'Summary'!$B$10*12,MOD(A86-A55,'Summary'!$B$11)=0),I55,0)+IF(AND(A86&gt;A56,A86&lt;=A56+'Summary'!$B$10*12,MOD(A86-A56,'Summary'!$B$11)=0),I56,0)+IF(AND(A86&gt;A57,A86&lt;=A57+'Summary'!$B$10*12,MOD(A86-A57,'Summary'!$B$11)=0),I57,0)+IF(AND(A86&gt;A58,A86&lt;=A58+'Summary'!$B$10*12,MOD(A86-A58,'Summary'!$B$11)=0),I58,0)+IF(AND(A86&gt;A59,A86&lt;=A59+'Summary'!$B$10*12,MOD(A86-A59,'Summary'!$B$11)=0),I59,0)+IF(AND(A86&gt;A60,A86&lt;=A60+'Summary'!$B$10*12,MOD(A86-A60,'Summary'!$B$11)=0),I60,0)+IF(AND(A86&gt;A61,A86&lt;=A61+'Summary'!$B$10*12,MOD(A86-A61,'Summary'!$B$11)=0),I61,0)+IF(AND(A86&gt;A62,A86&lt;=A62+'Summary'!$B$10*12,MOD(A86-A62,'Summary'!$B$11)=0),I62,0)+IF(AND(A86&gt;A63,A86&lt;=A63+'Summary'!$B$10*12,MOD(A86-A63,'Summary'!$B$11)=0),I63,0)+IF(AND(A86&gt;A64,A86&lt;=A64+'Summary'!$B$10*12,MOD(A86-A64,'Summary'!$B$11)=0),I64,0)+IF(AND(A86&gt;A65,A86&lt;=A65+'Summary'!$B$10*12,MOD(A86-A65,'Summary'!$B$11)=0),I65,0)+IF(AND(A86&gt;A66,A86&lt;=A66+'Summary'!$B$10*12,MOD(A86-A66,'Summary'!$B$11)=0),I66,0)+IF(AND(A86&gt;A67,A86&lt;=A67+'Summary'!$B$10*12,MOD(A86-A67,'Summary'!$B$11)=0),I67,0)+IF(AND(A86&gt;A68,A86&lt;=A68+'Summary'!$B$10*12,MOD(A86-A68,'Summary'!$B$11)=0),I68,0)+IF(AND(A86&gt;A69,A86&lt;=A69+'Summary'!$B$10*12,MOD(A86-A69,'Summary'!$B$11)=0),I69,0)+IF(AND(A86&gt;A70,A86&lt;=A70+'Summary'!$B$10*12,MOD(A86-A70,'Summary'!$B$11)=0),I70,0)+IF(AND(A86&gt;A71,A86&lt;=A71+'Summary'!$B$10*12,MOD(A86-A71,'Summary'!$B$11)=0),I71,0)+IF(AND(A86&gt;A72,A86&lt;=A72+'Summary'!$B$10*12,MOD(A86-A72,'Summary'!$B$11)=0),I72,0)+IF(AND(A86&gt;A73,A86&lt;=A73+'Summary'!$B$10*12,MOD(A86-A73,'Summary'!$B$11)=0),I73,0)+IF(AND(A86&gt;A74,A86&lt;=A74+'Summary'!$B$10*12,MOD(A86-A74,'Summary'!$B$11)=0),I74,0)+IF(AND(A86&gt;A75,A86&lt;=A75+'Summary'!$B$10*12,MOD(A86-A75,'Summary'!$B$11)=0),I75,0)+IF(AND(A86&gt;A76,A86&lt;=A76+'Summary'!$B$10*12,MOD(A86-A76,'Summary'!$B$11)=0),I76,0)+IF(AND(A86&gt;A77,A86&lt;=A77+'Summary'!$B$10*12,MOD(A86-A77,'Summary'!$B$11)=0),I77,0)+IF(AND(A86&gt;A78,A86&lt;=A78+'Summary'!$B$10*12,MOD(A86-A78,'Summary'!$B$11)=0),I78,0)+IF(AND(A86&gt;A79,A86&lt;=A79+'Summary'!$B$10*12,MOD(A86-A79,'Summary'!$B$11)=0),I79,0)+IF(AND(A86&gt;A80,A86&lt;=A80+'Summary'!$B$10*12,MOD(A86-A80,'Summary'!$B$11)=0),I80,0)+IF(AND(A86&gt;A81,A86&lt;=A81+'Summary'!$B$10*12,MOD(A86-A81,'Summary'!$B$11)=0),I81,0)+IF(AND(A86&gt;A82,A86&lt;=A82+'Summary'!$B$10*12,MOD(A86-A82,'Summary'!$B$11)=0),I82,0)+IF(AND(A86&gt;A83,A86&lt;=A83+'Summary'!$B$10*12,MOD(A86-A83,'Summary'!$B$11)=0),I83,0)+IF(AND(A86&gt;A84,A86&lt;=A84+'Summary'!$B$10*12,MOD(A86-A84,'Summary'!$B$11)=0),I84,0)+IF(AND(A86&gt;A85,A86&lt;=A85+'Summary'!$B$10*12,MOD(A86-A85,'Summary'!$B$11)=0),I85,0))*'Summary'!$B$8/2</x:f>
        <x:v>259.1082504973193</x:v>
      </x:c>
      <x:c r="G86" s="62" t="n">
        <x:f>IF(A86=A8+'Summary'!$B$10*12,I8,0)+IF(A86=A9+'Summary'!$B$10*12,I9,0)+IF(A86=A10+'Summary'!$B$10*12,I10,0)+IF(A86=A11+'Summary'!$B$10*12,I11,0)+IF(A86=A12+'Summary'!$B$10*12,I12,0)+IF(A86=A13+'Summary'!$B$10*12,I13,0)+IF(A86=A14+'Summary'!$B$10*12,I14,0)+IF(A86=A15+'Summary'!$B$10*12,I15,0)+IF(A86=A16+'Summary'!$B$10*12,I16,0)+IF(A86=A17+'Summary'!$B$10*12,I17,0)+IF(A86=A18+'Summary'!$B$10*12,I18,0)+IF(A86=A19+'Summary'!$B$10*12,I19,0)+IF(A86=A20+'Summary'!$B$10*12,I20,0)+IF(A86=A21+'Summary'!$B$10*12,I21,0)+IF(A86=A22+'Summary'!$B$10*12,I22,0)+IF(A86=A23+'Summary'!$B$10*12,I23,0)+IF(A86=A24+'Summary'!$B$10*12,I24,0)+IF(A86=A25+'Summary'!$B$10*12,I25,0)+IF(A86=A26+'Summary'!$B$10*12,I26,0)+IF(A86=A27+'Summary'!$B$10*12,I27,0)+IF(A86=A28+'Summary'!$B$10*12,I28,0)+IF(A86=A29+'Summary'!$B$10*12,I29,0)+IF(A86=A30+'Summary'!$B$10*12,I30,0)+IF(A86=A31+'Summary'!$B$10*12,I31,0)+IF(A86=A32+'Summary'!$B$10*12,I32,0)+IF(A86=A33+'Summary'!$B$10*12,I33,0)+IF(A86=A34+'Summary'!$B$10*12,I34,0)+IF(A86=A35+'Summary'!$B$10*12,I35,0)+IF(A86=A36+'Summary'!$B$10*12,I36,0)+IF(A86=A37+'Summary'!$B$10*12,I37,0)+IF(A86=A38+'Summary'!$B$10*12,I38,0)+IF(A86=A39+'Summary'!$B$10*12,I39,0)+IF(A86=A40+'Summary'!$B$10*12,I40,0)+IF(A86=A41+'Summary'!$B$10*12,I41,0)+IF(A86=A42+'Summary'!$B$10*12,I42,0)+IF(A86=A43+'Summary'!$B$10*12,I43,0)+IF(A86=A44+'Summary'!$B$10*12,I44,0)+IF(A86=A45+'Summary'!$B$10*12,I45,0)+IF(A86=A46+'Summary'!$B$10*12,I46,0)+IF(A86=A47+'Summary'!$B$10*12,I47,0)+IF(A86=A48+'Summary'!$B$10*12,I48,0)+IF(A86=A49+'Summary'!$B$10*12,I49,0)+IF(A86=A50+'Summary'!$B$10*12,I50,0)+IF(A86=A51+'Summary'!$B$10*12,I51,0)+IF(A86=A52+'Summary'!$B$10*12,I52,0)+IF(A86=A53+'Summary'!$B$10*12,I53,0)+IF(A86=A54+'Summary'!$B$10*12,I54,0)+IF(A86=A55+'Summary'!$B$10*12,I55,0)+IF(A86=A56+'Summary'!$B$10*12,I56,0)+IF(A86=A57+'Summary'!$B$10*12,I57,0)+IF(A86=A58+'Summary'!$B$10*12,I58,0)+IF(A86=A59+'Summary'!$B$10*12,I59,0)+IF(A86=A60+'Summary'!$B$10*12,I60,0)+IF(A86=A61+'Summary'!$B$10*12,I61,0)+IF(A86=A62+'Summary'!$B$10*12,I62,0)+IF(A86=A63+'Summary'!$B$10*12,I63,0)+IF(A86=A64+'Summary'!$B$10*12,I64,0)+IF(A86=A65+'Summary'!$B$10*12,I65,0)+IF(A86=A66+'Summary'!$B$10*12,I66,0)+IF(A86=A67+'Summary'!$B$10*12,I67,0)+IF(A86=A68+'Summary'!$B$10*12,I68,0)+IF(A86=A69+'Summary'!$B$10*12,I69,0)+IF(A86=A70+'Summary'!$B$10*12,I70,0)+IF(A86=A71+'Summary'!$B$10*12,I71,0)+IF(A86=A72+'Summary'!$B$10*12,I72,0)+IF(A86=A73+'Summary'!$B$10*12,I73,0)+IF(A86=A74+'Summary'!$B$10*12,I74,0)+IF(A86=A75+'Summary'!$B$10*12,I75,0)+IF(A86=A76+'Summary'!$B$10*12,I76,0)+IF(A86=A77+'Summary'!$B$10*12,I77,0)+IF(A86=A78+'Summary'!$B$10*12,I78,0)+IF(A86=A79+'Summary'!$B$10*12,I79,0)+IF(A86=A80+'Summary'!$B$10*12,I80,0)+IF(A86=A81+'Summary'!$B$10*12,I81,0)+IF(A86=A82+'Summary'!$B$10*12,I82,0)+IF(A86=A83+'Summary'!$B$10*12,I83,0)+IF(A86=A84+'Summary'!$B$10*12,I84,0)+IF(A86=A85+'Summary'!$B$10*12,I85,0)</x:f>
        <x:v>298.6679800456</x:v>
      </x:c>
      <x:c r="H86" s="62" t="n">
        <x:f>E86+D86+F86+G86</x:f>
        <x:v>657.7762305429194</x:v>
      </x:c>
      <x:c r="I86" s="62" t="n">
        <x:f>IF(B86,IF(H86&gt;='Summary'!$B$12,H86,0),0)</x:f>
        <x:v>657.7762305429194</x:v>
      </x:c>
      <x:c r="J86" s="62" t="n">
        <x:f>H86-I86</x:f>
        <x:v>0</x:v>
      </x:c>
      <x:c r="K86" s="63" t="n">
        <x:f>J86+IF(A8+'Summary'!$B$10*12&gt;A86,I8,0)+IF(A9+'Summary'!$B$10*12&gt;A86,I9,0)+IF(A10+'Summary'!$B$10*12&gt;A86,I10,0)+IF(A11+'Summary'!$B$10*12&gt;A86,I11,0)+IF(A12+'Summary'!$B$10*12&gt;A86,I12,0)+IF(A13+'Summary'!$B$10*12&gt;A86,I13,0)+IF(A14+'Summary'!$B$10*12&gt;A86,I14,0)+IF(A15+'Summary'!$B$10*12&gt;A86,I15,0)+IF(A16+'Summary'!$B$10*12&gt;A86,I16,0)+IF(A17+'Summary'!$B$10*12&gt;A86,I17,0)+IF(A18+'Summary'!$B$10*12&gt;A86,I18,0)+IF(A19+'Summary'!$B$10*12&gt;A86,I19,0)+IF(A20+'Summary'!$B$10*12&gt;A86,I20,0)+IF(A21+'Summary'!$B$10*12&gt;A86,I21,0)+IF(A22+'Summary'!$B$10*12&gt;A86,I22,0)+IF(A23+'Summary'!$B$10*12&gt;A86,I23,0)+IF(A24+'Summary'!$B$10*12&gt;A86,I24,0)+IF(A25+'Summary'!$B$10*12&gt;A86,I25,0)+IF(A26+'Summary'!$B$10*12&gt;A86,I26,0)+IF(A27+'Summary'!$B$10*12&gt;A86,I27,0)+IF(A28+'Summary'!$B$10*12&gt;A86,I28,0)+IF(A29+'Summary'!$B$10*12&gt;A86,I29,0)+IF(A30+'Summary'!$B$10*12&gt;A86,I30,0)+IF(A31+'Summary'!$B$10*12&gt;A86,I31,0)+IF(A32+'Summary'!$B$10*12&gt;A86,I32,0)+IF(A33+'Summary'!$B$10*12&gt;A86,I33,0)+IF(A34+'Summary'!$B$10*12&gt;A86,I34,0)+IF(A35+'Summary'!$B$10*12&gt;A86,I35,0)+IF(A36+'Summary'!$B$10*12&gt;A86,I36,0)+IF(A37+'Summary'!$B$10*12&gt;A86,I37,0)+IF(A38+'Summary'!$B$10*12&gt;A86,I38,0)+IF(A39+'Summary'!$B$10*12&gt;A86,I39,0)+IF(A40+'Summary'!$B$10*12&gt;A86,I40,0)+IF(A41+'Summary'!$B$10*12&gt;A86,I41,0)+IF(A42+'Summary'!$B$10*12&gt;A86,I42,0)+IF(A43+'Summary'!$B$10*12&gt;A86,I43,0)+IF(A44+'Summary'!$B$10*12&gt;A86,I44,0)+IF(A45+'Summary'!$B$10*12&gt;A86,I45,0)+IF(A46+'Summary'!$B$10*12&gt;A86,I46,0)+IF(A47+'Summary'!$B$10*12&gt;A86,I47,0)+IF(A48+'Summary'!$B$10*12&gt;A86,I48,0)+IF(A49+'Summary'!$B$10*12&gt;A86,I49,0)+IF(A50+'Summary'!$B$10*12&gt;A86,I50,0)+IF(A51+'Summary'!$B$10*12&gt;A86,I51,0)+IF(A52+'Summary'!$B$10*12&gt;A86,I52,0)+IF(A53+'Summary'!$B$10*12&gt;A86,I53,0)+IF(A54+'Summary'!$B$10*12&gt;A86,I54,0)+IF(A55+'Summary'!$B$10*12&gt;A86,I55,0)+IF(A56+'Summary'!$B$10*12&gt;A86,I56,0)+IF(A57+'Summary'!$B$10*12&gt;A86,I57,0)+IF(A58+'Summary'!$B$10*12&gt;A86,I58,0)+IF(A59+'Summary'!$B$10*12&gt;A86,I59,0)+IF(A60+'Summary'!$B$10*12&gt;A86,I60,0)+IF(A61+'Summary'!$B$10*12&gt;A86,I61,0)+IF(A62+'Summary'!$B$10*12&gt;A86,I62,0)+IF(A63+'Summary'!$B$10*12&gt;A86,I63,0)+IF(A64+'Summary'!$B$10*12&gt;A86,I64,0)+IF(A65+'Summary'!$B$10*12&gt;A86,I65,0)+IF(A66+'Summary'!$B$10*12&gt;A86,I66,0)+IF(A67+'Summary'!$B$10*12&gt;A86,I67,0)+IF(A68+'Summary'!$B$10*12&gt;A86,I68,0)+IF(A69+'Summary'!$B$10*12&gt;A86,I69,0)+IF(A70+'Summary'!$B$10*12&gt;A86,I70,0)+IF(A71+'Summary'!$B$10*12&gt;A86,I71,0)+IF(A72+'Summary'!$B$10*12&gt;A86,I72,0)+IF(A73+'Summary'!$B$10*12&gt;A86,I73,0)+IF(A74+'Summary'!$B$10*12&gt;A86,I74,0)+IF(A75+'Summary'!$B$10*12&gt;A86,I75,0)+IF(A76+'Summary'!$B$10*12&gt;A86,I76,0)+IF(A77+'Summary'!$B$10*12&gt;A86,I77,0)+IF(A78+'Summary'!$B$10*12&gt;A86,I78,0)+IF(A79+'Summary'!$B$10*12&gt;A86,I79,0)+IF(A80+'Summary'!$B$10*12&gt;A86,I80,0)+IF(A81+'Summary'!$B$10*12&gt;A86,I81,0)+IF(A82+'Summary'!$B$10*12&gt;A86,I82,0)+IF(A83+'Summary'!$B$10*12&gt;A86,I83,0)+IF(A84+'Summary'!$B$10*12&gt;A86,I84,0)+IF(A85+'Summary'!$B$10*12&gt;A86,I85,0)+IF(A86+'Summary'!$B$10*12&gt;A86,I86,0)</x:f>
        <x:v>21566.911059068945</x:v>
      </x:c>
    </x:row>
    <x:row r="87">
      <x:c r="A87" s="55" t="n">
        <x:v>79</x:v>
      </x:c>
      <x:c r="B87" s="71" t="b">
        <x:f>A87&lt;='Summary'!$B$9*12</x:f>
        <x:v>1</x:v>
      </x:c>
      <x:c r="C87" s="62" t="n">
        <x:f>IF(A87=0,IF('Summary'!$B$6&gt;=5,'Summary'!$B$6,0),C86)+IF(A87&lt;'Summary'!$B$9*12,IF('Summary'!$B$7&gt;=5,'Summary'!$B$7,0),0)</x:f>
        <x:v>18000</x:v>
      </x:c>
      <x:c r="D87" s="62" t="n">
        <x:f>IF(A87=0,IF('Summary'!$B$6&gt;=5,'Summary'!$B$6,0),0)+IF(A87&lt;'Summary'!$B$9*12,IF('Summary'!$B$7&gt;=5,'Summary'!$B$7,0),0)</x:f>
        <x:v>100</x:v>
      </x:c>
      <x:c r="E87" s="62" t="n">
        <x:f>J86</x:f>
        <x:v>0</x:v>
      </x:c>
      <x:c r="F87" s="62" t="n">
        <x:f>(IF(AND(A87&gt;A8,A87&lt;=A8+'Summary'!$B$10*12,MOD(A87-A8,'Summary'!$B$11)=0),I8,0)+IF(AND(A87&gt;A9,A87&lt;=A9+'Summary'!$B$10*12,MOD(A87-A9,'Summary'!$B$11)=0),I9,0)+IF(AND(A87&gt;A10,A87&lt;=A10+'Summary'!$B$10*12,MOD(A87-A10,'Summary'!$B$11)=0),I10,0)+IF(AND(A87&gt;A11,A87&lt;=A11+'Summary'!$B$10*12,MOD(A87-A11,'Summary'!$B$11)=0),I11,0)+IF(AND(A87&gt;A12,A87&lt;=A12+'Summary'!$B$10*12,MOD(A87-A12,'Summary'!$B$11)=0),I12,0)+IF(AND(A87&gt;A13,A87&lt;=A13+'Summary'!$B$10*12,MOD(A87-A13,'Summary'!$B$11)=0),I13,0)+IF(AND(A87&gt;A14,A87&lt;=A14+'Summary'!$B$10*12,MOD(A87-A14,'Summary'!$B$11)=0),I14,0)+IF(AND(A87&gt;A15,A87&lt;=A15+'Summary'!$B$10*12,MOD(A87-A15,'Summary'!$B$11)=0),I15,0)+IF(AND(A87&gt;A16,A87&lt;=A16+'Summary'!$B$10*12,MOD(A87-A16,'Summary'!$B$11)=0),I16,0)+IF(AND(A87&gt;A17,A87&lt;=A17+'Summary'!$B$10*12,MOD(A87-A17,'Summary'!$B$11)=0),I17,0)+IF(AND(A87&gt;A18,A87&lt;=A18+'Summary'!$B$10*12,MOD(A87-A18,'Summary'!$B$11)=0),I18,0)+IF(AND(A87&gt;A19,A87&lt;=A19+'Summary'!$B$10*12,MOD(A87-A19,'Summary'!$B$11)=0),I19,0)+IF(AND(A87&gt;A20,A87&lt;=A20+'Summary'!$B$10*12,MOD(A87-A20,'Summary'!$B$11)=0),I20,0)+IF(AND(A87&gt;A21,A87&lt;=A21+'Summary'!$B$10*12,MOD(A87-A21,'Summary'!$B$11)=0),I21,0)+IF(AND(A87&gt;A22,A87&lt;=A22+'Summary'!$B$10*12,MOD(A87-A22,'Summary'!$B$11)=0),I22,0)+IF(AND(A87&gt;A23,A87&lt;=A23+'Summary'!$B$10*12,MOD(A87-A23,'Summary'!$B$11)=0),I23,0)+IF(AND(A87&gt;A24,A87&lt;=A24+'Summary'!$B$10*12,MOD(A87-A24,'Summary'!$B$11)=0),I24,0)+IF(AND(A87&gt;A25,A87&lt;=A25+'Summary'!$B$10*12,MOD(A87-A25,'Summary'!$B$11)=0),I25,0)+IF(AND(A87&gt;A26,A87&lt;=A26+'Summary'!$B$10*12,MOD(A87-A26,'Summary'!$B$11)=0),I26,0)+IF(AND(A87&gt;A27,A87&lt;=A27+'Summary'!$B$10*12,MOD(A87-A27,'Summary'!$B$11)=0),I27,0)+IF(AND(A87&gt;A28,A87&lt;=A28+'Summary'!$B$10*12,MOD(A87-A28,'Summary'!$B$11)=0),I28,0)+IF(AND(A87&gt;A29,A87&lt;=A29+'Summary'!$B$10*12,MOD(A87-A29,'Summary'!$B$11)=0),I29,0)+IF(AND(A87&gt;A30,A87&lt;=A30+'Summary'!$B$10*12,MOD(A87-A30,'Summary'!$B$11)=0),I30,0)+IF(AND(A87&gt;A31,A87&lt;=A31+'Summary'!$B$10*12,MOD(A87-A31,'Summary'!$B$11)=0),I31,0)+IF(AND(A87&gt;A32,A87&lt;=A32+'Summary'!$B$10*12,MOD(A87-A32,'Summary'!$B$11)=0),I32,0)+IF(AND(A87&gt;A33,A87&lt;=A33+'Summary'!$B$10*12,MOD(A87-A33,'Summary'!$B$11)=0),I33,0)+IF(AND(A87&gt;A34,A87&lt;=A34+'Summary'!$B$10*12,MOD(A87-A34,'Summary'!$B$11)=0),I34,0)+IF(AND(A87&gt;A35,A87&lt;=A35+'Summary'!$B$10*12,MOD(A87-A35,'Summary'!$B$11)=0),I35,0)+IF(AND(A87&gt;A36,A87&lt;=A36+'Summary'!$B$10*12,MOD(A87-A36,'Summary'!$B$11)=0),I36,0)+IF(AND(A87&gt;A37,A87&lt;=A37+'Summary'!$B$10*12,MOD(A87-A37,'Summary'!$B$11)=0),I37,0)+IF(AND(A87&gt;A38,A87&lt;=A38+'Summary'!$B$10*12,MOD(A87-A38,'Summary'!$B$11)=0),I38,0)+IF(AND(A87&gt;A39,A87&lt;=A39+'Summary'!$B$10*12,MOD(A87-A39,'Summary'!$B$11)=0),I39,0)+IF(AND(A87&gt;A40,A87&lt;=A40+'Summary'!$B$10*12,MOD(A87-A40,'Summary'!$B$11)=0),I40,0)+IF(AND(A87&gt;A41,A87&lt;=A41+'Summary'!$B$10*12,MOD(A87-A41,'Summary'!$B$11)=0),I41,0)+IF(AND(A87&gt;A42,A87&lt;=A42+'Summary'!$B$10*12,MOD(A87-A42,'Summary'!$B$11)=0),I42,0)+IF(AND(A87&gt;A43,A87&lt;=A43+'Summary'!$B$10*12,MOD(A87-A43,'Summary'!$B$11)=0),I43,0)+IF(AND(A87&gt;A44,A87&lt;=A44+'Summary'!$B$10*12,MOD(A87-A44,'Summary'!$B$11)=0),I44,0)+IF(AND(A87&gt;A45,A87&lt;=A45+'Summary'!$B$10*12,MOD(A87-A45,'Summary'!$B$11)=0),I45,0)+IF(AND(A87&gt;A46,A87&lt;=A46+'Summary'!$B$10*12,MOD(A87-A46,'Summary'!$B$11)=0),I46,0)+IF(AND(A87&gt;A47,A87&lt;=A47+'Summary'!$B$10*12,MOD(A87-A47,'Summary'!$B$11)=0),I47,0)+IF(AND(A87&gt;A48,A87&lt;=A48+'Summary'!$B$10*12,MOD(A87-A48,'Summary'!$B$11)=0),I48,0)+IF(AND(A87&gt;A49,A87&lt;=A49+'Summary'!$B$10*12,MOD(A87-A49,'Summary'!$B$11)=0),I49,0)+IF(AND(A87&gt;A50,A87&lt;=A50+'Summary'!$B$10*12,MOD(A87-A50,'Summary'!$B$11)=0),I50,0)+IF(AND(A87&gt;A51,A87&lt;=A51+'Summary'!$B$10*12,MOD(A87-A51,'Summary'!$B$11)=0),I51,0)+IF(AND(A87&gt;A52,A87&lt;=A52+'Summary'!$B$10*12,MOD(A87-A52,'Summary'!$B$11)=0),I52,0)+IF(AND(A87&gt;A53,A87&lt;=A53+'Summary'!$B$10*12,MOD(A87-A53,'Summary'!$B$11)=0),I53,0)+IF(AND(A87&gt;A54,A87&lt;=A54+'Summary'!$B$10*12,MOD(A87-A54,'Summary'!$B$11)=0),I54,0)+IF(AND(A87&gt;A55,A87&lt;=A55+'Summary'!$B$10*12,MOD(A87-A55,'Summary'!$B$11)=0),I55,0)+IF(AND(A87&gt;A56,A87&lt;=A56+'Summary'!$B$10*12,MOD(A87-A56,'Summary'!$B$11)=0),I56,0)+IF(AND(A87&gt;A57,A87&lt;=A57+'Summary'!$B$10*12,MOD(A87-A57,'Summary'!$B$11)=0),I57,0)+IF(AND(A87&gt;A58,A87&lt;=A58+'Summary'!$B$10*12,MOD(A87-A58,'Summary'!$B$11)=0),I58,0)+IF(AND(A87&gt;A59,A87&lt;=A59+'Summary'!$B$10*12,MOD(A87-A59,'Summary'!$B$11)=0),I59,0)+IF(AND(A87&gt;A60,A87&lt;=A60+'Summary'!$B$10*12,MOD(A87-A60,'Summary'!$B$11)=0),I60,0)+IF(AND(A87&gt;A61,A87&lt;=A61+'Summary'!$B$10*12,MOD(A87-A61,'Summary'!$B$11)=0),I61,0)+IF(AND(A87&gt;A62,A87&lt;=A62+'Summary'!$B$10*12,MOD(A87-A62,'Summary'!$B$11)=0),I62,0)+IF(AND(A87&gt;A63,A87&lt;=A63+'Summary'!$B$10*12,MOD(A87-A63,'Summary'!$B$11)=0),I63,0)+IF(AND(A87&gt;A64,A87&lt;=A64+'Summary'!$B$10*12,MOD(A87-A64,'Summary'!$B$11)=0),I64,0)+IF(AND(A87&gt;A65,A87&lt;=A65+'Summary'!$B$10*12,MOD(A87-A65,'Summary'!$B$11)=0),I65,0)+IF(AND(A87&gt;A66,A87&lt;=A66+'Summary'!$B$10*12,MOD(A87-A66,'Summary'!$B$11)=0),I66,0)+IF(AND(A87&gt;A67,A87&lt;=A67+'Summary'!$B$10*12,MOD(A87-A67,'Summary'!$B$11)=0),I67,0)+IF(AND(A87&gt;A68,A87&lt;=A68+'Summary'!$B$10*12,MOD(A87-A68,'Summary'!$B$11)=0),I68,0)+IF(AND(A87&gt;A69,A87&lt;=A69+'Summary'!$B$10*12,MOD(A87-A69,'Summary'!$B$11)=0),I69,0)+IF(AND(A87&gt;A70,A87&lt;=A70+'Summary'!$B$10*12,MOD(A87-A70,'Summary'!$B$11)=0),I70,0)+IF(AND(A87&gt;A71,A87&lt;=A71+'Summary'!$B$10*12,MOD(A87-A71,'Summary'!$B$11)=0),I71,0)+IF(AND(A87&gt;A72,A87&lt;=A72+'Summary'!$B$10*12,MOD(A87-A72,'Summary'!$B$11)=0),I72,0)+IF(AND(A87&gt;A73,A87&lt;=A73+'Summary'!$B$10*12,MOD(A87-A73,'Summary'!$B$11)=0),I73,0)+IF(AND(A87&gt;A74,A87&lt;=A74+'Summary'!$B$10*12,MOD(A87-A74,'Summary'!$B$11)=0),I74,0)+IF(AND(A87&gt;A75,A87&lt;=A75+'Summary'!$B$10*12,MOD(A87-A75,'Summary'!$B$11)=0),I75,0)+IF(AND(A87&gt;A76,A87&lt;=A76+'Summary'!$B$10*12,MOD(A87-A76,'Summary'!$B$11)=0),I76,0)+IF(AND(A87&gt;A77,A87&lt;=A77+'Summary'!$B$10*12,MOD(A87-A77,'Summary'!$B$11)=0),I77,0)+IF(AND(A87&gt;A78,A87&lt;=A78+'Summary'!$B$10*12,MOD(A87-A78,'Summary'!$B$11)=0),I78,0)+IF(AND(A87&gt;A79,A87&lt;=A79+'Summary'!$B$10*12,MOD(A87-A79,'Summary'!$B$11)=0),I79,0)+IF(AND(A87&gt;A80,A87&lt;=A80+'Summary'!$B$10*12,MOD(A87-A80,'Summary'!$B$11)=0),I80,0)+IF(AND(A87&gt;A81,A87&lt;=A81+'Summary'!$B$10*12,MOD(A87-A81,'Summary'!$B$11)=0),I81,0)+IF(AND(A87&gt;A82,A87&lt;=A82+'Summary'!$B$10*12,MOD(A87-A82,'Summary'!$B$11)=0),I82,0)+IF(AND(A87&gt;A83,A87&lt;=A83+'Summary'!$B$10*12,MOD(A87-A83,'Summary'!$B$11)=0),I83,0)+IF(AND(A87&gt;A84,A87&lt;=A84+'Summary'!$B$10*12,MOD(A87-A84,'Summary'!$B$11)=0),I84,0)+IF(AND(A87&gt;A85,A87&lt;=A85+'Summary'!$B$10*12,MOD(A87-A85,'Summary'!$B$11)=0),I85,0)+IF(AND(A87&gt;A86,A87&lt;=A86+'Summary'!$B$10*12,MOD(A87-A86,'Summary'!$B$11)=0),I86,0))*'Summary'!$B$8/2</x:f>
        <x:v>27.07137634842265</x:v>
      </x:c>
      <x:c r="G87" s="62" t="n">
        <x:f>IF(A87=A8+'Summary'!$B$10*12,I8,0)+IF(A87=A9+'Summary'!$B$10*12,I9,0)+IF(A87=A10+'Summary'!$B$10*12,I10,0)+IF(A87=A11+'Summary'!$B$10*12,I11,0)+IF(A87=A12+'Summary'!$B$10*12,I12,0)+IF(A87=A13+'Summary'!$B$10*12,I13,0)+IF(A87=A14+'Summary'!$B$10*12,I14,0)+IF(A87=A15+'Summary'!$B$10*12,I15,0)+IF(A87=A16+'Summary'!$B$10*12,I16,0)+IF(A87=A17+'Summary'!$B$10*12,I17,0)+IF(A87=A18+'Summary'!$B$10*12,I18,0)+IF(A87=A19+'Summary'!$B$10*12,I19,0)+IF(A87=A20+'Summary'!$B$10*12,I20,0)+IF(A87=A21+'Summary'!$B$10*12,I21,0)+IF(A87=A22+'Summary'!$B$10*12,I22,0)+IF(A87=A23+'Summary'!$B$10*12,I23,0)+IF(A87=A24+'Summary'!$B$10*12,I24,0)+IF(A87=A25+'Summary'!$B$10*12,I25,0)+IF(A87=A26+'Summary'!$B$10*12,I26,0)+IF(A87=A27+'Summary'!$B$10*12,I27,0)+IF(A87=A28+'Summary'!$B$10*12,I28,0)+IF(A87=A29+'Summary'!$B$10*12,I29,0)+IF(A87=A30+'Summary'!$B$10*12,I30,0)+IF(A87=A31+'Summary'!$B$10*12,I31,0)+IF(A87=A32+'Summary'!$B$10*12,I32,0)+IF(A87=A33+'Summary'!$B$10*12,I33,0)+IF(A87=A34+'Summary'!$B$10*12,I34,0)+IF(A87=A35+'Summary'!$B$10*12,I35,0)+IF(A87=A36+'Summary'!$B$10*12,I36,0)+IF(A87=A37+'Summary'!$B$10*12,I37,0)+IF(A87=A38+'Summary'!$B$10*12,I38,0)+IF(A87=A39+'Summary'!$B$10*12,I39,0)+IF(A87=A40+'Summary'!$B$10*12,I40,0)+IF(A87=A41+'Summary'!$B$10*12,I41,0)+IF(A87=A42+'Summary'!$B$10*12,I42,0)+IF(A87=A43+'Summary'!$B$10*12,I43,0)+IF(A87=A44+'Summary'!$B$10*12,I44,0)+IF(A87=A45+'Summary'!$B$10*12,I45,0)+IF(A87=A46+'Summary'!$B$10*12,I46,0)+IF(A87=A47+'Summary'!$B$10*12,I47,0)+IF(A87=A48+'Summary'!$B$10*12,I48,0)+IF(A87=A49+'Summary'!$B$10*12,I49,0)+IF(A87=A50+'Summary'!$B$10*12,I50,0)+IF(A87=A51+'Summary'!$B$10*12,I51,0)+IF(A87=A52+'Summary'!$B$10*12,I52,0)+IF(A87=A53+'Summary'!$B$10*12,I53,0)+IF(A87=A54+'Summary'!$B$10*12,I54,0)+IF(A87=A55+'Summary'!$B$10*12,I55,0)+IF(A87=A56+'Summary'!$B$10*12,I56,0)+IF(A87=A57+'Summary'!$B$10*12,I57,0)+IF(A87=A58+'Summary'!$B$10*12,I58,0)+IF(A87=A59+'Summary'!$B$10*12,I59,0)+IF(A87=A60+'Summary'!$B$10*12,I60,0)+IF(A87=A61+'Summary'!$B$10*12,I61,0)+IF(A87=A62+'Summary'!$B$10*12,I62,0)+IF(A87=A63+'Summary'!$B$10*12,I63,0)+IF(A87=A64+'Summary'!$B$10*12,I64,0)+IF(A87=A65+'Summary'!$B$10*12,I65,0)+IF(A87=A66+'Summary'!$B$10*12,I66,0)+IF(A87=A67+'Summary'!$B$10*12,I67,0)+IF(A87=A68+'Summary'!$B$10*12,I68,0)+IF(A87=A69+'Summary'!$B$10*12,I69,0)+IF(A87=A70+'Summary'!$B$10*12,I70,0)+IF(A87=A71+'Summary'!$B$10*12,I71,0)+IF(A87=A72+'Summary'!$B$10*12,I72,0)+IF(A87=A73+'Summary'!$B$10*12,I73,0)+IF(A87=A74+'Summary'!$B$10*12,I74,0)+IF(A87=A75+'Summary'!$B$10*12,I75,0)+IF(A87=A76+'Summary'!$B$10*12,I76,0)+IF(A87=A77+'Summary'!$B$10*12,I77,0)+IF(A87=A78+'Summary'!$B$10*12,I78,0)+IF(A87=A79+'Summary'!$B$10*12,I79,0)+IF(A87=A80+'Summary'!$B$10*12,I80,0)+IF(A87=A81+'Summary'!$B$10*12,I81,0)+IF(A87=A82+'Summary'!$B$10*12,I82,0)+IF(A87=A83+'Summary'!$B$10*12,I83,0)+IF(A87=A84+'Summary'!$B$10*12,I84,0)+IF(A87=A85+'Summary'!$B$10*12,I85,0)+IF(A87=A86+'Summary'!$B$10*12,I86,0)</x:f>
        <x:v>105.6844314856</x:v>
      </x:c>
      <x:c r="H87" s="62" t="n">
        <x:f>E87+D87+F87+G87</x:f>
        <x:v>232.75580783402265</x:v>
      </x:c>
      <x:c r="I87" s="62" t="n">
        <x:f>IF(B87,IF(H87&gt;='Summary'!$B$12,H87,0),0)</x:f>
        <x:v>232.75580783402265</x:v>
      </x:c>
      <x:c r="J87" s="62" t="n">
        <x:f>H87-I87</x:f>
        <x:v>0</x:v>
      </x:c>
      <x:c r="K87" s="63" t="n">
        <x:f>J87+IF(A8+'Summary'!$B$10*12&gt;A87,I8,0)+IF(A9+'Summary'!$B$10*12&gt;A87,I9,0)+IF(A10+'Summary'!$B$10*12&gt;A87,I10,0)+IF(A11+'Summary'!$B$10*12&gt;A87,I11,0)+IF(A12+'Summary'!$B$10*12&gt;A87,I12,0)+IF(A13+'Summary'!$B$10*12&gt;A87,I13,0)+IF(A14+'Summary'!$B$10*12&gt;A87,I14,0)+IF(A15+'Summary'!$B$10*12&gt;A87,I15,0)+IF(A16+'Summary'!$B$10*12&gt;A87,I16,0)+IF(A17+'Summary'!$B$10*12&gt;A87,I17,0)+IF(A18+'Summary'!$B$10*12&gt;A87,I18,0)+IF(A19+'Summary'!$B$10*12&gt;A87,I19,0)+IF(A20+'Summary'!$B$10*12&gt;A87,I20,0)+IF(A21+'Summary'!$B$10*12&gt;A87,I21,0)+IF(A22+'Summary'!$B$10*12&gt;A87,I22,0)+IF(A23+'Summary'!$B$10*12&gt;A87,I23,0)+IF(A24+'Summary'!$B$10*12&gt;A87,I24,0)+IF(A25+'Summary'!$B$10*12&gt;A87,I25,0)+IF(A26+'Summary'!$B$10*12&gt;A87,I26,0)+IF(A27+'Summary'!$B$10*12&gt;A87,I27,0)+IF(A28+'Summary'!$B$10*12&gt;A87,I28,0)+IF(A29+'Summary'!$B$10*12&gt;A87,I29,0)+IF(A30+'Summary'!$B$10*12&gt;A87,I30,0)+IF(A31+'Summary'!$B$10*12&gt;A87,I31,0)+IF(A32+'Summary'!$B$10*12&gt;A87,I32,0)+IF(A33+'Summary'!$B$10*12&gt;A87,I33,0)+IF(A34+'Summary'!$B$10*12&gt;A87,I34,0)+IF(A35+'Summary'!$B$10*12&gt;A87,I35,0)+IF(A36+'Summary'!$B$10*12&gt;A87,I36,0)+IF(A37+'Summary'!$B$10*12&gt;A87,I37,0)+IF(A38+'Summary'!$B$10*12&gt;A87,I38,0)+IF(A39+'Summary'!$B$10*12&gt;A87,I39,0)+IF(A40+'Summary'!$B$10*12&gt;A87,I40,0)+IF(A41+'Summary'!$B$10*12&gt;A87,I41,0)+IF(A42+'Summary'!$B$10*12&gt;A87,I42,0)+IF(A43+'Summary'!$B$10*12&gt;A87,I43,0)+IF(A44+'Summary'!$B$10*12&gt;A87,I44,0)+IF(A45+'Summary'!$B$10*12&gt;A87,I45,0)+IF(A46+'Summary'!$B$10*12&gt;A87,I46,0)+IF(A47+'Summary'!$B$10*12&gt;A87,I47,0)+IF(A48+'Summary'!$B$10*12&gt;A87,I48,0)+IF(A49+'Summary'!$B$10*12&gt;A87,I49,0)+IF(A50+'Summary'!$B$10*12&gt;A87,I50,0)+IF(A51+'Summary'!$B$10*12&gt;A87,I51,0)+IF(A52+'Summary'!$B$10*12&gt;A87,I52,0)+IF(A53+'Summary'!$B$10*12&gt;A87,I53,0)+IF(A54+'Summary'!$B$10*12&gt;A87,I54,0)+IF(A55+'Summary'!$B$10*12&gt;A87,I55,0)+IF(A56+'Summary'!$B$10*12&gt;A87,I56,0)+IF(A57+'Summary'!$B$10*12&gt;A87,I57,0)+IF(A58+'Summary'!$B$10*12&gt;A87,I58,0)+IF(A59+'Summary'!$B$10*12&gt;A87,I59,0)+IF(A60+'Summary'!$B$10*12&gt;A87,I60,0)+IF(A61+'Summary'!$B$10*12&gt;A87,I61,0)+IF(A62+'Summary'!$B$10*12&gt;A87,I62,0)+IF(A63+'Summary'!$B$10*12&gt;A87,I63,0)+IF(A64+'Summary'!$B$10*12&gt;A87,I64,0)+IF(A65+'Summary'!$B$10*12&gt;A87,I65,0)+IF(A66+'Summary'!$B$10*12&gt;A87,I66,0)+IF(A67+'Summary'!$B$10*12&gt;A87,I67,0)+IF(A68+'Summary'!$B$10*12&gt;A87,I68,0)+IF(A69+'Summary'!$B$10*12&gt;A87,I69,0)+IF(A70+'Summary'!$B$10*12&gt;A87,I70,0)+IF(A71+'Summary'!$B$10*12&gt;A87,I71,0)+IF(A72+'Summary'!$B$10*12&gt;A87,I72,0)+IF(A73+'Summary'!$B$10*12&gt;A87,I73,0)+IF(A74+'Summary'!$B$10*12&gt;A87,I74,0)+IF(A75+'Summary'!$B$10*12&gt;A87,I75,0)+IF(A76+'Summary'!$B$10*12&gt;A87,I76,0)+IF(A77+'Summary'!$B$10*12&gt;A87,I77,0)+IF(A78+'Summary'!$B$10*12&gt;A87,I78,0)+IF(A79+'Summary'!$B$10*12&gt;A87,I79,0)+IF(A80+'Summary'!$B$10*12&gt;A87,I80,0)+IF(A81+'Summary'!$B$10*12&gt;A87,I81,0)+IF(A82+'Summary'!$B$10*12&gt;A87,I82,0)+IF(A83+'Summary'!$B$10*12&gt;A87,I83,0)+IF(A84+'Summary'!$B$10*12&gt;A87,I84,0)+IF(A85+'Summary'!$B$10*12&gt;A87,I85,0)+IF(A86+'Summary'!$B$10*12&gt;A87,I86,0)+IF(A87+'Summary'!$B$10*12&gt;A87,I87,0)</x:f>
        <x:v>21693.98243541737</x:v>
      </x:c>
    </x:row>
    <x:row r="88">
      <x:c r="A88" s="55" t="n">
        <x:v>80</x:v>
      </x:c>
      <x:c r="B88" s="71" t="b">
        <x:f>A88&lt;='Summary'!$B$9*12</x:f>
        <x:v>1</x:v>
      </x:c>
      <x:c r="C88" s="62" t="n">
        <x:f>IF(A88=0,IF('Summary'!$B$6&gt;=5,'Summary'!$B$6,0),C87)+IF(A88&lt;'Summary'!$B$9*12,IF('Summary'!$B$7&gt;=5,'Summary'!$B$7,0),0)</x:f>
        <x:v>18100</x:v>
      </x:c>
      <x:c r="D88" s="62" t="n">
        <x:f>IF(A88=0,IF('Summary'!$B$6&gt;=5,'Summary'!$B$6,0),0)+IF(A88&lt;'Summary'!$B$9*12,IF('Summary'!$B$7&gt;=5,'Summary'!$B$7,0),0)</x:f>
        <x:v>100</x:v>
      </x:c>
      <x:c r="E88" s="62" t="n">
        <x:f>J87</x:f>
        <x:v>0</x:v>
      </x:c>
      <x:c r="F88" s="62" t="n">
        <x:f>(IF(AND(A88&gt;A8,A88&lt;=A8+'Summary'!$B$10*12,MOD(A88-A8,'Summary'!$B$11)=0),I8,0)+IF(AND(A88&gt;A9,A88&lt;=A9+'Summary'!$B$10*12,MOD(A88-A9,'Summary'!$B$11)=0),I9,0)+IF(AND(A88&gt;A10,A88&lt;=A10+'Summary'!$B$10*12,MOD(A88-A10,'Summary'!$B$11)=0),I10,0)+IF(AND(A88&gt;A11,A88&lt;=A11+'Summary'!$B$10*12,MOD(A88-A11,'Summary'!$B$11)=0),I11,0)+IF(AND(A88&gt;A12,A88&lt;=A12+'Summary'!$B$10*12,MOD(A88-A12,'Summary'!$B$11)=0),I12,0)+IF(AND(A88&gt;A13,A88&lt;=A13+'Summary'!$B$10*12,MOD(A88-A13,'Summary'!$B$11)=0),I13,0)+IF(AND(A88&gt;A14,A88&lt;=A14+'Summary'!$B$10*12,MOD(A88-A14,'Summary'!$B$11)=0),I14,0)+IF(AND(A88&gt;A15,A88&lt;=A15+'Summary'!$B$10*12,MOD(A88-A15,'Summary'!$B$11)=0),I15,0)+IF(AND(A88&gt;A16,A88&lt;=A16+'Summary'!$B$10*12,MOD(A88-A16,'Summary'!$B$11)=0),I16,0)+IF(AND(A88&gt;A17,A88&lt;=A17+'Summary'!$B$10*12,MOD(A88-A17,'Summary'!$B$11)=0),I17,0)+IF(AND(A88&gt;A18,A88&lt;=A18+'Summary'!$B$10*12,MOD(A88-A18,'Summary'!$B$11)=0),I18,0)+IF(AND(A88&gt;A19,A88&lt;=A19+'Summary'!$B$10*12,MOD(A88-A19,'Summary'!$B$11)=0),I19,0)+IF(AND(A88&gt;A20,A88&lt;=A20+'Summary'!$B$10*12,MOD(A88-A20,'Summary'!$B$11)=0),I20,0)+IF(AND(A88&gt;A21,A88&lt;=A21+'Summary'!$B$10*12,MOD(A88-A21,'Summary'!$B$11)=0),I21,0)+IF(AND(A88&gt;A22,A88&lt;=A22+'Summary'!$B$10*12,MOD(A88-A22,'Summary'!$B$11)=0),I22,0)+IF(AND(A88&gt;A23,A88&lt;=A23+'Summary'!$B$10*12,MOD(A88-A23,'Summary'!$B$11)=0),I23,0)+IF(AND(A88&gt;A24,A88&lt;=A24+'Summary'!$B$10*12,MOD(A88-A24,'Summary'!$B$11)=0),I24,0)+IF(AND(A88&gt;A25,A88&lt;=A25+'Summary'!$B$10*12,MOD(A88-A25,'Summary'!$B$11)=0),I25,0)+IF(AND(A88&gt;A26,A88&lt;=A26+'Summary'!$B$10*12,MOD(A88-A26,'Summary'!$B$11)=0),I26,0)+IF(AND(A88&gt;A27,A88&lt;=A27+'Summary'!$B$10*12,MOD(A88-A27,'Summary'!$B$11)=0),I27,0)+IF(AND(A88&gt;A28,A88&lt;=A28+'Summary'!$B$10*12,MOD(A88-A28,'Summary'!$B$11)=0),I28,0)+IF(AND(A88&gt;A29,A88&lt;=A29+'Summary'!$B$10*12,MOD(A88-A29,'Summary'!$B$11)=0),I29,0)+IF(AND(A88&gt;A30,A88&lt;=A30+'Summary'!$B$10*12,MOD(A88-A30,'Summary'!$B$11)=0),I30,0)+IF(AND(A88&gt;A31,A88&lt;=A31+'Summary'!$B$10*12,MOD(A88-A31,'Summary'!$B$11)=0),I31,0)+IF(AND(A88&gt;A32,A88&lt;=A32+'Summary'!$B$10*12,MOD(A88-A32,'Summary'!$B$11)=0),I32,0)+IF(AND(A88&gt;A33,A88&lt;=A33+'Summary'!$B$10*12,MOD(A88-A33,'Summary'!$B$11)=0),I33,0)+IF(AND(A88&gt;A34,A88&lt;=A34+'Summary'!$B$10*12,MOD(A88-A34,'Summary'!$B$11)=0),I34,0)+IF(AND(A88&gt;A35,A88&lt;=A35+'Summary'!$B$10*12,MOD(A88-A35,'Summary'!$B$11)=0),I35,0)+IF(AND(A88&gt;A36,A88&lt;=A36+'Summary'!$B$10*12,MOD(A88-A36,'Summary'!$B$11)=0),I36,0)+IF(AND(A88&gt;A37,A88&lt;=A37+'Summary'!$B$10*12,MOD(A88-A37,'Summary'!$B$11)=0),I37,0)+IF(AND(A88&gt;A38,A88&lt;=A38+'Summary'!$B$10*12,MOD(A88-A38,'Summary'!$B$11)=0),I38,0)+IF(AND(A88&gt;A39,A88&lt;=A39+'Summary'!$B$10*12,MOD(A88-A39,'Summary'!$B$11)=0),I39,0)+IF(AND(A88&gt;A40,A88&lt;=A40+'Summary'!$B$10*12,MOD(A88-A40,'Summary'!$B$11)=0),I40,0)+IF(AND(A88&gt;A41,A88&lt;=A41+'Summary'!$B$10*12,MOD(A88-A41,'Summary'!$B$11)=0),I41,0)+IF(AND(A88&gt;A42,A88&lt;=A42+'Summary'!$B$10*12,MOD(A88-A42,'Summary'!$B$11)=0),I42,0)+IF(AND(A88&gt;A43,A88&lt;=A43+'Summary'!$B$10*12,MOD(A88-A43,'Summary'!$B$11)=0),I43,0)+IF(AND(A88&gt;A44,A88&lt;=A44+'Summary'!$B$10*12,MOD(A88-A44,'Summary'!$B$11)=0),I44,0)+IF(AND(A88&gt;A45,A88&lt;=A45+'Summary'!$B$10*12,MOD(A88-A45,'Summary'!$B$11)=0),I45,0)+IF(AND(A88&gt;A46,A88&lt;=A46+'Summary'!$B$10*12,MOD(A88-A46,'Summary'!$B$11)=0),I46,0)+IF(AND(A88&gt;A47,A88&lt;=A47+'Summary'!$B$10*12,MOD(A88-A47,'Summary'!$B$11)=0),I47,0)+IF(AND(A88&gt;A48,A88&lt;=A48+'Summary'!$B$10*12,MOD(A88-A48,'Summary'!$B$11)=0),I48,0)+IF(AND(A88&gt;A49,A88&lt;=A49+'Summary'!$B$10*12,MOD(A88-A49,'Summary'!$B$11)=0),I49,0)+IF(AND(A88&gt;A50,A88&lt;=A50+'Summary'!$B$10*12,MOD(A88-A50,'Summary'!$B$11)=0),I50,0)+IF(AND(A88&gt;A51,A88&lt;=A51+'Summary'!$B$10*12,MOD(A88-A51,'Summary'!$B$11)=0),I51,0)+IF(AND(A88&gt;A52,A88&lt;=A52+'Summary'!$B$10*12,MOD(A88-A52,'Summary'!$B$11)=0),I52,0)+IF(AND(A88&gt;A53,A88&lt;=A53+'Summary'!$B$10*12,MOD(A88-A53,'Summary'!$B$11)=0),I53,0)+IF(AND(A88&gt;A54,A88&lt;=A54+'Summary'!$B$10*12,MOD(A88-A54,'Summary'!$B$11)=0),I54,0)+IF(AND(A88&gt;A55,A88&lt;=A55+'Summary'!$B$10*12,MOD(A88-A55,'Summary'!$B$11)=0),I55,0)+IF(AND(A88&gt;A56,A88&lt;=A56+'Summary'!$B$10*12,MOD(A88-A56,'Summary'!$B$11)=0),I56,0)+IF(AND(A88&gt;A57,A88&lt;=A57+'Summary'!$B$10*12,MOD(A88-A57,'Summary'!$B$11)=0),I57,0)+IF(AND(A88&gt;A58,A88&lt;=A58+'Summary'!$B$10*12,MOD(A88-A58,'Summary'!$B$11)=0),I58,0)+IF(AND(A88&gt;A59,A88&lt;=A59+'Summary'!$B$10*12,MOD(A88-A59,'Summary'!$B$11)=0),I59,0)+IF(AND(A88&gt;A60,A88&lt;=A60+'Summary'!$B$10*12,MOD(A88-A60,'Summary'!$B$11)=0),I60,0)+IF(AND(A88&gt;A61,A88&lt;=A61+'Summary'!$B$10*12,MOD(A88-A61,'Summary'!$B$11)=0),I61,0)+IF(AND(A88&gt;A62,A88&lt;=A62+'Summary'!$B$10*12,MOD(A88-A62,'Summary'!$B$11)=0),I62,0)+IF(AND(A88&gt;A63,A88&lt;=A63+'Summary'!$B$10*12,MOD(A88-A63,'Summary'!$B$11)=0),I63,0)+IF(AND(A88&gt;A64,A88&lt;=A64+'Summary'!$B$10*12,MOD(A88-A64,'Summary'!$B$11)=0),I64,0)+IF(AND(A88&gt;A65,A88&lt;=A65+'Summary'!$B$10*12,MOD(A88-A65,'Summary'!$B$11)=0),I65,0)+IF(AND(A88&gt;A66,A88&lt;=A66+'Summary'!$B$10*12,MOD(A88-A66,'Summary'!$B$11)=0),I66,0)+IF(AND(A88&gt;A67,A88&lt;=A67+'Summary'!$B$10*12,MOD(A88-A67,'Summary'!$B$11)=0),I67,0)+IF(AND(A88&gt;A68,A88&lt;=A68+'Summary'!$B$10*12,MOD(A88-A68,'Summary'!$B$11)=0),I68,0)+IF(AND(A88&gt;A69,A88&lt;=A69+'Summary'!$B$10*12,MOD(A88-A69,'Summary'!$B$11)=0),I69,0)+IF(AND(A88&gt;A70,A88&lt;=A70+'Summary'!$B$10*12,MOD(A88-A70,'Summary'!$B$11)=0),I70,0)+IF(AND(A88&gt;A71,A88&lt;=A71+'Summary'!$B$10*12,MOD(A88-A71,'Summary'!$B$11)=0),I71,0)+IF(AND(A88&gt;A72,A88&lt;=A72+'Summary'!$B$10*12,MOD(A88-A72,'Summary'!$B$11)=0),I72,0)+IF(AND(A88&gt;A73,A88&lt;=A73+'Summary'!$B$10*12,MOD(A88-A73,'Summary'!$B$11)=0),I73,0)+IF(AND(A88&gt;A74,A88&lt;=A74+'Summary'!$B$10*12,MOD(A88-A74,'Summary'!$B$11)=0),I74,0)+IF(AND(A88&gt;A75,A88&lt;=A75+'Summary'!$B$10*12,MOD(A88-A75,'Summary'!$B$11)=0),I75,0)+IF(AND(A88&gt;A76,A88&lt;=A76+'Summary'!$B$10*12,MOD(A88-A76,'Summary'!$B$11)=0),I76,0)+IF(AND(A88&gt;A77,A88&lt;=A77+'Summary'!$B$10*12,MOD(A88-A77,'Summary'!$B$11)=0),I77,0)+IF(AND(A88&gt;A78,A88&lt;=A78+'Summary'!$B$10*12,MOD(A88-A78,'Summary'!$B$11)=0),I78,0)+IF(AND(A88&gt;A79,A88&lt;=A79+'Summary'!$B$10*12,MOD(A88-A79,'Summary'!$B$11)=0),I79,0)+IF(AND(A88&gt;A80,A88&lt;=A80+'Summary'!$B$10*12,MOD(A88-A80,'Summary'!$B$11)=0),I80,0)+IF(AND(A88&gt;A81,A88&lt;=A81+'Summary'!$B$10*12,MOD(A88-A81,'Summary'!$B$11)=0),I81,0)+IF(AND(A88&gt;A82,A88&lt;=A82+'Summary'!$B$10*12,MOD(A88-A82,'Summary'!$B$11)=0),I82,0)+IF(AND(A88&gt;A83,A88&lt;=A83+'Summary'!$B$10*12,MOD(A88-A83,'Summary'!$B$11)=0),I83,0)+IF(AND(A88&gt;A84,A88&lt;=A84+'Summary'!$B$10*12,MOD(A88-A84,'Summary'!$B$11)=0),I84,0)+IF(AND(A88&gt;A85,A88&lt;=A85+'Summary'!$B$10*12,MOD(A88-A85,'Summary'!$B$11)=0),I85,0)+IF(AND(A88&gt;A86,A88&lt;=A86+'Summary'!$B$10*12,MOD(A88-A86,'Summary'!$B$11)=0),I86,0)+IF(AND(A88&gt;A87,A88&lt;=A87+'Summary'!$B$10*12,MOD(A88-A87,'Summary'!$B$11)=0),I87,0))*'Summary'!$B$8/2</x:f>
        <x:v>27.07137634842265</x:v>
      </x:c>
      <x:c r="G88" s="62" t="n">
        <x:f>IF(A88=A8+'Summary'!$B$10*12,I8,0)+IF(A88=A9+'Summary'!$B$10*12,I9,0)+IF(A88=A10+'Summary'!$B$10*12,I10,0)+IF(A88=A11+'Summary'!$B$10*12,I11,0)+IF(A88=A12+'Summary'!$B$10*12,I12,0)+IF(A88=A13+'Summary'!$B$10*12,I13,0)+IF(A88=A14+'Summary'!$B$10*12,I14,0)+IF(A88=A15+'Summary'!$B$10*12,I15,0)+IF(A88=A16+'Summary'!$B$10*12,I16,0)+IF(A88=A17+'Summary'!$B$10*12,I17,0)+IF(A88=A18+'Summary'!$B$10*12,I18,0)+IF(A88=A19+'Summary'!$B$10*12,I19,0)+IF(A88=A20+'Summary'!$B$10*12,I20,0)+IF(A88=A21+'Summary'!$B$10*12,I21,0)+IF(A88=A22+'Summary'!$B$10*12,I22,0)+IF(A88=A23+'Summary'!$B$10*12,I23,0)+IF(A88=A24+'Summary'!$B$10*12,I24,0)+IF(A88=A25+'Summary'!$B$10*12,I25,0)+IF(A88=A26+'Summary'!$B$10*12,I26,0)+IF(A88=A27+'Summary'!$B$10*12,I27,0)+IF(A88=A28+'Summary'!$B$10*12,I28,0)+IF(A88=A29+'Summary'!$B$10*12,I29,0)+IF(A88=A30+'Summary'!$B$10*12,I30,0)+IF(A88=A31+'Summary'!$B$10*12,I31,0)+IF(A88=A32+'Summary'!$B$10*12,I32,0)+IF(A88=A33+'Summary'!$B$10*12,I33,0)+IF(A88=A34+'Summary'!$B$10*12,I34,0)+IF(A88=A35+'Summary'!$B$10*12,I35,0)+IF(A88=A36+'Summary'!$B$10*12,I36,0)+IF(A88=A37+'Summary'!$B$10*12,I37,0)+IF(A88=A38+'Summary'!$B$10*12,I38,0)+IF(A88=A39+'Summary'!$B$10*12,I39,0)+IF(A88=A40+'Summary'!$B$10*12,I40,0)+IF(A88=A41+'Summary'!$B$10*12,I41,0)+IF(A88=A42+'Summary'!$B$10*12,I42,0)+IF(A88=A43+'Summary'!$B$10*12,I43,0)+IF(A88=A44+'Summary'!$B$10*12,I44,0)+IF(A88=A45+'Summary'!$B$10*12,I45,0)+IF(A88=A46+'Summary'!$B$10*12,I46,0)+IF(A88=A47+'Summary'!$B$10*12,I47,0)+IF(A88=A48+'Summary'!$B$10*12,I48,0)+IF(A88=A49+'Summary'!$B$10*12,I49,0)+IF(A88=A50+'Summary'!$B$10*12,I50,0)+IF(A88=A51+'Summary'!$B$10*12,I51,0)+IF(A88=A52+'Summary'!$B$10*12,I52,0)+IF(A88=A53+'Summary'!$B$10*12,I53,0)+IF(A88=A54+'Summary'!$B$10*12,I54,0)+IF(A88=A55+'Summary'!$B$10*12,I55,0)+IF(A88=A56+'Summary'!$B$10*12,I56,0)+IF(A88=A57+'Summary'!$B$10*12,I57,0)+IF(A88=A58+'Summary'!$B$10*12,I58,0)+IF(A88=A59+'Summary'!$B$10*12,I59,0)+IF(A88=A60+'Summary'!$B$10*12,I60,0)+IF(A88=A61+'Summary'!$B$10*12,I61,0)+IF(A88=A62+'Summary'!$B$10*12,I62,0)+IF(A88=A63+'Summary'!$B$10*12,I63,0)+IF(A88=A64+'Summary'!$B$10*12,I64,0)+IF(A88=A65+'Summary'!$B$10*12,I65,0)+IF(A88=A66+'Summary'!$B$10*12,I66,0)+IF(A88=A67+'Summary'!$B$10*12,I67,0)+IF(A88=A68+'Summary'!$B$10*12,I68,0)+IF(A88=A69+'Summary'!$B$10*12,I69,0)+IF(A88=A70+'Summary'!$B$10*12,I70,0)+IF(A88=A71+'Summary'!$B$10*12,I71,0)+IF(A88=A72+'Summary'!$B$10*12,I72,0)+IF(A88=A73+'Summary'!$B$10*12,I73,0)+IF(A88=A74+'Summary'!$B$10*12,I74,0)+IF(A88=A75+'Summary'!$B$10*12,I75,0)+IF(A88=A76+'Summary'!$B$10*12,I76,0)+IF(A88=A77+'Summary'!$B$10*12,I77,0)+IF(A88=A78+'Summary'!$B$10*12,I78,0)+IF(A88=A79+'Summary'!$B$10*12,I79,0)+IF(A88=A80+'Summary'!$B$10*12,I80,0)+IF(A88=A81+'Summary'!$B$10*12,I81,0)+IF(A88=A82+'Summary'!$B$10*12,I82,0)+IF(A88=A83+'Summary'!$B$10*12,I83,0)+IF(A88=A84+'Summary'!$B$10*12,I84,0)+IF(A88=A85+'Summary'!$B$10*12,I85,0)+IF(A88=A86+'Summary'!$B$10*12,I86,0)+IF(A88=A87+'Summary'!$B$10*12,I87,0)</x:f>
        <x:v>105.6844314856</x:v>
      </x:c>
      <x:c r="H88" s="62" t="n">
        <x:f>E88+D88+F88+G88</x:f>
        <x:v>232.75580783402265</x:v>
      </x:c>
      <x:c r="I88" s="62" t="n">
        <x:f>IF(B88,IF(H88&gt;='Summary'!$B$12,H88,0),0)</x:f>
        <x:v>232.75580783402265</x:v>
      </x:c>
      <x:c r="J88" s="62" t="n">
        <x:f>H88-I88</x:f>
        <x:v>0</x:v>
      </x:c>
      <x:c r="K88" s="63" t="n">
        <x:f>J88+IF(A8+'Summary'!$B$10*12&gt;A88,I8,0)+IF(A9+'Summary'!$B$10*12&gt;A88,I9,0)+IF(A10+'Summary'!$B$10*12&gt;A88,I10,0)+IF(A11+'Summary'!$B$10*12&gt;A88,I11,0)+IF(A12+'Summary'!$B$10*12&gt;A88,I12,0)+IF(A13+'Summary'!$B$10*12&gt;A88,I13,0)+IF(A14+'Summary'!$B$10*12&gt;A88,I14,0)+IF(A15+'Summary'!$B$10*12&gt;A88,I15,0)+IF(A16+'Summary'!$B$10*12&gt;A88,I16,0)+IF(A17+'Summary'!$B$10*12&gt;A88,I17,0)+IF(A18+'Summary'!$B$10*12&gt;A88,I18,0)+IF(A19+'Summary'!$B$10*12&gt;A88,I19,0)+IF(A20+'Summary'!$B$10*12&gt;A88,I20,0)+IF(A21+'Summary'!$B$10*12&gt;A88,I21,0)+IF(A22+'Summary'!$B$10*12&gt;A88,I22,0)+IF(A23+'Summary'!$B$10*12&gt;A88,I23,0)+IF(A24+'Summary'!$B$10*12&gt;A88,I24,0)+IF(A25+'Summary'!$B$10*12&gt;A88,I25,0)+IF(A26+'Summary'!$B$10*12&gt;A88,I26,0)+IF(A27+'Summary'!$B$10*12&gt;A88,I27,0)+IF(A28+'Summary'!$B$10*12&gt;A88,I28,0)+IF(A29+'Summary'!$B$10*12&gt;A88,I29,0)+IF(A30+'Summary'!$B$10*12&gt;A88,I30,0)+IF(A31+'Summary'!$B$10*12&gt;A88,I31,0)+IF(A32+'Summary'!$B$10*12&gt;A88,I32,0)+IF(A33+'Summary'!$B$10*12&gt;A88,I33,0)+IF(A34+'Summary'!$B$10*12&gt;A88,I34,0)+IF(A35+'Summary'!$B$10*12&gt;A88,I35,0)+IF(A36+'Summary'!$B$10*12&gt;A88,I36,0)+IF(A37+'Summary'!$B$10*12&gt;A88,I37,0)+IF(A38+'Summary'!$B$10*12&gt;A88,I38,0)+IF(A39+'Summary'!$B$10*12&gt;A88,I39,0)+IF(A40+'Summary'!$B$10*12&gt;A88,I40,0)+IF(A41+'Summary'!$B$10*12&gt;A88,I41,0)+IF(A42+'Summary'!$B$10*12&gt;A88,I42,0)+IF(A43+'Summary'!$B$10*12&gt;A88,I43,0)+IF(A44+'Summary'!$B$10*12&gt;A88,I44,0)+IF(A45+'Summary'!$B$10*12&gt;A88,I45,0)+IF(A46+'Summary'!$B$10*12&gt;A88,I46,0)+IF(A47+'Summary'!$B$10*12&gt;A88,I47,0)+IF(A48+'Summary'!$B$10*12&gt;A88,I48,0)+IF(A49+'Summary'!$B$10*12&gt;A88,I49,0)+IF(A50+'Summary'!$B$10*12&gt;A88,I50,0)+IF(A51+'Summary'!$B$10*12&gt;A88,I51,0)+IF(A52+'Summary'!$B$10*12&gt;A88,I52,0)+IF(A53+'Summary'!$B$10*12&gt;A88,I53,0)+IF(A54+'Summary'!$B$10*12&gt;A88,I54,0)+IF(A55+'Summary'!$B$10*12&gt;A88,I55,0)+IF(A56+'Summary'!$B$10*12&gt;A88,I56,0)+IF(A57+'Summary'!$B$10*12&gt;A88,I57,0)+IF(A58+'Summary'!$B$10*12&gt;A88,I58,0)+IF(A59+'Summary'!$B$10*12&gt;A88,I59,0)+IF(A60+'Summary'!$B$10*12&gt;A88,I60,0)+IF(A61+'Summary'!$B$10*12&gt;A88,I61,0)+IF(A62+'Summary'!$B$10*12&gt;A88,I62,0)+IF(A63+'Summary'!$B$10*12&gt;A88,I63,0)+IF(A64+'Summary'!$B$10*12&gt;A88,I64,0)+IF(A65+'Summary'!$B$10*12&gt;A88,I65,0)+IF(A66+'Summary'!$B$10*12&gt;A88,I66,0)+IF(A67+'Summary'!$B$10*12&gt;A88,I67,0)+IF(A68+'Summary'!$B$10*12&gt;A88,I68,0)+IF(A69+'Summary'!$B$10*12&gt;A88,I69,0)+IF(A70+'Summary'!$B$10*12&gt;A88,I70,0)+IF(A71+'Summary'!$B$10*12&gt;A88,I71,0)+IF(A72+'Summary'!$B$10*12&gt;A88,I72,0)+IF(A73+'Summary'!$B$10*12&gt;A88,I73,0)+IF(A74+'Summary'!$B$10*12&gt;A88,I74,0)+IF(A75+'Summary'!$B$10*12&gt;A88,I75,0)+IF(A76+'Summary'!$B$10*12&gt;A88,I76,0)+IF(A77+'Summary'!$B$10*12&gt;A88,I77,0)+IF(A78+'Summary'!$B$10*12&gt;A88,I78,0)+IF(A79+'Summary'!$B$10*12&gt;A88,I79,0)+IF(A80+'Summary'!$B$10*12&gt;A88,I80,0)+IF(A81+'Summary'!$B$10*12&gt;A88,I81,0)+IF(A82+'Summary'!$B$10*12&gt;A88,I82,0)+IF(A83+'Summary'!$B$10*12&gt;A88,I83,0)+IF(A84+'Summary'!$B$10*12&gt;A88,I84,0)+IF(A85+'Summary'!$B$10*12&gt;A88,I85,0)+IF(A86+'Summary'!$B$10*12&gt;A88,I86,0)+IF(A87+'Summary'!$B$10*12&gt;A88,I87,0)+IF(A88+'Summary'!$B$10*12&gt;A88,I88,0)</x:f>
        <x:v>21821.053811765792</x:v>
      </x:c>
    </x:row>
    <x:row r="89">
      <x:c r="A89" s="55" t="n">
        <x:v>81</x:v>
      </x:c>
      <x:c r="B89" s="71" t="b">
        <x:f>A89&lt;='Summary'!$B$9*12</x:f>
        <x:v>1</x:v>
      </x:c>
      <x:c r="C89" s="62" t="n">
        <x:f>IF(A89=0,IF('Summary'!$B$6&gt;=5,'Summary'!$B$6,0),C88)+IF(A89&lt;'Summary'!$B$9*12,IF('Summary'!$B$7&gt;=5,'Summary'!$B$7,0),0)</x:f>
        <x:v>18200</x:v>
      </x:c>
      <x:c r="D89" s="62" t="n">
        <x:f>IF(A89=0,IF('Summary'!$B$6&gt;=5,'Summary'!$B$6,0),0)+IF(A89&lt;'Summary'!$B$9*12,IF('Summary'!$B$7&gt;=5,'Summary'!$B$7,0),0)</x:f>
        <x:v>100</x:v>
      </x:c>
      <x:c r="E89" s="62" t="n">
        <x:f>J88</x:f>
        <x:v>0</x:v>
      </x:c>
      <x:c r="F89" s="62" t="n">
        <x:f>(IF(AND(A89&gt;A8,A89&lt;=A8+'Summary'!$B$10*12,MOD(A89-A8,'Summary'!$B$11)=0),I8,0)+IF(AND(A89&gt;A9,A89&lt;=A9+'Summary'!$B$10*12,MOD(A89-A9,'Summary'!$B$11)=0),I9,0)+IF(AND(A89&gt;A10,A89&lt;=A10+'Summary'!$B$10*12,MOD(A89-A10,'Summary'!$B$11)=0),I10,0)+IF(AND(A89&gt;A11,A89&lt;=A11+'Summary'!$B$10*12,MOD(A89-A11,'Summary'!$B$11)=0),I11,0)+IF(AND(A89&gt;A12,A89&lt;=A12+'Summary'!$B$10*12,MOD(A89-A12,'Summary'!$B$11)=0),I12,0)+IF(AND(A89&gt;A13,A89&lt;=A13+'Summary'!$B$10*12,MOD(A89-A13,'Summary'!$B$11)=0),I13,0)+IF(AND(A89&gt;A14,A89&lt;=A14+'Summary'!$B$10*12,MOD(A89-A14,'Summary'!$B$11)=0),I14,0)+IF(AND(A89&gt;A15,A89&lt;=A15+'Summary'!$B$10*12,MOD(A89-A15,'Summary'!$B$11)=0),I15,0)+IF(AND(A89&gt;A16,A89&lt;=A16+'Summary'!$B$10*12,MOD(A89-A16,'Summary'!$B$11)=0),I16,0)+IF(AND(A89&gt;A17,A89&lt;=A17+'Summary'!$B$10*12,MOD(A89-A17,'Summary'!$B$11)=0),I17,0)+IF(AND(A89&gt;A18,A89&lt;=A18+'Summary'!$B$10*12,MOD(A89-A18,'Summary'!$B$11)=0),I18,0)+IF(AND(A89&gt;A19,A89&lt;=A19+'Summary'!$B$10*12,MOD(A89-A19,'Summary'!$B$11)=0),I19,0)+IF(AND(A89&gt;A20,A89&lt;=A20+'Summary'!$B$10*12,MOD(A89-A20,'Summary'!$B$11)=0),I20,0)+IF(AND(A89&gt;A21,A89&lt;=A21+'Summary'!$B$10*12,MOD(A89-A21,'Summary'!$B$11)=0),I21,0)+IF(AND(A89&gt;A22,A89&lt;=A22+'Summary'!$B$10*12,MOD(A89-A22,'Summary'!$B$11)=0),I22,0)+IF(AND(A89&gt;A23,A89&lt;=A23+'Summary'!$B$10*12,MOD(A89-A23,'Summary'!$B$11)=0),I23,0)+IF(AND(A89&gt;A24,A89&lt;=A24+'Summary'!$B$10*12,MOD(A89-A24,'Summary'!$B$11)=0),I24,0)+IF(AND(A89&gt;A25,A89&lt;=A25+'Summary'!$B$10*12,MOD(A89-A25,'Summary'!$B$11)=0),I25,0)+IF(AND(A89&gt;A26,A89&lt;=A26+'Summary'!$B$10*12,MOD(A89-A26,'Summary'!$B$11)=0),I26,0)+IF(AND(A89&gt;A27,A89&lt;=A27+'Summary'!$B$10*12,MOD(A89-A27,'Summary'!$B$11)=0),I27,0)+IF(AND(A89&gt;A28,A89&lt;=A28+'Summary'!$B$10*12,MOD(A89-A28,'Summary'!$B$11)=0),I28,0)+IF(AND(A89&gt;A29,A89&lt;=A29+'Summary'!$B$10*12,MOD(A89-A29,'Summary'!$B$11)=0),I29,0)+IF(AND(A89&gt;A30,A89&lt;=A30+'Summary'!$B$10*12,MOD(A89-A30,'Summary'!$B$11)=0),I30,0)+IF(AND(A89&gt;A31,A89&lt;=A31+'Summary'!$B$10*12,MOD(A89-A31,'Summary'!$B$11)=0),I31,0)+IF(AND(A89&gt;A32,A89&lt;=A32+'Summary'!$B$10*12,MOD(A89-A32,'Summary'!$B$11)=0),I32,0)+IF(AND(A89&gt;A33,A89&lt;=A33+'Summary'!$B$10*12,MOD(A89-A33,'Summary'!$B$11)=0),I33,0)+IF(AND(A89&gt;A34,A89&lt;=A34+'Summary'!$B$10*12,MOD(A89-A34,'Summary'!$B$11)=0),I34,0)+IF(AND(A89&gt;A35,A89&lt;=A35+'Summary'!$B$10*12,MOD(A89-A35,'Summary'!$B$11)=0),I35,0)+IF(AND(A89&gt;A36,A89&lt;=A36+'Summary'!$B$10*12,MOD(A89-A36,'Summary'!$B$11)=0),I36,0)+IF(AND(A89&gt;A37,A89&lt;=A37+'Summary'!$B$10*12,MOD(A89-A37,'Summary'!$B$11)=0),I37,0)+IF(AND(A89&gt;A38,A89&lt;=A38+'Summary'!$B$10*12,MOD(A89-A38,'Summary'!$B$11)=0),I38,0)+IF(AND(A89&gt;A39,A89&lt;=A39+'Summary'!$B$10*12,MOD(A89-A39,'Summary'!$B$11)=0),I39,0)+IF(AND(A89&gt;A40,A89&lt;=A40+'Summary'!$B$10*12,MOD(A89-A40,'Summary'!$B$11)=0),I40,0)+IF(AND(A89&gt;A41,A89&lt;=A41+'Summary'!$B$10*12,MOD(A89-A41,'Summary'!$B$11)=0),I41,0)+IF(AND(A89&gt;A42,A89&lt;=A42+'Summary'!$B$10*12,MOD(A89-A42,'Summary'!$B$11)=0),I42,0)+IF(AND(A89&gt;A43,A89&lt;=A43+'Summary'!$B$10*12,MOD(A89-A43,'Summary'!$B$11)=0),I43,0)+IF(AND(A89&gt;A44,A89&lt;=A44+'Summary'!$B$10*12,MOD(A89-A44,'Summary'!$B$11)=0),I44,0)+IF(AND(A89&gt;A45,A89&lt;=A45+'Summary'!$B$10*12,MOD(A89-A45,'Summary'!$B$11)=0),I45,0)+IF(AND(A89&gt;A46,A89&lt;=A46+'Summary'!$B$10*12,MOD(A89-A46,'Summary'!$B$11)=0),I46,0)+IF(AND(A89&gt;A47,A89&lt;=A47+'Summary'!$B$10*12,MOD(A89-A47,'Summary'!$B$11)=0),I47,0)+IF(AND(A89&gt;A48,A89&lt;=A48+'Summary'!$B$10*12,MOD(A89-A48,'Summary'!$B$11)=0),I48,0)+IF(AND(A89&gt;A49,A89&lt;=A49+'Summary'!$B$10*12,MOD(A89-A49,'Summary'!$B$11)=0),I49,0)+IF(AND(A89&gt;A50,A89&lt;=A50+'Summary'!$B$10*12,MOD(A89-A50,'Summary'!$B$11)=0),I50,0)+IF(AND(A89&gt;A51,A89&lt;=A51+'Summary'!$B$10*12,MOD(A89-A51,'Summary'!$B$11)=0),I51,0)+IF(AND(A89&gt;A52,A89&lt;=A52+'Summary'!$B$10*12,MOD(A89-A52,'Summary'!$B$11)=0),I52,0)+IF(AND(A89&gt;A53,A89&lt;=A53+'Summary'!$B$10*12,MOD(A89-A53,'Summary'!$B$11)=0),I53,0)+IF(AND(A89&gt;A54,A89&lt;=A54+'Summary'!$B$10*12,MOD(A89-A54,'Summary'!$B$11)=0),I54,0)+IF(AND(A89&gt;A55,A89&lt;=A55+'Summary'!$B$10*12,MOD(A89-A55,'Summary'!$B$11)=0),I55,0)+IF(AND(A89&gt;A56,A89&lt;=A56+'Summary'!$B$10*12,MOD(A89-A56,'Summary'!$B$11)=0),I56,0)+IF(AND(A89&gt;A57,A89&lt;=A57+'Summary'!$B$10*12,MOD(A89-A57,'Summary'!$B$11)=0),I57,0)+IF(AND(A89&gt;A58,A89&lt;=A58+'Summary'!$B$10*12,MOD(A89-A58,'Summary'!$B$11)=0),I58,0)+IF(AND(A89&gt;A59,A89&lt;=A59+'Summary'!$B$10*12,MOD(A89-A59,'Summary'!$B$11)=0),I59,0)+IF(AND(A89&gt;A60,A89&lt;=A60+'Summary'!$B$10*12,MOD(A89-A60,'Summary'!$B$11)=0),I60,0)+IF(AND(A89&gt;A61,A89&lt;=A61+'Summary'!$B$10*12,MOD(A89-A61,'Summary'!$B$11)=0),I61,0)+IF(AND(A89&gt;A62,A89&lt;=A62+'Summary'!$B$10*12,MOD(A89-A62,'Summary'!$B$11)=0),I62,0)+IF(AND(A89&gt;A63,A89&lt;=A63+'Summary'!$B$10*12,MOD(A89-A63,'Summary'!$B$11)=0),I63,0)+IF(AND(A89&gt;A64,A89&lt;=A64+'Summary'!$B$10*12,MOD(A89-A64,'Summary'!$B$11)=0),I64,0)+IF(AND(A89&gt;A65,A89&lt;=A65+'Summary'!$B$10*12,MOD(A89-A65,'Summary'!$B$11)=0),I65,0)+IF(AND(A89&gt;A66,A89&lt;=A66+'Summary'!$B$10*12,MOD(A89-A66,'Summary'!$B$11)=0),I66,0)+IF(AND(A89&gt;A67,A89&lt;=A67+'Summary'!$B$10*12,MOD(A89-A67,'Summary'!$B$11)=0),I67,0)+IF(AND(A89&gt;A68,A89&lt;=A68+'Summary'!$B$10*12,MOD(A89-A68,'Summary'!$B$11)=0),I68,0)+IF(AND(A89&gt;A69,A89&lt;=A69+'Summary'!$B$10*12,MOD(A89-A69,'Summary'!$B$11)=0),I69,0)+IF(AND(A89&gt;A70,A89&lt;=A70+'Summary'!$B$10*12,MOD(A89-A70,'Summary'!$B$11)=0),I70,0)+IF(AND(A89&gt;A71,A89&lt;=A71+'Summary'!$B$10*12,MOD(A89-A71,'Summary'!$B$11)=0),I71,0)+IF(AND(A89&gt;A72,A89&lt;=A72+'Summary'!$B$10*12,MOD(A89-A72,'Summary'!$B$11)=0),I72,0)+IF(AND(A89&gt;A73,A89&lt;=A73+'Summary'!$B$10*12,MOD(A89-A73,'Summary'!$B$11)=0),I73,0)+IF(AND(A89&gt;A74,A89&lt;=A74+'Summary'!$B$10*12,MOD(A89-A74,'Summary'!$B$11)=0),I74,0)+IF(AND(A89&gt;A75,A89&lt;=A75+'Summary'!$B$10*12,MOD(A89-A75,'Summary'!$B$11)=0),I75,0)+IF(AND(A89&gt;A76,A89&lt;=A76+'Summary'!$B$10*12,MOD(A89-A76,'Summary'!$B$11)=0),I76,0)+IF(AND(A89&gt;A77,A89&lt;=A77+'Summary'!$B$10*12,MOD(A89-A77,'Summary'!$B$11)=0),I77,0)+IF(AND(A89&gt;A78,A89&lt;=A78+'Summary'!$B$10*12,MOD(A89-A78,'Summary'!$B$11)=0),I78,0)+IF(AND(A89&gt;A79,A89&lt;=A79+'Summary'!$B$10*12,MOD(A89-A79,'Summary'!$B$11)=0),I79,0)+IF(AND(A89&gt;A80,A89&lt;=A80+'Summary'!$B$10*12,MOD(A89-A80,'Summary'!$B$11)=0),I80,0)+IF(AND(A89&gt;A81,A89&lt;=A81+'Summary'!$B$10*12,MOD(A89-A81,'Summary'!$B$11)=0),I81,0)+IF(AND(A89&gt;A82,A89&lt;=A82+'Summary'!$B$10*12,MOD(A89-A82,'Summary'!$B$11)=0),I82,0)+IF(AND(A89&gt;A83,A89&lt;=A83+'Summary'!$B$10*12,MOD(A89-A83,'Summary'!$B$11)=0),I83,0)+IF(AND(A89&gt;A84,A89&lt;=A84+'Summary'!$B$10*12,MOD(A89-A84,'Summary'!$B$11)=0),I84,0)+IF(AND(A89&gt;A85,A89&lt;=A85+'Summary'!$B$10*12,MOD(A89-A85,'Summary'!$B$11)=0),I85,0)+IF(AND(A89&gt;A86,A89&lt;=A86+'Summary'!$B$10*12,MOD(A89-A86,'Summary'!$B$11)=0),I86,0)+IF(AND(A89&gt;A87,A89&lt;=A87+'Summary'!$B$10*12,MOD(A89-A87,'Summary'!$B$11)=0),I87,0)+IF(AND(A89&gt;A88,A89&lt;=A88+'Summary'!$B$10*12,MOD(A89-A88,'Summary'!$B$11)=0),I88,0))*'Summary'!$B$8/2</x:f>
        <x:v>27.07137634842265</x:v>
      </x:c>
      <x:c r="G89" s="62" t="n">
        <x:f>IF(A89=A8+'Summary'!$B$10*12,I8,0)+IF(A89=A9+'Summary'!$B$10*12,I9,0)+IF(A89=A10+'Summary'!$B$10*12,I10,0)+IF(A89=A11+'Summary'!$B$10*12,I11,0)+IF(A89=A12+'Summary'!$B$10*12,I12,0)+IF(A89=A13+'Summary'!$B$10*12,I13,0)+IF(A89=A14+'Summary'!$B$10*12,I14,0)+IF(A89=A15+'Summary'!$B$10*12,I15,0)+IF(A89=A16+'Summary'!$B$10*12,I16,0)+IF(A89=A17+'Summary'!$B$10*12,I17,0)+IF(A89=A18+'Summary'!$B$10*12,I18,0)+IF(A89=A19+'Summary'!$B$10*12,I19,0)+IF(A89=A20+'Summary'!$B$10*12,I20,0)+IF(A89=A21+'Summary'!$B$10*12,I21,0)+IF(A89=A22+'Summary'!$B$10*12,I22,0)+IF(A89=A23+'Summary'!$B$10*12,I23,0)+IF(A89=A24+'Summary'!$B$10*12,I24,0)+IF(A89=A25+'Summary'!$B$10*12,I25,0)+IF(A89=A26+'Summary'!$B$10*12,I26,0)+IF(A89=A27+'Summary'!$B$10*12,I27,0)+IF(A89=A28+'Summary'!$B$10*12,I28,0)+IF(A89=A29+'Summary'!$B$10*12,I29,0)+IF(A89=A30+'Summary'!$B$10*12,I30,0)+IF(A89=A31+'Summary'!$B$10*12,I31,0)+IF(A89=A32+'Summary'!$B$10*12,I32,0)+IF(A89=A33+'Summary'!$B$10*12,I33,0)+IF(A89=A34+'Summary'!$B$10*12,I34,0)+IF(A89=A35+'Summary'!$B$10*12,I35,0)+IF(A89=A36+'Summary'!$B$10*12,I36,0)+IF(A89=A37+'Summary'!$B$10*12,I37,0)+IF(A89=A38+'Summary'!$B$10*12,I38,0)+IF(A89=A39+'Summary'!$B$10*12,I39,0)+IF(A89=A40+'Summary'!$B$10*12,I40,0)+IF(A89=A41+'Summary'!$B$10*12,I41,0)+IF(A89=A42+'Summary'!$B$10*12,I42,0)+IF(A89=A43+'Summary'!$B$10*12,I43,0)+IF(A89=A44+'Summary'!$B$10*12,I44,0)+IF(A89=A45+'Summary'!$B$10*12,I45,0)+IF(A89=A46+'Summary'!$B$10*12,I46,0)+IF(A89=A47+'Summary'!$B$10*12,I47,0)+IF(A89=A48+'Summary'!$B$10*12,I48,0)+IF(A89=A49+'Summary'!$B$10*12,I49,0)+IF(A89=A50+'Summary'!$B$10*12,I50,0)+IF(A89=A51+'Summary'!$B$10*12,I51,0)+IF(A89=A52+'Summary'!$B$10*12,I52,0)+IF(A89=A53+'Summary'!$B$10*12,I53,0)+IF(A89=A54+'Summary'!$B$10*12,I54,0)+IF(A89=A55+'Summary'!$B$10*12,I55,0)+IF(A89=A56+'Summary'!$B$10*12,I56,0)+IF(A89=A57+'Summary'!$B$10*12,I57,0)+IF(A89=A58+'Summary'!$B$10*12,I58,0)+IF(A89=A59+'Summary'!$B$10*12,I59,0)+IF(A89=A60+'Summary'!$B$10*12,I60,0)+IF(A89=A61+'Summary'!$B$10*12,I61,0)+IF(A89=A62+'Summary'!$B$10*12,I62,0)+IF(A89=A63+'Summary'!$B$10*12,I63,0)+IF(A89=A64+'Summary'!$B$10*12,I64,0)+IF(A89=A65+'Summary'!$B$10*12,I65,0)+IF(A89=A66+'Summary'!$B$10*12,I66,0)+IF(A89=A67+'Summary'!$B$10*12,I67,0)+IF(A89=A68+'Summary'!$B$10*12,I68,0)+IF(A89=A69+'Summary'!$B$10*12,I69,0)+IF(A89=A70+'Summary'!$B$10*12,I70,0)+IF(A89=A71+'Summary'!$B$10*12,I71,0)+IF(A89=A72+'Summary'!$B$10*12,I72,0)+IF(A89=A73+'Summary'!$B$10*12,I73,0)+IF(A89=A74+'Summary'!$B$10*12,I74,0)+IF(A89=A75+'Summary'!$B$10*12,I75,0)+IF(A89=A76+'Summary'!$B$10*12,I76,0)+IF(A89=A77+'Summary'!$B$10*12,I77,0)+IF(A89=A78+'Summary'!$B$10*12,I78,0)+IF(A89=A79+'Summary'!$B$10*12,I79,0)+IF(A89=A80+'Summary'!$B$10*12,I80,0)+IF(A89=A81+'Summary'!$B$10*12,I81,0)+IF(A89=A82+'Summary'!$B$10*12,I82,0)+IF(A89=A83+'Summary'!$B$10*12,I83,0)+IF(A89=A84+'Summary'!$B$10*12,I84,0)+IF(A89=A85+'Summary'!$B$10*12,I85,0)+IF(A89=A86+'Summary'!$B$10*12,I86,0)+IF(A89=A87+'Summary'!$B$10*12,I87,0)+IF(A89=A88+'Summary'!$B$10*12,I88,0)</x:f>
        <x:v>105.6844314856</x:v>
      </x:c>
      <x:c r="H89" s="62" t="n">
        <x:f>E89+D89+F89+G89</x:f>
        <x:v>232.75580783402265</x:v>
      </x:c>
      <x:c r="I89" s="62" t="n">
        <x:f>IF(B89,IF(H89&gt;='Summary'!$B$12,H89,0),0)</x:f>
        <x:v>232.75580783402265</x:v>
      </x:c>
      <x:c r="J89" s="62" t="n">
        <x:f>H89-I89</x:f>
        <x:v>0</x:v>
      </x:c>
      <x:c r="K89" s="63" t="n">
        <x:f>J89+IF(A8+'Summary'!$B$10*12&gt;A89,I8,0)+IF(A9+'Summary'!$B$10*12&gt;A89,I9,0)+IF(A10+'Summary'!$B$10*12&gt;A89,I10,0)+IF(A11+'Summary'!$B$10*12&gt;A89,I11,0)+IF(A12+'Summary'!$B$10*12&gt;A89,I12,0)+IF(A13+'Summary'!$B$10*12&gt;A89,I13,0)+IF(A14+'Summary'!$B$10*12&gt;A89,I14,0)+IF(A15+'Summary'!$B$10*12&gt;A89,I15,0)+IF(A16+'Summary'!$B$10*12&gt;A89,I16,0)+IF(A17+'Summary'!$B$10*12&gt;A89,I17,0)+IF(A18+'Summary'!$B$10*12&gt;A89,I18,0)+IF(A19+'Summary'!$B$10*12&gt;A89,I19,0)+IF(A20+'Summary'!$B$10*12&gt;A89,I20,0)+IF(A21+'Summary'!$B$10*12&gt;A89,I21,0)+IF(A22+'Summary'!$B$10*12&gt;A89,I22,0)+IF(A23+'Summary'!$B$10*12&gt;A89,I23,0)+IF(A24+'Summary'!$B$10*12&gt;A89,I24,0)+IF(A25+'Summary'!$B$10*12&gt;A89,I25,0)+IF(A26+'Summary'!$B$10*12&gt;A89,I26,0)+IF(A27+'Summary'!$B$10*12&gt;A89,I27,0)+IF(A28+'Summary'!$B$10*12&gt;A89,I28,0)+IF(A29+'Summary'!$B$10*12&gt;A89,I29,0)+IF(A30+'Summary'!$B$10*12&gt;A89,I30,0)+IF(A31+'Summary'!$B$10*12&gt;A89,I31,0)+IF(A32+'Summary'!$B$10*12&gt;A89,I32,0)+IF(A33+'Summary'!$B$10*12&gt;A89,I33,0)+IF(A34+'Summary'!$B$10*12&gt;A89,I34,0)+IF(A35+'Summary'!$B$10*12&gt;A89,I35,0)+IF(A36+'Summary'!$B$10*12&gt;A89,I36,0)+IF(A37+'Summary'!$B$10*12&gt;A89,I37,0)+IF(A38+'Summary'!$B$10*12&gt;A89,I38,0)+IF(A39+'Summary'!$B$10*12&gt;A89,I39,0)+IF(A40+'Summary'!$B$10*12&gt;A89,I40,0)+IF(A41+'Summary'!$B$10*12&gt;A89,I41,0)+IF(A42+'Summary'!$B$10*12&gt;A89,I42,0)+IF(A43+'Summary'!$B$10*12&gt;A89,I43,0)+IF(A44+'Summary'!$B$10*12&gt;A89,I44,0)+IF(A45+'Summary'!$B$10*12&gt;A89,I45,0)+IF(A46+'Summary'!$B$10*12&gt;A89,I46,0)+IF(A47+'Summary'!$B$10*12&gt;A89,I47,0)+IF(A48+'Summary'!$B$10*12&gt;A89,I48,0)+IF(A49+'Summary'!$B$10*12&gt;A89,I49,0)+IF(A50+'Summary'!$B$10*12&gt;A89,I50,0)+IF(A51+'Summary'!$B$10*12&gt;A89,I51,0)+IF(A52+'Summary'!$B$10*12&gt;A89,I52,0)+IF(A53+'Summary'!$B$10*12&gt;A89,I53,0)+IF(A54+'Summary'!$B$10*12&gt;A89,I54,0)+IF(A55+'Summary'!$B$10*12&gt;A89,I55,0)+IF(A56+'Summary'!$B$10*12&gt;A89,I56,0)+IF(A57+'Summary'!$B$10*12&gt;A89,I57,0)+IF(A58+'Summary'!$B$10*12&gt;A89,I58,0)+IF(A59+'Summary'!$B$10*12&gt;A89,I59,0)+IF(A60+'Summary'!$B$10*12&gt;A89,I60,0)+IF(A61+'Summary'!$B$10*12&gt;A89,I61,0)+IF(A62+'Summary'!$B$10*12&gt;A89,I62,0)+IF(A63+'Summary'!$B$10*12&gt;A89,I63,0)+IF(A64+'Summary'!$B$10*12&gt;A89,I64,0)+IF(A65+'Summary'!$B$10*12&gt;A89,I65,0)+IF(A66+'Summary'!$B$10*12&gt;A89,I66,0)+IF(A67+'Summary'!$B$10*12&gt;A89,I67,0)+IF(A68+'Summary'!$B$10*12&gt;A89,I68,0)+IF(A69+'Summary'!$B$10*12&gt;A89,I69,0)+IF(A70+'Summary'!$B$10*12&gt;A89,I70,0)+IF(A71+'Summary'!$B$10*12&gt;A89,I71,0)+IF(A72+'Summary'!$B$10*12&gt;A89,I72,0)+IF(A73+'Summary'!$B$10*12&gt;A89,I73,0)+IF(A74+'Summary'!$B$10*12&gt;A89,I74,0)+IF(A75+'Summary'!$B$10*12&gt;A89,I75,0)+IF(A76+'Summary'!$B$10*12&gt;A89,I76,0)+IF(A77+'Summary'!$B$10*12&gt;A89,I77,0)+IF(A78+'Summary'!$B$10*12&gt;A89,I78,0)+IF(A79+'Summary'!$B$10*12&gt;A89,I79,0)+IF(A80+'Summary'!$B$10*12&gt;A89,I80,0)+IF(A81+'Summary'!$B$10*12&gt;A89,I81,0)+IF(A82+'Summary'!$B$10*12&gt;A89,I82,0)+IF(A83+'Summary'!$B$10*12&gt;A89,I83,0)+IF(A84+'Summary'!$B$10*12&gt;A89,I84,0)+IF(A85+'Summary'!$B$10*12&gt;A89,I85,0)+IF(A86+'Summary'!$B$10*12&gt;A89,I86,0)+IF(A87+'Summary'!$B$10*12&gt;A89,I87,0)+IF(A88+'Summary'!$B$10*12&gt;A89,I88,0)+IF(A89+'Summary'!$B$10*12&gt;A89,I89,0)</x:f>
        <x:v>21948.125188114216</x:v>
      </x:c>
    </x:row>
    <x:row r="90">
      <x:c r="A90" s="55" t="n">
        <x:v>82</x:v>
      </x:c>
      <x:c r="B90" s="71" t="b">
        <x:f>A90&lt;='Summary'!$B$9*12</x:f>
        <x:v>1</x:v>
      </x:c>
      <x:c r="C90" s="62" t="n">
        <x:f>IF(A90=0,IF('Summary'!$B$6&gt;=5,'Summary'!$B$6,0),C89)+IF(A90&lt;'Summary'!$B$9*12,IF('Summary'!$B$7&gt;=5,'Summary'!$B$7,0),0)</x:f>
        <x:v>18300</x:v>
      </x:c>
      <x:c r="D90" s="62" t="n">
        <x:f>IF(A90=0,IF('Summary'!$B$6&gt;=5,'Summary'!$B$6,0),0)+IF(A90&lt;'Summary'!$B$9*12,IF('Summary'!$B$7&gt;=5,'Summary'!$B$7,0),0)</x:f>
        <x:v>100</x:v>
      </x:c>
      <x:c r="E90" s="62" t="n">
        <x:f>J89</x:f>
        <x:v>0</x:v>
      </x:c>
      <x:c r="F90" s="62" t="n">
        <x:f>(IF(AND(A90&gt;A8,A90&lt;=A8+'Summary'!$B$10*12,MOD(A90-A8,'Summary'!$B$11)=0),I8,0)+IF(AND(A90&gt;A9,A90&lt;=A9+'Summary'!$B$10*12,MOD(A90-A9,'Summary'!$B$11)=0),I9,0)+IF(AND(A90&gt;A10,A90&lt;=A10+'Summary'!$B$10*12,MOD(A90-A10,'Summary'!$B$11)=0),I10,0)+IF(AND(A90&gt;A11,A90&lt;=A11+'Summary'!$B$10*12,MOD(A90-A11,'Summary'!$B$11)=0),I11,0)+IF(AND(A90&gt;A12,A90&lt;=A12+'Summary'!$B$10*12,MOD(A90-A12,'Summary'!$B$11)=0),I12,0)+IF(AND(A90&gt;A13,A90&lt;=A13+'Summary'!$B$10*12,MOD(A90-A13,'Summary'!$B$11)=0),I13,0)+IF(AND(A90&gt;A14,A90&lt;=A14+'Summary'!$B$10*12,MOD(A90-A14,'Summary'!$B$11)=0),I14,0)+IF(AND(A90&gt;A15,A90&lt;=A15+'Summary'!$B$10*12,MOD(A90-A15,'Summary'!$B$11)=0),I15,0)+IF(AND(A90&gt;A16,A90&lt;=A16+'Summary'!$B$10*12,MOD(A90-A16,'Summary'!$B$11)=0),I16,0)+IF(AND(A90&gt;A17,A90&lt;=A17+'Summary'!$B$10*12,MOD(A90-A17,'Summary'!$B$11)=0),I17,0)+IF(AND(A90&gt;A18,A90&lt;=A18+'Summary'!$B$10*12,MOD(A90-A18,'Summary'!$B$11)=0),I18,0)+IF(AND(A90&gt;A19,A90&lt;=A19+'Summary'!$B$10*12,MOD(A90-A19,'Summary'!$B$11)=0),I19,0)+IF(AND(A90&gt;A20,A90&lt;=A20+'Summary'!$B$10*12,MOD(A90-A20,'Summary'!$B$11)=0),I20,0)+IF(AND(A90&gt;A21,A90&lt;=A21+'Summary'!$B$10*12,MOD(A90-A21,'Summary'!$B$11)=0),I21,0)+IF(AND(A90&gt;A22,A90&lt;=A22+'Summary'!$B$10*12,MOD(A90-A22,'Summary'!$B$11)=0),I22,0)+IF(AND(A90&gt;A23,A90&lt;=A23+'Summary'!$B$10*12,MOD(A90-A23,'Summary'!$B$11)=0),I23,0)+IF(AND(A90&gt;A24,A90&lt;=A24+'Summary'!$B$10*12,MOD(A90-A24,'Summary'!$B$11)=0),I24,0)+IF(AND(A90&gt;A25,A90&lt;=A25+'Summary'!$B$10*12,MOD(A90-A25,'Summary'!$B$11)=0),I25,0)+IF(AND(A90&gt;A26,A90&lt;=A26+'Summary'!$B$10*12,MOD(A90-A26,'Summary'!$B$11)=0),I26,0)+IF(AND(A90&gt;A27,A90&lt;=A27+'Summary'!$B$10*12,MOD(A90-A27,'Summary'!$B$11)=0),I27,0)+IF(AND(A90&gt;A28,A90&lt;=A28+'Summary'!$B$10*12,MOD(A90-A28,'Summary'!$B$11)=0),I28,0)+IF(AND(A90&gt;A29,A90&lt;=A29+'Summary'!$B$10*12,MOD(A90-A29,'Summary'!$B$11)=0),I29,0)+IF(AND(A90&gt;A30,A90&lt;=A30+'Summary'!$B$10*12,MOD(A90-A30,'Summary'!$B$11)=0),I30,0)+IF(AND(A90&gt;A31,A90&lt;=A31+'Summary'!$B$10*12,MOD(A90-A31,'Summary'!$B$11)=0),I31,0)+IF(AND(A90&gt;A32,A90&lt;=A32+'Summary'!$B$10*12,MOD(A90-A32,'Summary'!$B$11)=0),I32,0)+IF(AND(A90&gt;A33,A90&lt;=A33+'Summary'!$B$10*12,MOD(A90-A33,'Summary'!$B$11)=0),I33,0)+IF(AND(A90&gt;A34,A90&lt;=A34+'Summary'!$B$10*12,MOD(A90-A34,'Summary'!$B$11)=0),I34,0)+IF(AND(A90&gt;A35,A90&lt;=A35+'Summary'!$B$10*12,MOD(A90-A35,'Summary'!$B$11)=0),I35,0)+IF(AND(A90&gt;A36,A90&lt;=A36+'Summary'!$B$10*12,MOD(A90-A36,'Summary'!$B$11)=0),I36,0)+IF(AND(A90&gt;A37,A90&lt;=A37+'Summary'!$B$10*12,MOD(A90-A37,'Summary'!$B$11)=0),I37,0)+IF(AND(A90&gt;A38,A90&lt;=A38+'Summary'!$B$10*12,MOD(A90-A38,'Summary'!$B$11)=0),I38,0)+IF(AND(A90&gt;A39,A90&lt;=A39+'Summary'!$B$10*12,MOD(A90-A39,'Summary'!$B$11)=0),I39,0)+IF(AND(A90&gt;A40,A90&lt;=A40+'Summary'!$B$10*12,MOD(A90-A40,'Summary'!$B$11)=0),I40,0)+IF(AND(A90&gt;A41,A90&lt;=A41+'Summary'!$B$10*12,MOD(A90-A41,'Summary'!$B$11)=0),I41,0)+IF(AND(A90&gt;A42,A90&lt;=A42+'Summary'!$B$10*12,MOD(A90-A42,'Summary'!$B$11)=0),I42,0)+IF(AND(A90&gt;A43,A90&lt;=A43+'Summary'!$B$10*12,MOD(A90-A43,'Summary'!$B$11)=0),I43,0)+IF(AND(A90&gt;A44,A90&lt;=A44+'Summary'!$B$10*12,MOD(A90-A44,'Summary'!$B$11)=0),I44,0)+IF(AND(A90&gt;A45,A90&lt;=A45+'Summary'!$B$10*12,MOD(A90-A45,'Summary'!$B$11)=0),I45,0)+IF(AND(A90&gt;A46,A90&lt;=A46+'Summary'!$B$10*12,MOD(A90-A46,'Summary'!$B$11)=0),I46,0)+IF(AND(A90&gt;A47,A90&lt;=A47+'Summary'!$B$10*12,MOD(A90-A47,'Summary'!$B$11)=0),I47,0)+IF(AND(A90&gt;A48,A90&lt;=A48+'Summary'!$B$10*12,MOD(A90-A48,'Summary'!$B$11)=0),I48,0)+IF(AND(A90&gt;A49,A90&lt;=A49+'Summary'!$B$10*12,MOD(A90-A49,'Summary'!$B$11)=0),I49,0)+IF(AND(A90&gt;A50,A90&lt;=A50+'Summary'!$B$10*12,MOD(A90-A50,'Summary'!$B$11)=0),I50,0)+IF(AND(A90&gt;A51,A90&lt;=A51+'Summary'!$B$10*12,MOD(A90-A51,'Summary'!$B$11)=0),I51,0)+IF(AND(A90&gt;A52,A90&lt;=A52+'Summary'!$B$10*12,MOD(A90-A52,'Summary'!$B$11)=0),I52,0)+IF(AND(A90&gt;A53,A90&lt;=A53+'Summary'!$B$10*12,MOD(A90-A53,'Summary'!$B$11)=0),I53,0)+IF(AND(A90&gt;A54,A90&lt;=A54+'Summary'!$B$10*12,MOD(A90-A54,'Summary'!$B$11)=0),I54,0)+IF(AND(A90&gt;A55,A90&lt;=A55+'Summary'!$B$10*12,MOD(A90-A55,'Summary'!$B$11)=0),I55,0)+IF(AND(A90&gt;A56,A90&lt;=A56+'Summary'!$B$10*12,MOD(A90-A56,'Summary'!$B$11)=0),I56,0)+IF(AND(A90&gt;A57,A90&lt;=A57+'Summary'!$B$10*12,MOD(A90-A57,'Summary'!$B$11)=0),I57,0)+IF(AND(A90&gt;A58,A90&lt;=A58+'Summary'!$B$10*12,MOD(A90-A58,'Summary'!$B$11)=0),I58,0)+IF(AND(A90&gt;A59,A90&lt;=A59+'Summary'!$B$10*12,MOD(A90-A59,'Summary'!$B$11)=0),I59,0)+IF(AND(A90&gt;A60,A90&lt;=A60+'Summary'!$B$10*12,MOD(A90-A60,'Summary'!$B$11)=0),I60,0)+IF(AND(A90&gt;A61,A90&lt;=A61+'Summary'!$B$10*12,MOD(A90-A61,'Summary'!$B$11)=0),I61,0)+IF(AND(A90&gt;A62,A90&lt;=A62+'Summary'!$B$10*12,MOD(A90-A62,'Summary'!$B$11)=0),I62,0)+IF(AND(A90&gt;A63,A90&lt;=A63+'Summary'!$B$10*12,MOD(A90-A63,'Summary'!$B$11)=0),I63,0)+IF(AND(A90&gt;A64,A90&lt;=A64+'Summary'!$B$10*12,MOD(A90-A64,'Summary'!$B$11)=0),I64,0)+IF(AND(A90&gt;A65,A90&lt;=A65+'Summary'!$B$10*12,MOD(A90-A65,'Summary'!$B$11)=0),I65,0)+IF(AND(A90&gt;A66,A90&lt;=A66+'Summary'!$B$10*12,MOD(A90-A66,'Summary'!$B$11)=0),I66,0)+IF(AND(A90&gt;A67,A90&lt;=A67+'Summary'!$B$10*12,MOD(A90-A67,'Summary'!$B$11)=0),I67,0)+IF(AND(A90&gt;A68,A90&lt;=A68+'Summary'!$B$10*12,MOD(A90-A68,'Summary'!$B$11)=0),I68,0)+IF(AND(A90&gt;A69,A90&lt;=A69+'Summary'!$B$10*12,MOD(A90-A69,'Summary'!$B$11)=0),I69,0)+IF(AND(A90&gt;A70,A90&lt;=A70+'Summary'!$B$10*12,MOD(A90-A70,'Summary'!$B$11)=0),I70,0)+IF(AND(A90&gt;A71,A90&lt;=A71+'Summary'!$B$10*12,MOD(A90-A71,'Summary'!$B$11)=0),I71,0)+IF(AND(A90&gt;A72,A90&lt;=A72+'Summary'!$B$10*12,MOD(A90-A72,'Summary'!$B$11)=0),I72,0)+IF(AND(A90&gt;A73,A90&lt;=A73+'Summary'!$B$10*12,MOD(A90-A73,'Summary'!$B$11)=0),I73,0)+IF(AND(A90&gt;A74,A90&lt;=A74+'Summary'!$B$10*12,MOD(A90-A74,'Summary'!$B$11)=0),I74,0)+IF(AND(A90&gt;A75,A90&lt;=A75+'Summary'!$B$10*12,MOD(A90-A75,'Summary'!$B$11)=0),I75,0)+IF(AND(A90&gt;A76,A90&lt;=A76+'Summary'!$B$10*12,MOD(A90-A76,'Summary'!$B$11)=0),I76,0)+IF(AND(A90&gt;A77,A90&lt;=A77+'Summary'!$B$10*12,MOD(A90-A77,'Summary'!$B$11)=0),I77,0)+IF(AND(A90&gt;A78,A90&lt;=A78+'Summary'!$B$10*12,MOD(A90-A78,'Summary'!$B$11)=0),I78,0)+IF(AND(A90&gt;A79,A90&lt;=A79+'Summary'!$B$10*12,MOD(A90-A79,'Summary'!$B$11)=0),I79,0)+IF(AND(A90&gt;A80,A90&lt;=A80+'Summary'!$B$10*12,MOD(A90-A80,'Summary'!$B$11)=0),I80,0)+IF(AND(A90&gt;A81,A90&lt;=A81+'Summary'!$B$10*12,MOD(A90-A81,'Summary'!$B$11)=0),I81,0)+IF(AND(A90&gt;A82,A90&lt;=A82+'Summary'!$B$10*12,MOD(A90-A82,'Summary'!$B$11)=0),I82,0)+IF(AND(A90&gt;A83,A90&lt;=A83+'Summary'!$B$10*12,MOD(A90-A83,'Summary'!$B$11)=0),I83,0)+IF(AND(A90&gt;A84,A90&lt;=A84+'Summary'!$B$10*12,MOD(A90-A84,'Summary'!$B$11)=0),I84,0)+IF(AND(A90&gt;A85,A90&lt;=A85+'Summary'!$B$10*12,MOD(A90-A85,'Summary'!$B$11)=0),I85,0)+IF(AND(A90&gt;A86,A90&lt;=A86+'Summary'!$B$10*12,MOD(A90-A86,'Summary'!$B$11)=0),I86,0)+IF(AND(A90&gt;A87,A90&lt;=A87+'Summary'!$B$10*12,MOD(A90-A87,'Summary'!$B$11)=0),I87,0)+IF(AND(A90&gt;A88,A90&lt;=A88+'Summary'!$B$10*12,MOD(A90-A88,'Summary'!$B$11)=0),I88,0)+IF(AND(A90&gt;A89,A90&lt;=A89+'Summary'!$B$10*12,MOD(A90-A89,'Summary'!$B$11)=0),I89,0))*'Summary'!$B$8/2</x:f>
        <x:v>27.07137634842265</x:v>
      </x:c>
      <x:c r="G90" s="62" t="n">
        <x:f>IF(A90=A8+'Summary'!$B$10*12,I8,0)+IF(A90=A9+'Summary'!$B$10*12,I9,0)+IF(A90=A10+'Summary'!$B$10*12,I10,0)+IF(A90=A11+'Summary'!$B$10*12,I11,0)+IF(A90=A12+'Summary'!$B$10*12,I12,0)+IF(A90=A13+'Summary'!$B$10*12,I13,0)+IF(A90=A14+'Summary'!$B$10*12,I14,0)+IF(A90=A15+'Summary'!$B$10*12,I15,0)+IF(A90=A16+'Summary'!$B$10*12,I16,0)+IF(A90=A17+'Summary'!$B$10*12,I17,0)+IF(A90=A18+'Summary'!$B$10*12,I18,0)+IF(A90=A19+'Summary'!$B$10*12,I19,0)+IF(A90=A20+'Summary'!$B$10*12,I20,0)+IF(A90=A21+'Summary'!$B$10*12,I21,0)+IF(A90=A22+'Summary'!$B$10*12,I22,0)+IF(A90=A23+'Summary'!$B$10*12,I23,0)+IF(A90=A24+'Summary'!$B$10*12,I24,0)+IF(A90=A25+'Summary'!$B$10*12,I25,0)+IF(A90=A26+'Summary'!$B$10*12,I26,0)+IF(A90=A27+'Summary'!$B$10*12,I27,0)+IF(A90=A28+'Summary'!$B$10*12,I28,0)+IF(A90=A29+'Summary'!$B$10*12,I29,0)+IF(A90=A30+'Summary'!$B$10*12,I30,0)+IF(A90=A31+'Summary'!$B$10*12,I31,0)+IF(A90=A32+'Summary'!$B$10*12,I32,0)+IF(A90=A33+'Summary'!$B$10*12,I33,0)+IF(A90=A34+'Summary'!$B$10*12,I34,0)+IF(A90=A35+'Summary'!$B$10*12,I35,0)+IF(A90=A36+'Summary'!$B$10*12,I36,0)+IF(A90=A37+'Summary'!$B$10*12,I37,0)+IF(A90=A38+'Summary'!$B$10*12,I38,0)+IF(A90=A39+'Summary'!$B$10*12,I39,0)+IF(A90=A40+'Summary'!$B$10*12,I40,0)+IF(A90=A41+'Summary'!$B$10*12,I41,0)+IF(A90=A42+'Summary'!$B$10*12,I42,0)+IF(A90=A43+'Summary'!$B$10*12,I43,0)+IF(A90=A44+'Summary'!$B$10*12,I44,0)+IF(A90=A45+'Summary'!$B$10*12,I45,0)+IF(A90=A46+'Summary'!$B$10*12,I46,0)+IF(A90=A47+'Summary'!$B$10*12,I47,0)+IF(A90=A48+'Summary'!$B$10*12,I48,0)+IF(A90=A49+'Summary'!$B$10*12,I49,0)+IF(A90=A50+'Summary'!$B$10*12,I50,0)+IF(A90=A51+'Summary'!$B$10*12,I51,0)+IF(A90=A52+'Summary'!$B$10*12,I52,0)+IF(A90=A53+'Summary'!$B$10*12,I53,0)+IF(A90=A54+'Summary'!$B$10*12,I54,0)+IF(A90=A55+'Summary'!$B$10*12,I55,0)+IF(A90=A56+'Summary'!$B$10*12,I56,0)+IF(A90=A57+'Summary'!$B$10*12,I57,0)+IF(A90=A58+'Summary'!$B$10*12,I58,0)+IF(A90=A59+'Summary'!$B$10*12,I59,0)+IF(A90=A60+'Summary'!$B$10*12,I60,0)+IF(A90=A61+'Summary'!$B$10*12,I61,0)+IF(A90=A62+'Summary'!$B$10*12,I62,0)+IF(A90=A63+'Summary'!$B$10*12,I63,0)+IF(A90=A64+'Summary'!$B$10*12,I64,0)+IF(A90=A65+'Summary'!$B$10*12,I65,0)+IF(A90=A66+'Summary'!$B$10*12,I66,0)+IF(A90=A67+'Summary'!$B$10*12,I67,0)+IF(A90=A68+'Summary'!$B$10*12,I68,0)+IF(A90=A69+'Summary'!$B$10*12,I69,0)+IF(A90=A70+'Summary'!$B$10*12,I70,0)+IF(A90=A71+'Summary'!$B$10*12,I71,0)+IF(A90=A72+'Summary'!$B$10*12,I72,0)+IF(A90=A73+'Summary'!$B$10*12,I73,0)+IF(A90=A74+'Summary'!$B$10*12,I74,0)+IF(A90=A75+'Summary'!$B$10*12,I75,0)+IF(A90=A76+'Summary'!$B$10*12,I76,0)+IF(A90=A77+'Summary'!$B$10*12,I77,0)+IF(A90=A78+'Summary'!$B$10*12,I78,0)+IF(A90=A79+'Summary'!$B$10*12,I79,0)+IF(A90=A80+'Summary'!$B$10*12,I80,0)+IF(A90=A81+'Summary'!$B$10*12,I81,0)+IF(A90=A82+'Summary'!$B$10*12,I82,0)+IF(A90=A83+'Summary'!$B$10*12,I83,0)+IF(A90=A84+'Summary'!$B$10*12,I84,0)+IF(A90=A85+'Summary'!$B$10*12,I85,0)+IF(A90=A86+'Summary'!$B$10*12,I86,0)+IF(A90=A87+'Summary'!$B$10*12,I87,0)+IF(A90=A88+'Summary'!$B$10*12,I88,0)+IF(A90=A89+'Summary'!$B$10*12,I89,0)</x:f>
        <x:v>105.6844314856</x:v>
      </x:c>
      <x:c r="H90" s="62" t="n">
        <x:f>E90+D90+F90+G90</x:f>
        <x:v>232.75580783402265</x:v>
      </x:c>
      <x:c r="I90" s="62" t="n">
        <x:f>IF(B90,IF(H90&gt;='Summary'!$B$12,H90,0),0)</x:f>
        <x:v>232.75580783402265</x:v>
      </x:c>
      <x:c r="J90" s="62" t="n">
        <x:f>H90-I90</x:f>
        <x:v>0</x:v>
      </x:c>
      <x:c r="K90" s="63" t="n">
        <x:f>J90+IF(A8+'Summary'!$B$10*12&gt;A90,I8,0)+IF(A9+'Summary'!$B$10*12&gt;A90,I9,0)+IF(A10+'Summary'!$B$10*12&gt;A90,I10,0)+IF(A11+'Summary'!$B$10*12&gt;A90,I11,0)+IF(A12+'Summary'!$B$10*12&gt;A90,I12,0)+IF(A13+'Summary'!$B$10*12&gt;A90,I13,0)+IF(A14+'Summary'!$B$10*12&gt;A90,I14,0)+IF(A15+'Summary'!$B$10*12&gt;A90,I15,0)+IF(A16+'Summary'!$B$10*12&gt;A90,I16,0)+IF(A17+'Summary'!$B$10*12&gt;A90,I17,0)+IF(A18+'Summary'!$B$10*12&gt;A90,I18,0)+IF(A19+'Summary'!$B$10*12&gt;A90,I19,0)+IF(A20+'Summary'!$B$10*12&gt;A90,I20,0)+IF(A21+'Summary'!$B$10*12&gt;A90,I21,0)+IF(A22+'Summary'!$B$10*12&gt;A90,I22,0)+IF(A23+'Summary'!$B$10*12&gt;A90,I23,0)+IF(A24+'Summary'!$B$10*12&gt;A90,I24,0)+IF(A25+'Summary'!$B$10*12&gt;A90,I25,0)+IF(A26+'Summary'!$B$10*12&gt;A90,I26,0)+IF(A27+'Summary'!$B$10*12&gt;A90,I27,0)+IF(A28+'Summary'!$B$10*12&gt;A90,I28,0)+IF(A29+'Summary'!$B$10*12&gt;A90,I29,0)+IF(A30+'Summary'!$B$10*12&gt;A90,I30,0)+IF(A31+'Summary'!$B$10*12&gt;A90,I31,0)+IF(A32+'Summary'!$B$10*12&gt;A90,I32,0)+IF(A33+'Summary'!$B$10*12&gt;A90,I33,0)+IF(A34+'Summary'!$B$10*12&gt;A90,I34,0)+IF(A35+'Summary'!$B$10*12&gt;A90,I35,0)+IF(A36+'Summary'!$B$10*12&gt;A90,I36,0)+IF(A37+'Summary'!$B$10*12&gt;A90,I37,0)+IF(A38+'Summary'!$B$10*12&gt;A90,I38,0)+IF(A39+'Summary'!$B$10*12&gt;A90,I39,0)+IF(A40+'Summary'!$B$10*12&gt;A90,I40,0)+IF(A41+'Summary'!$B$10*12&gt;A90,I41,0)+IF(A42+'Summary'!$B$10*12&gt;A90,I42,0)+IF(A43+'Summary'!$B$10*12&gt;A90,I43,0)+IF(A44+'Summary'!$B$10*12&gt;A90,I44,0)+IF(A45+'Summary'!$B$10*12&gt;A90,I45,0)+IF(A46+'Summary'!$B$10*12&gt;A90,I46,0)+IF(A47+'Summary'!$B$10*12&gt;A90,I47,0)+IF(A48+'Summary'!$B$10*12&gt;A90,I48,0)+IF(A49+'Summary'!$B$10*12&gt;A90,I49,0)+IF(A50+'Summary'!$B$10*12&gt;A90,I50,0)+IF(A51+'Summary'!$B$10*12&gt;A90,I51,0)+IF(A52+'Summary'!$B$10*12&gt;A90,I52,0)+IF(A53+'Summary'!$B$10*12&gt;A90,I53,0)+IF(A54+'Summary'!$B$10*12&gt;A90,I54,0)+IF(A55+'Summary'!$B$10*12&gt;A90,I55,0)+IF(A56+'Summary'!$B$10*12&gt;A90,I56,0)+IF(A57+'Summary'!$B$10*12&gt;A90,I57,0)+IF(A58+'Summary'!$B$10*12&gt;A90,I58,0)+IF(A59+'Summary'!$B$10*12&gt;A90,I59,0)+IF(A60+'Summary'!$B$10*12&gt;A90,I60,0)+IF(A61+'Summary'!$B$10*12&gt;A90,I61,0)+IF(A62+'Summary'!$B$10*12&gt;A90,I62,0)+IF(A63+'Summary'!$B$10*12&gt;A90,I63,0)+IF(A64+'Summary'!$B$10*12&gt;A90,I64,0)+IF(A65+'Summary'!$B$10*12&gt;A90,I65,0)+IF(A66+'Summary'!$B$10*12&gt;A90,I66,0)+IF(A67+'Summary'!$B$10*12&gt;A90,I67,0)+IF(A68+'Summary'!$B$10*12&gt;A90,I68,0)+IF(A69+'Summary'!$B$10*12&gt;A90,I69,0)+IF(A70+'Summary'!$B$10*12&gt;A90,I70,0)+IF(A71+'Summary'!$B$10*12&gt;A90,I71,0)+IF(A72+'Summary'!$B$10*12&gt;A90,I72,0)+IF(A73+'Summary'!$B$10*12&gt;A90,I73,0)+IF(A74+'Summary'!$B$10*12&gt;A90,I74,0)+IF(A75+'Summary'!$B$10*12&gt;A90,I75,0)+IF(A76+'Summary'!$B$10*12&gt;A90,I76,0)+IF(A77+'Summary'!$B$10*12&gt;A90,I77,0)+IF(A78+'Summary'!$B$10*12&gt;A90,I78,0)+IF(A79+'Summary'!$B$10*12&gt;A90,I79,0)+IF(A80+'Summary'!$B$10*12&gt;A90,I80,0)+IF(A81+'Summary'!$B$10*12&gt;A90,I81,0)+IF(A82+'Summary'!$B$10*12&gt;A90,I82,0)+IF(A83+'Summary'!$B$10*12&gt;A90,I83,0)+IF(A84+'Summary'!$B$10*12&gt;A90,I84,0)+IF(A85+'Summary'!$B$10*12&gt;A90,I85,0)+IF(A86+'Summary'!$B$10*12&gt;A90,I86,0)+IF(A87+'Summary'!$B$10*12&gt;A90,I87,0)+IF(A88+'Summary'!$B$10*12&gt;A90,I88,0)+IF(A89+'Summary'!$B$10*12&gt;A90,I89,0)+IF(A90+'Summary'!$B$10*12&gt;A90,I90,0)</x:f>
        <x:v>22075.19656446264</x:v>
      </x:c>
    </x:row>
    <x:row r="91">
      <x:c r="A91" s="55" t="n">
        <x:v>83</x:v>
      </x:c>
      <x:c r="B91" s="71" t="b">
        <x:f>A91&lt;='Summary'!$B$9*12</x:f>
        <x:v>1</x:v>
      </x:c>
      <x:c r="C91" s="62" t="n">
        <x:f>IF(A91=0,IF('Summary'!$B$6&gt;=5,'Summary'!$B$6,0),C90)+IF(A91&lt;'Summary'!$B$9*12,IF('Summary'!$B$7&gt;=5,'Summary'!$B$7,0),0)</x:f>
        <x:v>18400</x:v>
      </x:c>
      <x:c r="D91" s="62" t="n">
        <x:f>IF(A91=0,IF('Summary'!$B$6&gt;=5,'Summary'!$B$6,0),0)+IF(A91&lt;'Summary'!$B$9*12,IF('Summary'!$B$7&gt;=5,'Summary'!$B$7,0),0)</x:f>
        <x:v>100</x:v>
      </x:c>
      <x:c r="E91" s="62" t="n">
        <x:f>J90</x:f>
        <x:v>0</x:v>
      </x:c>
      <x:c r="F91" s="62" t="n">
        <x:f>(IF(AND(A91&gt;A8,A91&lt;=A8+'Summary'!$B$10*12,MOD(A91-A8,'Summary'!$B$11)=0),I8,0)+IF(AND(A91&gt;A9,A91&lt;=A9+'Summary'!$B$10*12,MOD(A91-A9,'Summary'!$B$11)=0),I9,0)+IF(AND(A91&gt;A10,A91&lt;=A10+'Summary'!$B$10*12,MOD(A91-A10,'Summary'!$B$11)=0),I10,0)+IF(AND(A91&gt;A11,A91&lt;=A11+'Summary'!$B$10*12,MOD(A91-A11,'Summary'!$B$11)=0),I11,0)+IF(AND(A91&gt;A12,A91&lt;=A12+'Summary'!$B$10*12,MOD(A91-A12,'Summary'!$B$11)=0),I12,0)+IF(AND(A91&gt;A13,A91&lt;=A13+'Summary'!$B$10*12,MOD(A91-A13,'Summary'!$B$11)=0),I13,0)+IF(AND(A91&gt;A14,A91&lt;=A14+'Summary'!$B$10*12,MOD(A91-A14,'Summary'!$B$11)=0),I14,0)+IF(AND(A91&gt;A15,A91&lt;=A15+'Summary'!$B$10*12,MOD(A91-A15,'Summary'!$B$11)=0),I15,0)+IF(AND(A91&gt;A16,A91&lt;=A16+'Summary'!$B$10*12,MOD(A91-A16,'Summary'!$B$11)=0),I16,0)+IF(AND(A91&gt;A17,A91&lt;=A17+'Summary'!$B$10*12,MOD(A91-A17,'Summary'!$B$11)=0),I17,0)+IF(AND(A91&gt;A18,A91&lt;=A18+'Summary'!$B$10*12,MOD(A91-A18,'Summary'!$B$11)=0),I18,0)+IF(AND(A91&gt;A19,A91&lt;=A19+'Summary'!$B$10*12,MOD(A91-A19,'Summary'!$B$11)=0),I19,0)+IF(AND(A91&gt;A20,A91&lt;=A20+'Summary'!$B$10*12,MOD(A91-A20,'Summary'!$B$11)=0),I20,0)+IF(AND(A91&gt;A21,A91&lt;=A21+'Summary'!$B$10*12,MOD(A91-A21,'Summary'!$B$11)=0),I21,0)+IF(AND(A91&gt;A22,A91&lt;=A22+'Summary'!$B$10*12,MOD(A91-A22,'Summary'!$B$11)=0),I22,0)+IF(AND(A91&gt;A23,A91&lt;=A23+'Summary'!$B$10*12,MOD(A91-A23,'Summary'!$B$11)=0),I23,0)+IF(AND(A91&gt;A24,A91&lt;=A24+'Summary'!$B$10*12,MOD(A91-A24,'Summary'!$B$11)=0),I24,0)+IF(AND(A91&gt;A25,A91&lt;=A25+'Summary'!$B$10*12,MOD(A91-A25,'Summary'!$B$11)=0),I25,0)+IF(AND(A91&gt;A26,A91&lt;=A26+'Summary'!$B$10*12,MOD(A91-A26,'Summary'!$B$11)=0),I26,0)+IF(AND(A91&gt;A27,A91&lt;=A27+'Summary'!$B$10*12,MOD(A91-A27,'Summary'!$B$11)=0),I27,0)+IF(AND(A91&gt;A28,A91&lt;=A28+'Summary'!$B$10*12,MOD(A91-A28,'Summary'!$B$11)=0),I28,0)+IF(AND(A91&gt;A29,A91&lt;=A29+'Summary'!$B$10*12,MOD(A91-A29,'Summary'!$B$11)=0),I29,0)+IF(AND(A91&gt;A30,A91&lt;=A30+'Summary'!$B$10*12,MOD(A91-A30,'Summary'!$B$11)=0),I30,0)+IF(AND(A91&gt;A31,A91&lt;=A31+'Summary'!$B$10*12,MOD(A91-A31,'Summary'!$B$11)=0),I31,0)+IF(AND(A91&gt;A32,A91&lt;=A32+'Summary'!$B$10*12,MOD(A91-A32,'Summary'!$B$11)=0),I32,0)+IF(AND(A91&gt;A33,A91&lt;=A33+'Summary'!$B$10*12,MOD(A91-A33,'Summary'!$B$11)=0),I33,0)+IF(AND(A91&gt;A34,A91&lt;=A34+'Summary'!$B$10*12,MOD(A91-A34,'Summary'!$B$11)=0),I34,0)+IF(AND(A91&gt;A35,A91&lt;=A35+'Summary'!$B$10*12,MOD(A91-A35,'Summary'!$B$11)=0),I35,0)+IF(AND(A91&gt;A36,A91&lt;=A36+'Summary'!$B$10*12,MOD(A91-A36,'Summary'!$B$11)=0),I36,0)+IF(AND(A91&gt;A37,A91&lt;=A37+'Summary'!$B$10*12,MOD(A91-A37,'Summary'!$B$11)=0),I37,0)+IF(AND(A91&gt;A38,A91&lt;=A38+'Summary'!$B$10*12,MOD(A91-A38,'Summary'!$B$11)=0),I38,0)+IF(AND(A91&gt;A39,A91&lt;=A39+'Summary'!$B$10*12,MOD(A91-A39,'Summary'!$B$11)=0),I39,0)+IF(AND(A91&gt;A40,A91&lt;=A40+'Summary'!$B$10*12,MOD(A91-A40,'Summary'!$B$11)=0),I40,0)+IF(AND(A91&gt;A41,A91&lt;=A41+'Summary'!$B$10*12,MOD(A91-A41,'Summary'!$B$11)=0),I41,0)+IF(AND(A91&gt;A42,A91&lt;=A42+'Summary'!$B$10*12,MOD(A91-A42,'Summary'!$B$11)=0),I42,0)+IF(AND(A91&gt;A43,A91&lt;=A43+'Summary'!$B$10*12,MOD(A91-A43,'Summary'!$B$11)=0),I43,0)+IF(AND(A91&gt;A44,A91&lt;=A44+'Summary'!$B$10*12,MOD(A91-A44,'Summary'!$B$11)=0),I44,0)+IF(AND(A91&gt;A45,A91&lt;=A45+'Summary'!$B$10*12,MOD(A91-A45,'Summary'!$B$11)=0),I45,0)+IF(AND(A91&gt;A46,A91&lt;=A46+'Summary'!$B$10*12,MOD(A91-A46,'Summary'!$B$11)=0),I46,0)+IF(AND(A91&gt;A47,A91&lt;=A47+'Summary'!$B$10*12,MOD(A91-A47,'Summary'!$B$11)=0),I47,0)+IF(AND(A91&gt;A48,A91&lt;=A48+'Summary'!$B$10*12,MOD(A91-A48,'Summary'!$B$11)=0),I48,0)+IF(AND(A91&gt;A49,A91&lt;=A49+'Summary'!$B$10*12,MOD(A91-A49,'Summary'!$B$11)=0),I49,0)+IF(AND(A91&gt;A50,A91&lt;=A50+'Summary'!$B$10*12,MOD(A91-A50,'Summary'!$B$11)=0),I50,0)+IF(AND(A91&gt;A51,A91&lt;=A51+'Summary'!$B$10*12,MOD(A91-A51,'Summary'!$B$11)=0),I51,0)+IF(AND(A91&gt;A52,A91&lt;=A52+'Summary'!$B$10*12,MOD(A91-A52,'Summary'!$B$11)=0),I52,0)+IF(AND(A91&gt;A53,A91&lt;=A53+'Summary'!$B$10*12,MOD(A91-A53,'Summary'!$B$11)=0),I53,0)+IF(AND(A91&gt;A54,A91&lt;=A54+'Summary'!$B$10*12,MOD(A91-A54,'Summary'!$B$11)=0),I54,0)+IF(AND(A91&gt;A55,A91&lt;=A55+'Summary'!$B$10*12,MOD(A91-A55,'Summary'!$B$11)=0),I55,0)+IF(AND(A91&gt;A56,A91&lt;=A56+'Summary'!$B$10*12,MOD(A91-A56,'Summary'!$B$11)=0),I56,0)+IF(AND(A91&gt;A57,A91&lt;=A57+'Summary'!$B$10*12,MOD(A91-A57,'Summary'!$B$11)=0),I57,0)+IF(AND(A91&gt;A58,A91&lt;=A58+'Summary'!$B$10*12,MOD(A91-A58,'Summary'!$B$11)=0),I58,0)+IF(AND(A91&gt;A59,A91&lt;=A59+'Summary'!$B$10*12,MOD(A91-A59,'Summary'!$B$11)=0),I59,0)+IF(AND(A91&gt;A60,A91&lt;=A60+'Summary'!$B$10*12,MOD(A91-A60,'Summary'!$B$11)=0),I60,0)+IF(AND(A91&gt;A61,A91&lt;=A61+'Summary'!$B$10*12,MOD(A91-A61,'Summary'!$B$11)=0),I61,0)+IF(AND(A91&gt;A62,A91&lt;=A62+'Summary'!$B$10*12,MOD(A91-A62,'Summary'!$B$11)=0),I62,0)+IF(AND(A91&gt;A63,A91&lt;=A63+'Summary'!$B$10*12,MOD(A91-A63,'Summary'!$B$11)=0),I63,0)+IF(AND(A91&gt;A64,A91&lt;=A64+'Summary'!$B$10*12,MOD(A91-A64,'Summary'!$B$11)=0),I64,0)+IF(AND(A91&gt;A65,A91&lt;=A65+'Summary'!$B$10*12,MOD(A91-A65,'Summary'!$B$11)=0),I65,0)+IF(AND(A91&gt;A66,A91&lt;=A66+'Summary'!$B$10*12,MOD(A91-A66,'Summary'!$B$11)=0),I66,0)+IF(AND(A91&gt;A67,A91&lt;=A67+'Summary'!$B$10*12,MOD(A91-A67,'Summary'!$B$11)=0),I67,0)+IF(AND(A91&gt;A68,A91&lt;=A68+'Summary'!$B$10*12,MOD(A91-A68,'Summary'!$B$11)=0),I68,0)+IF(AND(A91&gt;A69,A91&lt;=A69+'Summary'!$B$10*12,MOD(A91-A69,'Summary'!$B$11)=0),I69,0)+IF(AND(A91&gt;A70,A91&lt;=A70+'Summary'!$B$10*12,MOD(A91-A70,'Summary'!$B$11)=0),I70,0)+IF(AND(A91&gt;A71,A91&lt;=A71+'Summary'!$B$10*12,MOD(A91-A71,'Summary'!$B$11)=0),I71,0)+IF(AND(A91&gt;A72,A91&lt;=A72+'Summary'!$B$10*12,MOD(A91-A72,'Summary'!$B$11)=0),I72,0)+IF(AND(A91&gt;A73,A91&lt;=A73+'Summary'!$B$10*12,MOD(A91-A73,'Summary'!$B$11)=0),I73,0)+IF(AND(A91&gt;A74,A91&lt;=A74+'Summary'!$B$10*12,MOD(A91-A74,'Summary'!$B$11)=0),I74,0)+IF(AND(A91&gt;A75,A91&lt;=A75+'Summary'!$B$10*12,MOD(A91-A75,'Summary'!$B$11)=0),I75,0)+IF(AND(A91&gt;A76,A91&lt;=A76+'Summary'!$B$10*12,MOD(A91-A76,'Summary'!$B$11)=0),I76,0)+IF(AND(A91&gt;A77,A91&lt;=A77+'Summary'!$B$10*12,MOD(A91-A77,'Summary'!$B$11)=0),I77,0)+IF(AND(A91&gt;A78,A91&lt;=A78+'Summary'!$B$10*12,MOD(A91-A78,'Summary'!$B$11)=0),I78,0)+IF(AND(A91&gt;A79,A91&lt;=A79+'Summary'!$B$10*12,MOD(A91-A79,'Summary'!$B$11)=0),I79,0)+IF(AND(A91&gt;A80,A91&lt;=A80+'Summary'!$B$10*12,MOD(A91-A80,'Summary'!$B$11)=0),I80,0)+IF(AND(A91&gt;A81,A91&lt;=A81+'Summary'!$B$10*12,MOD(A91-A81,'Summary'!$B$11)=0),I81,0)+IF(AND(A91&gt;A82,A91&lt;=A82+'Summary'!$B$10*12,MOD(A91-A82,'Summary'!$B$11)=0),I82,0)+IF(AND(A91&gt;A83,A91&lt;=A83+'Summary'!$B$10*12,MOD(A91-A83,'Summary'!$B$11)=0),I83,0)+IF(AND(A91&gt;A84,A91&lt;=A84+'Summary'!$B$10*12,MOD(A91-A84,'Summary'!$B$11)=0),I84,0)+IF(AND(A91&gt;A85,A91&lt;=A85+'Summary'!$B$10*12,MOD(A91-A85,'Summary'!$B$11)=0),I85,0)+IF(AND(A91&gt;A86,A91&lt;=A86+'Summary'!$B$10*12,MOD(A91-A86,'Summary'!$B$11)=0),I86,0)+IF(AND(A91&gt;A87,A91&lt;=A87+'Summary'!$B$10*12,MOD(A91-A87,'Summary'!$B$11)=0),I87,0)+IF(AND(A91&gt;A88,A91&lt;=A88+'Summary'!$B$10*12,MOD(A91-A88,'Summary'!$B$11)=0),I88,0)+IF(AND(A91&gt;A89,A91&lt;=A89+'Summary'!$B$10*12,MOD(A91-A89,'Summary'!$B$11)=0),I89,0)+IF(AND(A91&gt;A90,A91&lt;=A90+'Summary'!$B$10*12,MOD(A91-A90,'Summary'!$B$11)=0),I90,0))*'Summary'!$B$8/2</x:f>
        <x:v>27.07137634842265</x:v>
      </x:c>
      <x:c r="G91" s="62" t="n">
        <x:f>IF(A91=A8+'Summary'!$B$10*12,I8,0)+IF(A91=A9+'Summary'!$B$10*12,I9,0)+IF(A91=A10+'Summary'!$B$10*12,I10,0)+IF(A91=A11+'Summary'!$B$10*12,I11,0)+IF(A91=A12+'Summary'!$B$10*12,I12,0)+IF(A91=A13+'Summary'!$B$10*12,I13,0)+IF(A91=A14+'Summary'!$B$10*12,I14,0)+IF(A91=A15+'Summary'!$B$10*12,I15,0)+IF(A91=A16+'Summary'!$B$10*12,I16,0)+IF(A91=A17+'Summary'!$B$10*12,I17,0)+IF(A91=A18+'Summary'!$B$10*12,I18,0)+IF(A91=A19+'Summary'!$B$10*12,I19,0)+IF(A91=A20+'Summary'!$B$10*12,I20,0)+IF(A91=A21+'Summary'!$B$10*12,I21,0)+IF(A91=A22+'Summary'!$B$10*12,I22,0)+IF(A91=A23+'Summary'!$B$10*12,I23,0)+IF(A91=A24+'Summary'!$B$10*12,I24,0)+IF(A91=A25+'Summary'!$B$10*12,I25,0)+IF(A91=A26+'Summary'!$B$10*12,I26,0)+IF(A91=A27+'Summary'!$B$10*12,I27,0)+IF(A91=A28+'Summary'!$B$10*12,I28,0)+IF(A91=A29+'Summary'!$B$10*12,I29,0)+IF(A91=A30+'Summary'!$B$10*12,I30,0)+IF(A91=A31+'Summary'!$B$10*12,I31,0)+IF(A91=A32+'Summary'!$B$10*12,I32,0)+IF(A91=A33+'Summary'!$B$10*12,I33,0)+IF(A91=A34+'Summary'!$B$10*12,I34,0)+IF(A91=A35+'Summary'!$B$10*12,I35,0)+IF(A91=A36+'Summary'!$B$10*12,I36,0)+IF(A91=A37+'Summary'!$B$10*12,I37,0)+IF(A91=A38+'Summary'!$B$10*12,I38,0)+IF(A91=A39+'Summary'!$B$10*12,I39,0)+IF(A91=A40+'Summary'!$B$10*12,I40,0)+IF(A91=A41+'Summary'!$B$10*12,I41,0)+IF(A91=A42+'Summary'!$B$10*12,I42,0)+IF(A91=A43+'Summary'!$B$10*12,I43,0)+IF(A91=A44+'Summary'!$B$10*12,I44,0)+IF(A91=A45+'Summary'!$B$10*12,I45,0)+IF(A91=A46+'Summary'!$B$10*12,I46,0)+IF(A91=A47+'Summary'!$B$10*12,I47,0)+IF(A91=A48+'Summary'!$B$10*12,I48,0)+IF(A91=A49+'Summary'!$B$10*12,I49,0)+IF(A91=A50+'Summary'!$B$10*12,I50,0)+IF(A91=A51+'Summary'!$B$10*12,I51,0)+IF(A91=A52+'Summary'!$B$10*12,I52,0)+IF(A91=A53+'Summary'!$B$10*12,I53,0)+IF(A91=A54+'Summary'!$B$10*12,I54,0)+IF(A91=A55+'Summary'!$B$10*12,I55,0)+IF(A91=A56+'Summary'!$B$10*12,I56,0)+IF(A91=A57+'Summary'!$B$10*12,I57,0)+IF(A91=A58+'Summary'!$B$10*12,I58,0)+IF(A91=A59+'Summary'!$B$10*12,I59,0)+IF(A91=A60+'Summary'!$B$10*12,I60,0)+IF(A91=A61+'Summary'!$B$10*12,I61,0)+IF(A91=A62+'Summary'!$B$10*12,I62,0)+IF(A91=A63+'Summary'!$B$10*12,I63,0)+IF(A91=A64+'Summary'!$B$10*12,I64,0)+IF(A91=A65+'Summary'!$B$10*12,I65,0)+IF(A91=A66+'Summary'!$B$10*12,I66,0)+IF(A91=A67+'Summary'!$B$10*12,I67,0)+IF(A91=A68+'Summary'!$B$10*12,I68,0)+IF(A91=A69+'Summary'!$B$10*12,I69,0)+IF(A91=A70+'Summary'!$B$10*12,I70,0)+IF(A91=A71+'Summary'!$B$10*12,I71,0)+IF(A91=A72+'Summary'!$B$10*12,I72,0)+IF(A91=A73+'Summary'!$B$10*12,I73,0)+IF(A91=A74+'Summary'!$B$10*12,I74,0)+IF(A91=A75+'Summary'!$B$10*12,I75,0)+IF(A91=A76+'Summary'!$B$10*12,I76,0)+IF(A91=A77+'Summary'!$B$10*12,I77,0)+IF(A91=A78+'Summary'!$B$10*12,I78,0)+IF(A91=A79+'Summary'!$B$10*12,I79,0)+IF(A91=A80+'Summary'!$B$10*12,I80,0)+IF(A91=A81+'Summary'!$B$10*12,I81,0)+IF(A91=A82+'Summary'!$B$10*12,I82,0)+IF(A91=A83+'Summary'!$B$10*12,I83,0)+IF(A91=A84+'Summary'!$B$10*12,I84,0)+IF(A91=A85+'Summary'!$B$10*12,I85,0)+IF(A91=A86+'Summary'!$B$10*12,I86,0)+IF(A91=A87+'Summary'!$B$10*12,I87,0)+IF(A91=A88+'Summary'!$B$10*12,I88,0)+IF(A91=A89+'Summary'!$B$10*12,I89,0)+IF(A91=A90+'Summary'!$B$10*12,I90,0)</x:f>
        <x:v>105.6844314856</x:v>
      </x:c>
      <x:c r="H91" s="62" t="n">
        <x:f>E91+D91+F91+G91</x:f>
        <x:v>232.75580783402265</x:v>
      </x:c>
      <x:c r="I91" s="62" t="n">
        <x:f>IF(B91,IF(H91&gt;='Summary'!$B$12,H91,0),0)</x:f>
        <x:v>232.75580783402265</x:v>
      </x:c>
      <x:c r="J91" s="62" t="n">
        <x:f>H91-I91</x:f>
        <x:v>0</x:v>
      </x:c>
      <x:c r="K91" s="63" t="n">
        <x:f>J91+IF(A8+'Summary'!$B$10*12&gt;A91,I8,0)+IF(A9+'Summary'!$B$10*12&gt;A91,I9,0)+IF(A10+'Summary'!$B$10*12&gt;A91,I10,0)+IF(A11+'Summary'!$B$10*12&gt;A91,I11,0)+IF(A12+'Summary'!$B$10*12&gt;A91,I12,0)+IF(A13+'Summary'!$B$10*12&gt;A91,I13,0)+IF(A14+'Summary'!$B$10*12&gt;A91,I14,0)+IF(A15+'Summary'!$B$10*12&gt;A91,I15,0)+IF(A16+'Summary'!$B$10*12&gt;A91,I16,0)+IF(A17+'Summary'!$B$10*12&gt;A91,I17,0)+IF(A18+'Summary'!$B$10*12&gt;A91,I18,0)+IF(A19+'Summary'!$B$10*12&gt;A91,I19,0)+IF(A20+'Summary'!$B$10*12&gt;A91,I20,0)+IF(A21+'Summary'!$B$10*12&gt;A91,I21,0)+IF(A22+'Summary'!$B$10*12&gt;A91,I22,0)+IF(A23+'Summary'!$B$10*12&gt;A91,I23,0)+IF(A24+'Summary'!$B$10*12&gt;A91,I24,0)+IF(A25+'Summary'!$B$10*12&gt;A91,I25,0)+IF(A26+'Summary'!$B$10*12&gt;A91,I26,0)+IF(A27+'Summary'!$B$10*12&gt;A91,I27,0)+IF(A28+'Summary'!$B$10*12&gt;A91,I28,0)+IF(A29+'Summary'!$B$10*12&gt;A91,I29,0)+IF(A30+'Summary'!$B$10*12&gt;A91,I30,0)+IF(A31+'Summary'!$B$10*12&gt;A91,I31,0)+IF(A32+'Summary'!$B$10*12&gt;A91,I32,0)+IF(A33+'Summary'!$B$10*12&gt;A91,I33,0)+IF(A34+'Summary'!$B$10*12&gt;A91,I34,0)+IF(A35+'Summary'!$B$10*12&gt;A91,I35,0)+IF(A36+'Summary'!$B$10*12&gt;A91,I36,0)+IF(A37+'Summary'!$B$10*12&gt;A91,I37,0)+IF(A38+'Summary'!$B$10*12&gt;A91,I38,0)+IF(A39+'Summary'!$B$10*12&gt;A91,I39,0)+IF(A40+'Summary'!$B$10*12&gt;A91,I40,0)+IF(A41+'Summary'!$B$10*12&gt;A91,I41,0)+IF(A42+'Summary'!$B$10*12&gt;A91,I42,0)+IF(A43+'Summary'!$B$10*12&gt;A91,I43,0)+IF(A44+'Summary'!$B$10*12&gt;A91,I44,0)+IF(A45+'Summary'!$B$10*12&gt;A91,I45,0)+IF(A46+'Summary'!$B$10*12&gt;A91,I46,0)+IF(A47+'Summary'!$B$10*12&gt;A91,I47,0)+IF(A48+'Summary'!$B$10*12&gt;A91,I48,0)+IF(A49+'Summary'!$B$10*12&gt;A91,I49,0)+IF(A50+'Summary'!$B$10*12&gt;A91,I50,0)+IF(A51+'Summary'!$B$10*12&gt;A91,I51,0)+IF(A52+'Summary'!$B$10*12&gt;A91,I52,0)+IF(A53+'Summary'!$B$10*12&gt;A91,I53,0)+IF(A54+'Summary'!$B$10*12&gt;A91,I54,0)+IF(A55+'Summary'!$B$10*12&gt;A91,I55,0)+IF(A56+'Summary'!$B$10*12&gt;A91,I56,0)+IF(A57+'Summary'!$B$10*12&gt;A91,I57,0)+IF(A58+'Summary'!$B$10*12&gt;A91,I58,0)+IF(A59+'Summary'!$B$10*12&gt;A91,I59,0)+IF(A60+'Summary'!$B$10*12&gt;A91,I60,0)+IF(A61+'Summary'!$B$10*12&gt;A91,I61,0)+IF(A62+'Summary'!$B$10*12&gt;A91,I62,0)+IF(A63+'Summary'!$B$10*12&gt;A91,I63,0)+IF(A64+'Summary'!$B$10*12&gt;A91,I64,0)+IF(A65+'Summary'!$B$10*12&gt;A91,I65,0)+IF(A66+'Summary'!$B$10*12&gt;A91,I66,0)+IF(A67+'Summary'!$B$10*12&gt;A91,I67,0)+IF(A68+'Summary'!$B$10*12&gt;A91,I68,0)+IF(A69+'Summary'!$B$10*12&gt;A91,I69,0)+IF(A70+'Summary'!$B$10*12&gt;A91,I70,0)+IF(A71+'Summary'!$B$10*12&gt;A91,I71,0)+IF(A72+'Summary'!$B$10*12&gt;A91,I72,0)+IF(A73+'Summary'!$B$10*12&gt;A91,I73,0)+IF(A74+'Summary'!$B$10*12&gt;A91,I74,0)+IF(A75+'Summary'!$B$10*12&gt;A91,I75,0)+IF(A76+'Summary'!$B$10*12&gt;A91,I76,0)+IF(A77+'Summary'!$B$10*12&gt;A91,I77,0)+IF(A78+'Summary'!$B$10*12&gt;A91,I78,0)+IF(A79+'Summary'!$B$10*12&gt;A91,I79,0)+IF(A80+'Summary'!$B$10*12&gt;A91,I80,0)+IF(A81+'Summary'!$B$10*12&gt;A91,I81,0)+IF(A82+'Summary'!$B$10*12&gt;A91,I82,0)+IF(A83+'Summary'!$B$10*12&gt;A91,I83,0)+IF(A84+'Summary'!$B$10*12&gt;A91,I84,0)+IF(A85+'Summary'!$B$10*12&gt;A91,I85,0)+IF(A86+'Summary'!$B$10*12&gt;A91,I86,0)+IF(A87+'Summary'!$B$10*12&gt;A91,I87,0)+IF(A88+'Summary'!$B$10*12&gt;A91,I88,0)+IF(A89+'Summary'!$B$10*12&gt;A91,I89,0)+IF(A90+'Summary'!$B$10*12&gt;A91,I90,0)+IF(A91+'Summary'!$B$10*12&gt;A91,I91,0)</x:f>
        <x:v>22202.267940811063</x:v>
      </x:c>
    </x:row>
    <x:row r="92">
      <x:c r="A92" s="55" t="n">
        <x:v>84</x:v>
      </x:c>
      <x:c r="B92" s="71" t="b">
        <x:f>A92&lt;='Summary'!$B$9*12</x:f>
        <x:v>1</x:v>
      </x:c>
      <x:c r="C92" s="62" t="n">
        <x:f>IF(A92=0,IF('Summary'!$B$6&gt;=5,'Summary'!$B$6,0),C91)+IF(A92&lt;'Summary'!$B$9*12,IF('Summary'!$B$7&gt;=5,'Summary'!$B$7,0),0)</x:f>
        <x:v>18500</x:v>
      </x:c>
      <x:c r="D92" s="62" t="n">
        <x:f>IF(A92=0,IF('Summary'!$B$6&gt;=5,'Summary'!$B$6,0),0)+IF(A92&lt;'Summary'!$B$9*12,IF('Summary'!$B$7&gt;=5,'Summary'!$B$7,0),0)</x:f>
        <x:v>100</x:v>
      </x:c>
      <x:c r="E92" s="62" t="n">
        <x:f>J91</x:f>
        <x:v>0</x:v>
      </x:c>
      <x:c r="F92" s="62" t="n">
        <x:f>(IF(AND(A92&gt;A8,A92&lt;=A8+'Summary'!$B$10*12,MOD(A92-A8,'Summary'!$B$11)=0),I8,0)+IF(AND(A92&gt;A9,A92&lt;=A9+'Summary'!$B$10*12,MOD(A92-A9,'Summary'!$B$11)=0),I9,0)+IF(AND(A92&gt;A10,A92&lt;=A10+'Summary'!$B$10*12,MOD(A92-A10,'Summary'!$B$11)=0),I10,0)+IF(AND(A92&gt;A11,A92&lt;=A11+'Summary'!$B$10*12,MOD(A92-A11,'Summary'!$B$11)=0),I11,0)+IF(AND(A92&gt;A12,A92&lt;=A12+'Summary'!$B$10*12,MOD(A92-A12,'Summary'!$B$11)=0),I12,0)+IF(AND(A92&gt;A13,A92&lt;=A13+'Summary'!$B$10*12,MOD(A92-A13,'Summary'!$B$11)=0),I13,0)+IF(AND(A92&gt;A14,A92&lt;=A14+'Summary'!$B$10*12,MOD(A92-A14,'Summary'!$B$11)=0),I14,0)+IF(AND(A92&gt;A15,A92&lt;=A15+'Summary'!$B$10*12,MOD(A92-A15,'Summary'!$B$11)=0),I15,0)+IF(AND(A92&gt;A16,A92&lt;=A16+'Summary'!$B$10*12,MOD(A92-A16,'Summary'!$B$11)=0),I16,0)+IF(AND(A92&gt;A17,A92&lt;=A17+'Summary'!$B$10*12,MOD(A92-A17,'Summary'!$B$11)=0),I17,0)+IF(AND(A92&gt;A18,A92&lt;=A18+'Summary'!$B$10*12,MOD(A92-A18,'Summary'!$B$11)=0),I18,0)+IF(AND(A92&gt;A19,A92&lt;=A19+'Summary'!$B$10*12,MOD(A92-A19,'Summary'!$B$11)=0),I19,0)+IF(AND(A92&gt;A20,A92&lt;=A20+'Summary'!$B$10*12,MOD(A92-A20,'Summary'!$B$11)=0),I20,0)+IF(AND(A92&gt;A21,A92&lt;=A21+'Summary'!$B$10*12,MOD(A92-A21,'Summary'!$B$11)=0),I21,0)+IF(AND(A92&gt;A22,A92&lt;=A22+'Summary'!$B$10*12,MOD(A92-A22,'Summary'!$B$11)=0),I22,0)+IF(AND(A92&gt;A23,A92&lt;=A23+'Summary'!$B$10*12,MOD(A92-A23,'Summary'!$B$11)=0),I23,0)+IF(AND(A92&gt;A24,A92&lt;=A24+'Summary'!$B$10*12,MOD(A92-A24,'Summary'!$B$11)=0),I24,0)+IF(AND(A92&gt;A25,A92&lt;=A25+'Summary'!$B$10*12,MOD(A92-A25,'Summary'!$B$11)=0),I25,0)+IF(AND(A92&gt;A26,A92&lt;=A26+'Summary'!$B$10*12,MOD(A92-A26,'Summary'!$B$11)=0),I26,0)+IF(AND(A92&gt;A27,A92&lt;=A27+'Summary'!$B$10*12,MOD(A92-A27,'Summary'!$B$11)=0),I27,0)+IF(AND(A92&gt;A28,A92&lt;=A28+'Summary'!$B$10*12,MOD(A92-A28,'Summary'!$B$11)=0),I28,0)+IF(AND(A92&gt;A29,A92&lt;=A29+'Summary'!$B$10*12,MOD(A92-A29,'Summary'!$B$11)=0),I29,0)+IF(AND(A92&gt;A30,A92&lt;=A30+'Summary'!$B$10*12,MOD(A92-A30,'Summary'!$B$11)=0),I30,0)+IF(AND(A92&gt;A31,A92&lt;=A31+'Summary'!$B$10*12,MOD(A92-A31,'Summary'!$B$11)=0),I31,0)+IF(AND(A92&gt;A32,A92&lt;=A32+'Summary'!$B$10*12,MOD(A92-A32,'Summary'!$B$11)=0),I32,0)+IF(AND(A92&gt;A33,A92&lt;=A33+'Summary'!$B$10*12,MOD(A92-A33,'Summary'!$B$11)=0),I33,0)+IF(AND(A92&gt;A34,A92&lt;=A34+'Summary'!$B$10*12,MOD(A92-A34,'Summary'!$B$11)=0),I34,0)+IF(AND(A92&gt;A35,A92&lt;=A35+'Summary'!$B$10*12,MOD(A92-A35,'Summary'!$B$11)=0),I35,0)+IF(AND(A92&gt;A36,A92&lt;=A36+'Summary'!$B$10*12,MOD(A92-A36,'Summary'!$B$11)=0),I36,0)+IF(AND(A92&gt;A37,A92&lt;=A37+'Summary'!$B$10*12,MOD(A92-A37,'Summary'!$B$11)=0),I37,0)+IF(AND(A92&gt;A38,A92&lt;=A38+'Summary'!$B$10*12,MOD(A92-A38,'Summary'!$B$11)=0),I38,0)+IF(AND(A92&gt;A39,A92&lt;=A39+'Summary'!$B$10*12,MOD(A92-A39,'Summary'!$B$11)=0),I39,0)+IF(AND(A92&gt;A40,A92&lt;=A40+'Summary'!$B$10*12,MOD(A92-A40,'Summary'!$B$11)=0),I40,0)+IF(AND(A92&gt;A41,A92&lt;=A41+'Summary'!$B$10*12,MOD(A92-A41,'Summary'!$B$11)=0),I41,0)+IF(AND(A92&gt;A42,A92&lt;=A42+'Summary'!$B$10*12,MOD(A92-A42,'Summary'!$B$11)=0),I42,0)+IF(AND(A92&gt;A43,A92&lt;=A43+'Summary'!$B$10*12,MOD(A92-A43,'Summary'!$B$11)=0),I43,0)+IF(AND(A92&gt;A44,A92&lt;=A44+'Summary'!$B$10*12,MOD(A92-A44,'Summary'!$B$11)=0),I44,0)+IF(AND(A92&gt;A45,A92&lt;=A45+'Summary'!$B$10*12,MOD(A92-A45,'Summary'!$B$11)=0),I45,0)+IF(AND(A92&gt;A46,A92&lt;=A46+'Summary'!$B$10*12,MOD(A92-A46,'Summary'!$B$11)=0),I46,0)+IF(AND(A92&gt;A47,A92&lt;=A47+'Summary'!$B$10*12,MOD(A92-A47,'Summary'!$B$11)=0),I47,0)+IF(AND(A92&gt;A48,A92&lt;=A48+'Summary'!$B$10*12,MOD(A92-A48,'Summary'!$B$11)=0),I48,0)+IF(AND(A92&gt;A49,A92&lt;=A49+'Summary'!$B$10*12,MOD(A92-A49,'Summary'!$B$11)=0),I49,0)+IF(AND(A92&gt;A50,A92&lt;=A50+'Summary'!$B$10*12,MOD(A92-A50,'Summary'!$B$11)=0),I50,0)+IF(AND(A92&gt;A51,A92&lt;=A51+'Summary'!$B$10*12,MOD(A92-A51,'Summary'!$B$11)=0),I51,0)+IF(AND(A92&gt;A52,A92&lt;=A52+'Summary'!$B$10*12,MOD(A92-A52,'Summary'!$B$11)=0),I52,0)+IF(AND(A92&gt;A53,A92&lt;=A53+'Summary'!$B$10*12,MOD(A92-A53,'Summary'!$B$11)=0),I53,0)+IF(AND(A92&gt;A54,A92&lt;=A54+'Summary'!$B$10*12,MOD(A92-A54,'Summary'!$B$11)=0),I54,0)+IF(AND(A92&gt;A55,A92&lt;=A55+'Summary'!$B$10*12,MOD(A92-A55,'Summary'!$B$11)=0),I55,0)+IF(AND(A92&gt;A56,A92&lt;=A56+'Summary'!$B$10*12,MOD(A92-A56,'Summary'!$B$11)=0),I56,0)+IF(AND(A92&gt;A57,A92&lt;=A57+'Summary'!$B$10*12,MOD(A92-A57,'Summary'!$B$11)=0),I57,0)+IF(AND(A92&gt;A58,A92&lt;=A58+'Summary'!$B$10*12,MOD(A92-A58,'Summary'!$B$11)=0),I58,0)+IF(AND(A92&gt;A59,A92&lt;=A59+'Summary'!$B$10*12,MOD(A92-A59,'Summary'!$B$11)=0),I59,0)+IF(AND(A92&gt;A60,A92&lt;=A60+'Summary'!$B$10*12,MOD(A92-A60,'Summary'!$B$11)=0),I60,0)+IF(AND(A92&gt;A61,A92&lt;=A61+'Summary'!$B$10*12,MOD(A92-A61,'Summary'!$B$11)=0),I61,0)+IF(AND(A92&gt;A62,A92&lt;=A62+'Summary'!$B$10*12,MOD(A92-A62,'Summary'!$B$11)=0),I62,0)+IF(AND(A92&gt;A63,A92&lt;=A63+'Summary'!$B$10*12,MOD(A92-A63,'Summary'!$B$11)=0),I63,0)+IF(AND(A92&gt;A64,A92&lt;=A64+'Summary'!$B$10*12,MOD(A92-A64,'Summary'!$B$11)=0),I64,0)+IF(AND(A92&gt;A65,A92&lt;=A65+'Summary'!$B$10*12,MOD(A92-A65,'Summary'!$B$11)=0),I65,0)+IF(AND(A92&gt;A66,A92&lt;=A66+'Summary'!$B$10*12,MOD(A92-A66,'Summary'!$B$11)=0),I66,0)+IF(AND(A92&gt;A67,A92&lt;=A67+'Summary'!$B$10*12,MOD(A92-A67,'Summary'!$B$11)=0),I67,0)+IF(AND(A92&gt;A68,A92&lt;=A68+'Summary'!$B$10*12,MOD(A92-A68,'Summary'!$B$11)=0),I68,0)+IF(AND(A92&gt;A69,A92&lt;=A69+'Summary'!$B$10*12,MOD(A92-A69,'Summary'!$B$11)=0),I69,0)+IF(AND(A92&gt;A70,A92&lt;=A70+'Summary'!$B$10*12,MOD(A92-A70,'Summary'!$B$11)=0),I70,0)+IF(AND(A92&gt;A71,A92&lt;=A71+'Summary'!$B$10*12,MOD(A92-A71,'Summary'!$B$11)=0),I71,0)+IF(AND(A92&gt;A72,A92&lt;=A72+'Summary'!$B$10*12,MOD(A92-A72,'Summary'!$B$11)=0),I72,0)+IF(AND(A92&gt;A73,A92&lt;=A73+'Summary'!$B$10*12,MOD(A92-A73,'Summary'!$B$11)=0),I73,0)+IF(AND(A92&gt;A74,A92&lt;=A74+'Summary'!$B$10*12,MOD(A92-A74,'Summary'!$B$11)=0),I74,0)+IF(AND(A92&gt;A75,A92&lt;=A75+'Summary'!$B$10*12,MOD(A92-A75,'Summary'!$B$11)=0),I75,0)+IF(AND(A92&gt;A76,A92&lt;=A76+'Summary'!$B$10*12,MOD(A92-A76,'Summary'!$B$11)=0),I76,0)+IF(AND(A92&gt;A77,A92&lt;=A77+'Summary'!$B$10*12,MOD(A92-A77,'Summary'!$B$11)=0),I77,0)+IF(AND(A92&gt;A78,A92&lt;=A78+'Summary'!$B$10*12,MOD(A92-A78,'Summary'!$B$11)=0),I78,0)+IF(AND(A92&gt;A79,A92&lt;=A79+'Summary'!$B$10*12,MOD(A92-A79,'Summary'!$B$11)=0),I79,0)+IF(AND(A92&gt;A80,A92&lt;=A80+'Summary'!$B$10*12,MOD(A92-A80,'Summary'!$B$11)=0),I80,0)+IF(AND(A92&gt;A81,A92&lt;=A81+'Summary'!$B$10*12,MOD(A92-A81,'Summary'!$B$11)=0),I81,0)+IF(AND(A92&gt;A82,A92&lt;=A82+'Summary'!$B$10*12,MOD(A92-A82,'Summary'!$B$11)=0),I82,0)+IF(AND(A92&gt;A83,A92&lt;=A83+'Summary'!$B$10*12,MOD(A92-A83,'Summary'!$B$11)=0),I83,0)+IF(AND(A92&gt;A84,A92&lt;=A84+'Summary'!$B$10*12,MOD(A92-A84,'Summary'!$B$11)=0),I84,0)+IF(AND(A92&gt;A85,A92&lt;=A85+'Summary'!$B$10*12,MOD(A92-A85,'Summary'!$B$11)=0),I85,0)+IF(AND(A92&gt;A86,A92&lt;=A86+'Summary'!$B$10*12,MOD(A92-A86,'Summary'!$B$11)=0),I86,0)+IF(AND(A92&gt;A87,A92&lt;=A87+'Summary'!$B$10*12,MOD(A92-A87,'Summary'!$B$11)=0),I87,0)+IF(AND(A92&gt;A88,A92&lt;=A88+'Summary'!$B$10*12,MOD(A92-A88,'Summary'!$B$11)=0),I88,0)+IF(AND(A92&gt;A89,A92&lt;=A89+'Summary'!$B$10*12,MOD(A92-A89,'Summary'!$B$11)=0),I89,0)+IF(AND(A92&gt;A90,A92&lt;=A90+'Summary'!$B$10*12,MOD(A92-A90,'Summary'!$B$11)=0),I90,0)+IF(AND(A92&gt;A91,A92&lt;=A91+'Summary'!$B$10*12,MOD(A92-A91,'Summary'!$B$11)=0),I91,0))*'Summary'!$B$8/2</x:f>
        <x:v>265.7876639565694</x:v>
      </x:c>
      <x:c r="G92" s="62" t="n">
        <x:f>IF(A92=A8+'Summary'!$B$10*12,I8,0)+IF(A92=A9+'Summary'!$B$10*12,I9,0)+IF(A92=A10+'Summary'!$B$10*12,I10,0)+IF(A92=A11+'Summary'!$B$10*12,I11,0)+IF(A92=A12+'Summary'!$B$10*12,I12,0)+IF(A92=A13+'Summary'!$B$10*12,I13,0)+IF(A92=A14+'Summary'!$B$10*12,I14,0)+IF(A92=A15+'Summary'!$B$10*12,I15,0)+IF(A92=A16+'Summary'!$B$10*12,I16,0)+IF(A92=A17+'Summary'!$B$10*12,I17,0)+IF(A92=A18+'Summary'!$B$10*12,I18,0)+IF(A92=A19+'Summary'!$B$10*12,I19,0)+IF(A92=A20+'Summary'!$B$10*12,I20,0)+IF(A92=A21+'Summary'!$B$10*12,I21,0)+IF(A92=A22+'Summary'!$B$10*12,I22,0)+IF(A92=A23+'Summary'!$B$10*12,I23,0)+IF(A92=A24+'Summary'!$B$10*12,I24,0)+IF(A92=A25+'Summary'!$B$10*12,I25,0)+IF(A92=A26+'Summary'!$B$10*12,I26,0)+IF(A92=A27+'Summary'!$B$10*12,I27,0)+IF(A92=A28+'Summary'!$B$10*12,I28,0)+IF(A92=A29+'Summary'!$B$10*12,I29,0)+IF(A92=A30+'Summary'!$B$10*12,I30,0)+IF(A92=A31+'Summary'!$B$10*12,I31,0)+IF(A92=A32+'Summary'!$B$10*12,I32,0)+IF(A92=A33+'Summary'!$B$10*12,I33,0)+IF(A92=A34+'Summary'!$B$10*12,I34,0)+IF(A92=A35+'Summary'!$B$10*12,I35,0)+IF(A92=A36+'Summary'!$B$10*12,I36,0)+IF(A92=A37+'Summary'!$B$10*12,I37,0)+IF(A92=A38+'Summary'!$B$10*12,I38,0)+IF(A92=A39+'Summary'!$B$10*12,I39,0)+IF(A92=A40+'Summary'!$B$10*12,I40,0)+IF(A92=A41+'Summary'!$B$10*12,I41,0)+IF(A92=A42+'Summary'!$B$10*12,I42,0)+IF(A92=A43+'Summary'!$B$10*12,I43,0)+IF(A92=A44+'Summary'!$B$10*12,I44,0)+IF(A92=A45+'Summary'!$B$10*12,I45,0)+IF(A92=A46+'Summary'!$B$10*12,I46,0)+IF(A92=A47+'Summary'!$B$10*12,I47,0)+IF(A92=A48+'Summary'!$B$10*12,I48,0)+IF(A92=A49+'Summary'!$B$10*12,I49,0)+IF(A92=A50+'Summary'!$B$10*12,I50,0)+IF(A92=A51+'Summary'!$B$10*12,I51,0)+IF(A92=A52+'Summary'!$B$10*12,I52,0)+IF(A92=A53+'Summary'!$B$10*12,I53,0)+IF(A92=A54+'Summary'!$B$10*12,I54,0)+IF(A92=A55+'Summary'!$B$10*12,I55,0)+IF(A92=A56+'Summary'!$B$10*12,I56,0)+IF(A92=A57+'Summary'!$B$10*12,I57,0)+IF(A92=A58+'Summary'!$B$10*12,I58,0)+IF(A92=A59+'Summary'!$B$10*12,I59,0)+IF(A92=A60+'Summary'!$B$10*12,I60,0)+IF(A92=A61+'Summary'!$B$10*12,I61,0)+IF(A92=A62+'Summary'!$B$10*12,I62,0)+IF(A92=A63+'Summary'!$B$10*12,I63,0)+IF(A92=A64+'Summary'!$B$10*12,I64,0)+IF(A92=A65+'Summary'!$B$10*12,I65,0)+IF(A92=A66+'Summary'!$B$10*12,I66,0)+IF(A92=A67+'Summary'!$B$10*12,I67,0)+IF(A92=A68+'Summary'!$B$10*12,I68,0)+IF(A92=A69+'Summary'!$B$10*12,I69,0)+IF(A92=A70+'Summary'!$B$10*12,I70,0)+IF(A92=A71+'Summary'!$B$10*12,I71,0)+IF(A92=A72+'Summary'!$B$10*12,I72,0)+IF(A92=A73+'Summary'!$B$10*12,I73,0)+IF(A92=A74+'Summary'!$B$10*12,I74,0)+IF(A92=A75+'Summary'!$B$10*12,I75,0)+IF(A92=A76+'Summary'!$B$10*12,I76,0)+IF(A92=A77+'Summary'!$B$10*12,I77,0)+IF(A92=A78+'Summary'!$B$10*12,I78,0)+IF(A92=A79+'Summary'!$B$10*12,I79,0)+IF(A92=A80+'Summary'!$B$10*12,I80,0)+IF(A92=A81+'Summary'!$B$10*12,I81,0)+IF(A92=A82+'Summary'!$B$10*12,I82,0)+IF(A92=A83+'Summary'!$B$10*12,I83,0)+IF(A92=A84+'Summary'!$B$10*12,I84,0)+IF(A92=A85+'Summary'!$B$10*12,I85,0)+IF(A92=A86+'Summary'!$B$10*12,I86,0)+IF(A92=A87+'Summary'!$B$10*12,I87,0)+IF(A92=A88+'Summary'!$B$10*12,I88,0)+IF(A92=A89+'Summary'!$B$10*12,I89,0)+IF(A92=A90+'Summary'!$B$10*12,I90,0)+IF(A92=A91+'Summary'!$B$10*12,I91,0)</x:f>
        <x:v>304.22320447444815</x:v>
      </x:c>
      <x:c r="H92" s="62" t="n">
        <x:f>E92+D92+F92+G92</x:f>
        <x:v>670.0108684310176</x:v>
      </x:c>
      <x:c r="I92" s="62" t="n">
        <x:f>IF(B92,IF(H92&gt;='Summary'!$B$12,H92,0),0)</x:f>
        <x:v>670.0108684310176</x:v>
      </x:c>
      <x:c r="J92" s="62" t="n">
        <x:f>H92-I92</x:f>
        <x:v>0</x:v>
      </x:c>
      <x:c r="K92" s="63" t="n">
        <x:f>J92+IF(A8+'Summary'!$B$10*12&gt;A92,I8,0)+IF(A9+'Summary'!$B$10*12&gt;A92,I9,0)+IF(A10+'Summary'!$B$10*12&gt;A92,I10,0)+IF(A11+'Summary'!$B$10*12&gt;A92,I11,0)+IF(A12+'Summary'!$B$10*12&gt;A92,I12,0)+IF(A13+'Summary'!$B$10*12&gt;A92,I13,0)+IF(A14+'Summary'!$B$10*12&gt;A92,I14,0)+IF(A15+'Summary'!$B$10*12&gt;A92,I15,0)+IF(A16+'Summary'!$B$10*12&gt;A92,I16,0)+IF(A17+'Summary'!$B$10*12&gt;A92,I17,0)+IF(A18+'Summary'!$B$10*12&gt;A92,I18,0)+IF(A19+'Summary'!$B$10*12&gt;A92,I19,0)+IF(A20+'Summary'!$B$10*12&gt;A92,I20,0)+IF(A21+'Summary'!$B$10*12&gt;A92,I21,0)+IF(A22+'Summary'!$B$10*12&gt;A92,I22,0)+IF(A23+'Summary'!$B$10*12&gt;A92,I23,0)+IF(A24+'Summary'!$B$10*12&gt;A92,I24,0)+IF(A25+'Summary'!$B$10*12&gt;A92,I25,0)+IF(A26+'Summary'!$B$10*12&gt;A92,I26,0)+IF(A27+'Summary'!$B$10*12&gt;A92,I27,0)+IF(A28+'Summary'!$B$10*12&gt;A92,I28,0)+IF(A29+'Summary'!$B$10*12&gt;A92,I29,0)+IF(A30+'Summary'!$B$10*12&gt;A92,I30,0)+IF(A31+'Summary'!$B$10*12&gt;A92,I31,0)+IF(A32+'Summary'!$B$10*12&gt;A92,I32,0)+IF(A33+'Summary'!$B$10*12&gt;A92,I33,0)+IF(A34+'Summary'!$B$10*12&gt;A92,I34,0)+IF(A35+'Summary'!$B$10*12&gt;A92,I35,0)+IF(A36+'Summary'!$B$10*12&gt;A92,I36,0)+IF(A37+'Summary'!$B$10*12&gt;A92,I37,0)+IF(A38+'Summary'!$B$10*12&gt;A92,I38,0)+IF(A39+'Summary'!$B$10*12&gt;A92,I39,0)+IF(A40+'Summary'!$B$10*12&gt;A92,I40,0)+IF(A41+'Summary'!$B$10*12&gt;A92,I41,0)+IF(A42+'Summary'!$B$10*12&gt;A92,I42,0)+IF(A43+'Summary'!$B$10*12&gt;A92,I43,0)+IF(A44+'Summary'!$B$10*12&gt;A92,I44,0)+IF(A45+'Summary'!$B$10*12&gt;A92,I45,0)+IF(A46+'Summary'!$B$10*12&gt;A92,I46,0)+IF(A47+'Summary'!$B$10*12&gt;A92,I47,0)+IF(A48+'Summary'!$B$10*12&gt;A92,I48,0)+IF(A49+'Summary'!$B$10*12&gt;A92,I49,0)+IF(A50+'Summary'!$B$10*12&gt;A92,I50,0)+IF(A51+'Summary'!$B$10*12&gt;A92,I51,0)+IF(A52+'Summary'!$B$10*12&gt;A92,I52,0)+IF(A53+'Summary'!$B$10*12&gt;A92,I53,0)+IF(A54+'Summary'!$B$10*12&gt;A92,I54,0)+IF(A55+'Summary'!$B$10*12&gt;A92,I55,0)+IF(A56+'Summary'!$B$10*12&gt;A92,I56,0)+IF(A57+'Summary'!$B$10*12&gt;A92,I57,0)+IF(A58+'Summary'!$B$10*12&gt;A92,I58,0)+IF(A59+'Summary'!$B$10*12&gt;A92,I59,0)+IF(A60+'Summary'!$B$10*12&gt;A92,I60,0)+IF(A61+'Summary'!$B$10*12&gt;A92,I61,0)+IF(A62+'Summary'!$B$10*12&gt;A92,I62,0)+IF(A63+'Summary'!$B$10*12&gt;A92,I63,0)+IF(A64+'Summary'!$B$10*12&gt;A92,I64,0)+IF(A65+'Summary'!$B$10*12&gt;A92,I65,0)+IF(A66+'Summary'!$B$10*12&gt;A92,I66,0)+IF(A67+'Summary'!$B$10*12&gt;A92,I67,0)+IF(A68+'Summary'!$B$10*12&gt;A92,I68,0)+IF(A69+'Summary'!$B$10*12&gt;A92,I69,0)+IF(A70+'Summary'!$B$10*12&gt;A92,I70,0)+IF(A71+'Summary'!$B$10*12&gt;A92,I71,0)+IF(A72+'Summary'!$B$10*12&gt;A92,I72,0)+IF(A73+'Summary'!$B$10*12&gt;A92,I73,0)+IF(A74+'Summary'!$B$10*12&gt;A92,I74,0)+IF(A75+'Summary'!$B$10*12&gt;A92,I75,0)+IF(A76+'Summary'!$B$10*12&gt;A92,I76,0)+IF(A77+'Summary'!$B$10*12&gt;A92,I77,0)+IF(A78+'Summary'!$B$10*12&gt;A92,I78,0)+IF(A79+'Summary'!$B$10*12&gt;A92,I79,0)+IF(A80+'Summary'!$B$10*12&gt;A92,I80,0)+IF(A81+'Summary'!$B$10*12&gt;A92,I81,0)+IF(A82+'Summary'!$B$10*12&gt;A92,I82,0)+IF(A83+'Summary'!$B$10*12&gt;A92,I83,0)+IF(A84+'Summary'!$B$10*12&gt;A92,I84,0)+IF(A85+'Summary'!$B$10*12&gt;A92,I85,0)+IF(A86+'Summary'!$B$10*12&gt;A92,I86,0)+IF(A87+'Summary'!$B$10*12&gt;A92,I87,0)+IF(A88+'Summary'!$B$10*12&gt;A92,I88,0)+IF(A89+'Summary'!$B$10*12&gt;A92,I89,0)+IF(A90+'Summary'!$B$10*12&gt;A92,I90,0)+IF(A91+'Summary'!$B$10*12&gt;A92,I91,0)+IF(A92+'Summary'!$B$10*12&gt;A92,I92,0)</x:f>
        <x:v>22568.055604767636</x:v>
      </x:c>
    </x:row>
    <x:row r="93">
      <x:c r="A93" s="55" t="n">
        <x:v>85</x:v>
      </x:c>
      <x:c r="B93" s="71" t="b">
        <x:f>A93&lt;='Summary'!$B$9*12</x:f>
        <x:v>1</x:v>
      </x:c>
      <x:c r="C93" s="62" t="n">
        <x:f>IF(A93=0,IF('Summary'!$B$6&gt;=5,'Summary'!$B$6,0),C92)+IF(A93&lt;'Summary'!$B$9*12,IF('Summary'!$B$7&gt;=5,'Summary'!$B$7,0),0)</x:f>
        <x:v>18600</x:v>
      </x:c>
      <x:c r="D93" s="62" t="n">
        <x:f>IF(A93=0,IF('Summary'!$B$6&gt;=5,'Summary'!$B$6,0),0)+IF(A93&lt;'Summary'!$B$9*12,IF('Summary'!$B$7&gt;=5,'Summary'!$B$7,0),0)</x:f>
        <x:v>100</x:v>
      </x:c>
      <x:c r="E93" s="62" t="n">
        <x:f>J92</x:f>
        <x:v>0</x:v>
      </x:c>
      <x:c r="F93" s="62" t="n">
        <x:f>(IF(AND(A93&gt;A8,A93&lt;=A8+'Summary'!$B$10*12,MOD(A93-A8,'Summary'!$B$11)=0),I8,0)+IF(AND(A93&gt;A9,A93&lt;=A9+'Summary'!$B$10*12,MOD(A93-A9,'Summary'!$B$11)=0),I9,0)+IF(AND(A93&gt;A10,A93&lt;=A10+'Summary'!$B$10*12,MOD(A93-A10,'Summary'!$B$11)=0),I10,0)+IF(AND(A93&gt;A11,A93&lt;=A11+'Summary'!$B$10*12,MOD(A93-A11,'Summary'!$B$11)=0),I11,0)+IF(AND(A93&gt;A12,A93&lt;=A12+'Summary'!$B$10*12,MOD(A93-A12,'Summary'!$B$11)=0),I12,0)+IF(AND(A93&gt;A13,A93&lt;=A13+'Summary'!$B$10*12,MOD(A93-A13,'Summary'!$B$11)=0),I13,0)+IF(AND(A93&gt;A14,A93&lt;=A14+'Summary'!$B$10*12,MOD(A93-A14,'Summary'!$B$11)=0),I14,0)+IF(AND(A93&gt;A15,A93&lt;=A15+'Summary'!$B$10*12,MOD(A93-A15,'Summary'!$B$11)=0),I15,0)+IF(AND(A93&gt;A16,A93&lt;=A16+'Summary'!$B$10*12,MOD(A93-A16,'Summary'!$B$11)=0),I16,0)+IF(AND(A93&gt;A17,A93&lt;=A17+'Summary'!$B$10*12,MOD(A93-A17,'Summary'!$B$11)=0),I17,0)+IF(AND(A93&gt;A18,A93&lt;=A18+'Summary'!$B$10*12,MOD(A93-A18,'Summary'!$B$11)=0),I18,0)+IF(AND(A93&gt;A19,A93&lt;=A19+'Summary'!$B$10*12,MOD(A93-A19,'Summary'!$B$11)=0),I19,0)+IF(AND(A93&gt;A20,A93&lt;=A20+'Summary'!$B$10*12,MOD(A93-A20,'Summary'!$B$11)=0),I20,0)+IF(AND(A93&gt;A21,A93&lt;=A21+'Summary'!$B$10*12,MOD(A93-A21,'Summary'!$B$11)=0),I21,0)+IF(AND(A93&gt;A22,A93&lt;=A22+'Summary'!$B$10*12,MOD(A93-A22,'Summary'!$B$11)=0),I22,0)+IF(AND(A93&gt;A23,A93&lt;=A23+'Summary'!$B$10*12,MOD(A93-A23,'Summary'!$B$11)=0),I23,0)+IF(AND(A93&gt;A24,A93&lt;=A24+'Summary'!$B$10*12,MOD(A93-A24,'Summary'!$B$11)=0),I24,0)+IF(AND(A93&gt;A25,A93&lt;=A25+'Summary'!$B$10*12,MOD(A93-A25,'Summary'!$B$11)=0),I25,0)+IF(AND(A93&gt;A26,A93&lt;=A26+'Summary'!$B$10*12,MOD(A93-A26,'Summary'!$B$11)=0),I26,0)+IF(AND(A93&gt;A27,A93&lt;=A27+'Summary'!$B$10*12,MOD(A93-A27,'Summary'!$B$11)=0),I27,0)+IF(AND(A93&gt;A28,A93&lt;=A28+'Summary'!$B$10*12,MOD(A93-A28,'Summary'!$B$11)=0),I28,0)+IF(AND(A93&gt;A29,A93&lt;=A29+'Summary'!$B$10*12,MOD(A93-A29,'Summary'!$B$11)=0),I29,0)+IF(AND(A93&gt;A30,A93&lt;=A30+'Summary'!$B$10*12,MOD(A93-A30,'Summary'!$B$11)=0),I30,0)+IF(AND(A93&gt;A31,A93&lt;=A31+'Summary'!$B$10*12,MOD(A93-A31,'Summary'!$B$11)=0),I31,0)+IF(AND(A93&gt;A32,A93&lt;=A32+'Summary'!$B$10*12,MOD(A93-A32,'Summary'!$B$11)=0),I32,0)+IF(AND(A93&gt;A33,A93&lt;=A33+'Summary'!$B$10*12,MOD(A93-A33,'Summary'!$B$11)=0),I33,0)+IF(AND(A93&gt;A34,A93&lt;=A34+'Summary'!$B$10*12,MOD(A93-A34,'Summary'!$B$11)=0),I34,0)+IF(AND(A93&gt;A35,A93&lt;=A35+'Summary'!$B$10*12,MOD(A93-A35,'Summary'!$B$11)=0),I35,0)+IF(AND(A93&gt;A36,A93&lt;=A36+'Summary'!$B$10*12,MOD(A93-A36,'Summary'!$B$11)=0),I36,0)+IF(AND(A93&gt;A37,A93&lt;=A37+'Summary'!$B$10*12,MOD(A93-A37,'Summary'!$B$11)=0),I37,0)+IF(AND(A93&gt;A38,A93&lt;=A38+'Summary'!$B$10*12,MOD(A93-A38,'Summary'!$B$11)=0),I38,0)+IF(AND(A93&gt;A39,A93&lt;=A39+'Summary'!$B$10*12,MOD(A93-A39,'Summary'!$B$11)=0),I39,0)+IF(AND(A93&gt;A40,A93&lt;=A40+'Summary'!$B$10*12,MOD(A93-A40,'Summary'!$B$11)=0),I40,0)+IF(AND(A93&gt;A41,A93&lt;=A41+'Summary'!$B$10*12,MOD(A93-A41,'Summary'!$B$11)=0),I41,0)+IF(AND(A93&gt;A42,A93&lt;=A42+'Summary'!$B$10*12,MOD(A93-A42,'Summary'!$B$11)=0),I42,0)+IF(AND(A93&gt;A43,A93&lt;=A43+'Summary'!$B$10*12,MOD(A93-A43,'Summary'!$B$11)=0),I43,0)+IF(AND(A93&gt;A44,A93&lt;=A44+'Summary'!$B$10*12,MOD(A93-A44,'Summary'!$B$11)=0),I44,0)+IF(AND(A93&gt;A45,A93&lt;=A45+'Summary'!$B$10*12,MOD(A93-A45,'Summary'!$B$11)=0),I45,0)+IF(AND(A93&gt;A46,A93&lt;=A46+'Summary'!$B$10*12,MOD(A93-A46,'Summary'!$B$11)=0),I46,0)+IF(AND(A93&gt;A47,A93&lt;=A47+'Summary'!$B$10*12,MOD(A93-A47,'Summary'!$B$11)=0),I47,0)+IF(AND(A93&gt;A48,A93&lt;=A48+'Summary'!$B$10*12,MOD(A93-A48,'Summary'!$B$11)=0),I48,0)+IF(AND(A93&gt;A49,A93&lt;=A49+'Summary'!$B$10*12,MOD(A93-A49,'Summary'!$B$11)=0),I49,0)+IF(AND(A93&gt;A50,A93&lt;=A50+'Summary'!$B$10*12,MOD(A93-A50,'Summary'!$B$11)=0),I50,0)+IF(AND(A93&gt;A51,A93&lt;=A51+'Summary'!$B$10*12,MOD(A93-A51,'Summary'!$B$11)=0),I51,0)+IF(AND(A93&gt;A52,A93&lt;=A52+'Summary'!$B$10*12,MOD(A93-A52,'Summary'!$B$11)=0),I52,0)+IF(AND(A93&gt;A53,A93&lt;=A53+'Summary'!$B$10*12,MOD(A93-A53,'Summary'!$B$11)=0),I53,0)+IF(AND(A93&gt;A54,A93&lt;=A54+'Summary'!$B$10*12,MOD(A93-A54,'Summary'!$B$11)=0),I54,0)+IF(AND(A93&gt;A55,A93&lt;=A55+'Summary'!$B$10*12,MOD(A93-A55,'Summary'!$B$11)=0),I55,0)+IF(AND(A93&gt;A56,A93&lt;=A56+'Summary'!$B$10*12,MOD(A93-A56,'Summary'!$B$11)=0),I56,0)+IF(AND(A93&gt;A57,A93&lt;=A57+'Summary'!$B$10*12,MOD(A93-A57,'Summary'!$B$11)=0),I57,0)+IF(AND(A93&gt;A58,A93&lt;=A58+'Summary'!$B$10*12,MOD(A93-A58,'Summary'!$B$11)=0),I58,0)+IF(AND(A93&gt;A59,A93&lt;=A59+'Summary'!$B$10*12,MOD(A93-A59,'Summary'!$B$11)=0),I59,0)+IF(AND(A93&gt;A60,A93&lt;=A60+'Summary'!$B$10*12,MOD(A93-A60,'Summary'!$B$11)=0),I60,0)+IF(AND(A93&gt;A61,A93&lt;=A61+'Summary'!$B$10*12,MOD(A93-A61,'Summary'!$B$11)=0),I61,0)+IF(AND(A93&gt;A62,A93&lt;=A62+'Summary'!$B$10*12,MOD(A93-A62,'Summary'!$B$11)=0),I62,0)+IF(AND(A93&gt;A63,A93&lt;=A63+'Summary'!$B$10*12,MOD(A93-A63,'Summary'!$B$11)=0),I63,0)+IF(AND(A93&gt;A64,A93&lt;=A64+'Summary'!$B$10*12,MOD(A93-A64,'Summary'!$B$11)=0),I64,0)+IF(AND(A93&gt;A65,A93&lt;=A65+'Summary'!$B$10*12,MOD(A93-A65,'Summary'!$B$11)=0),I65,0)+IF(AND(A93&gt;A66,A93&lt;=A66+'Summary'!$B$10*12,MOD(A93-A66,'Summary'!$B$11)=0),I66,0)+IF(AND(A93&gt;A67,A93&lt;=A67+'Summary'!$B$10*12,MOD(A93-A67,'Summary'!$B$11)=0),I67,0)+IF(AND(A93&gt;A68,A93&lt;=A68+'Summary'!$B$10*12,MOD(A93-A68,'Summary'!$B$11)=0),I68,0)+IF(AND(A93&gt;A69,A93&lt;=A69+'Summary'!$B$10*12,MOD(A93-A69,'Summary'!$B$11)=0),I69,0)+IF(AND(A93&gt;A70,A93&lt;=A70+'Summary'!$B$10*12,MOD(A93-A70,'Summary'!$B$11)=0),I70,0)+IF(AND(A93&gt;A71,A93&lt;=A71+'Summary'!$B$10*12,MOD(A93-A71,'Summary'!$B$11)=0),I71,0)+IF(AND(A93&gt;A72,A93&lt;=A72+'Summary'!$B$10*12,MOD(A93-A72,'Summary'!$B$11)=0),I72,0)+IF(AND(A93&gt;A73,A93&lt;=A73+'Summary'!$B$10*12,MOD(A93-A73,'Summary'!$B$11)=0),I73,0)+IF(AND(A93&gt;A74,A93&lt;=A74+'Summary'!$B$10*12,MOD(A93-A74,'Summary'!$B$11)=0),I74,0)+IF(AND(A93&gt;A75,A93&lt;=A75+'Summary'!$B$10*12,MOD(A93-A75,'Summary'!$B$11)=0),I75,0)+IF(AND(A93&gt;A76,A93&lt;=A76+'Summary'!$B$10*12,MOD(A93-A76,'Summary'!$B$11)=0),I76,0)+IF(AND(A93&gt;A77,A93&lt;=A77+'Summary'!$B$10*12,MOD(A93-A77,'Summary'!$B$11)=0),I77,0)+IF(AND(A93&gt;A78,A93&lt;=A78+'Summary'!$B$10*12,MOD(A93-A78,'Summary'!$B$11)=0),I78,0)+IF(AND(A93&gt;A79,A93&lt;=A79+'Summary'!$B$10*12,MOD(A93-A79,'Summary'!$B$11)=0),I79,0)+IF(AND(A93&gt;A80,A93&lt;=A80+'Summary'!$B$10*12,MOD(A93-A80,'Summary'!$B$11)=0),I80,0)+IF(AND(A93&gt;A81,A93&lt;=A81+'Summary'!$B$10*12,MOD(A93-A81,'Summary'!$B$11)=0),I81,0)+IF(AND(A93&gt;A82,A93&lt;=A82+'Summary'!$B$10*12,MOD(A93-A82,'Summary'!$B$11)=0),I82,0)+IF(AND(A93&gt;A83,A93&lt;=A83+'Summary'!$B$10*12,MOD(A93-A83,'Summary'!$B$11)=0),I83,0)+IF(AND(A93&gt;A84,A93&lt;=A84+'Summary'!$B$10*12,MOD(A93-A84,'Summary'!$B$11)=0),I84,0)+IF(AND(A93&gt;A85,A93&lt;=A85+'Summary'!$B$10*12,MOD(A93-A85,'Summary'!$B$11)=0),I85,0)+IF(AND(A93&gt;A86,A93&lt;=A86+'Summary'!$B$10*12,MOD(A93-A86,'Summary'!$B$11)=0),I86,0)+IF(AND(A93&gt;A87,A93&lt;=A87+'Summary'!$B$10*12,MOD(A93-A87,'Summary'!$B$11)=0),I87,0)+IF(AND(A93&gt;A88,A93&lt;=A88+'Summary'!$B$10*12,MOD(A93-A88,'Summary'!$B$11)=0),I88,0)+IF(AND(A93&gt;A89,A93&lt;=A89+'Summary'!$B$10*12,MOD(A93-A89,'Summary'!$B$11)=0),I89,0)+IF(AND(A93&gt;A90,A93&lt;=A90+'Summary'!$B$10*12,MOD(A93-A90,'Summary'!$B$11)=0),I90,0)+IF(AND(A93&gt;A91,A93&lt;=A91+'Summary'!$B$10*12,MOD(A93-A91,'Summary'!$B$11)=0),I91,0)+IF(AND(A93&gt;A92,A93&lt;=A92+'Summary'!$B$10*12,MOD(A93-A92,'Summary'!$B$11)=0),I92,0))*'Summary'!$B$8/2</x:f>
        <x:v>29.43490394850331</x:v>
      </x:c>
      <x:c r="G93" s="62" t="n">
        <x:f>IF(A93=A8+'Summary'!$B$10*12,I8,0)+IF(A93=A9+'Summary'!$B$10*12,I9,0)+IF(A93=A10+'Summary'!$B$10*12,I10,0)+IF(A93=A11+'Summary'!$B$10*12,I11,0)+IF(A93=A12+'Summary'!$B$10*12,I12,0)+IF(A93=A13+'Summary'!$B$10*12,I13,0)+IF(A93=A14+'Summary'!$B$10*12,I14,0)+IF(A93=A15+'Summary'!$B$10*12,I15,0)+IF(A93=A16+'Summary'!$B$10*12,I16,0)+IF(A93=A17+'Summary'!$B$10*12,I17,0)+IF(A93=A18+'Summary'!$B$10*12,I18,0)+IF(A93=A19+'Summary'!$B$10*12,I19,0)+IF(A93=A20+'Summary'!$B$10*12,I20,0)+IF(A93=A21+'Summary'!$B$10*12,I21,0)+IF(A93=A22+'Summary'!$B$10*12,I22,0)+IF(A93=A23+'Summary'!$B$10*12,I23,0)+IF(A93=A24+'Summary'!$B$10*12,I24,0)+IF(A93=A25+'Summary'!$B$10*12,I25,0)+IF(A93=A26+'Summary'!$B$10*12,I26,0)+IF(A93=A27+'Summary'!$B$10*12,I27,0)+IF(A93=A28+'Summary'!$B$10*12,I28,0)+IF(A93=A29+'Summary'!$B$10*12,I29,0)+IF(A93=A30+'Summary'!$B$10*12,I30,0)+IF(A93=A31+'Summary'!$B$10*12,I31,0)+IF(A93=A32+'Summary'!$B$10*12,I32,0)+IF(A93=A33+'Summary'!$B$10*12,I33,0)+IF(A93=A34+'Summary'!$B$10*12,I34,0)+IF(A93=A35+'Summary'!$B$10*12,I35,0)+IF(A93=A36+'Summary'!$B$10*12,I36,0)+IF(A93=A37+'Summary'!$B$10*12,I37,0)+IF(A93=A38+'Summary'!$B$10*12,I38,0)+IF(A93=A39+'Summary'!$B$10*12,I39,0)+IF(A93=A40+'Summary'!$B$10*12,I40,0)+IF(A93=A41+'Summary'!$B$10*12,I41,0)+IF(A93=A42+'Summary'!$B$10*12,I42,0)+IF(A93=A43+'Summary'!$B$10*12,I43,0)+IF(A93=A44+'Summary'!$B$10*12,I44,0)+IF(A93=A45+'Summary'!$B$10*12,I45,0)+IF(A93=A46+'Summary'!$B$10*12,I46,0)+IF(A93=A47+'Summary'!$B$10*12,I47,0)+IF(A93=A48+'Summary'!$B$10*12,I48,0)+IF(A93=A49+'Summary'!$B$10*12,I49,0)+IF(A93=A50+'Summary'!$B$10*12,I50,0)+IF(A93=A51+'Summary'!$B$10*12,I51,0)+IF(A93=A52+'Summary'!$B$10*12,I52,0)+IF(A93=A53+'Summary'!$B$10*12,I53,0)+IF(A93=A54+'Summary'!$B$10*12,I54,0)+IF(A93=A55+'Summary'!$B$10*12,I55,0)+IF(A93=A56+'Summary'!$B$10*12,I56,0)+IF(A93=A57+'Summary'!$B$10*12,I57,0)+IF(A93=A58+'Summary'!$B$10*12,I58,0)+IF(A93=A59+'Summary'!$B$10*12,I59,0)+IF(A93=A60+'Summary'!$B$10*12,I60,0)+IF(A93=A61+'Summary'!$B$10*12,I61,0)+IF(A93=A62+'Summary'!$B$10*12,I62,0)+IF(A93=A63+'Summary'!$B$10*12,I63,0)+IF(A93=A64+'Summary'!$B$10*12,I64,0)+IF(A93=A65+'Summary'!$B$10*12,I65,0)+IF(A93=A66+'Summary'!$B$10*12,I66,0)+IF(A93=A67+'Summary'!$B$10*12,I67,0)+IF(A93=A68+'Summary'!$B$10*12,I68,0)+IF(A93=A69+'Summary'!$B$10*12,I69,0)+IF(A93=A70+'Summary'!$B$10*12,I70,0)+IF(A93=A71+'Summary'!$B$10*12,I71,0)+IF(A93=A72+'Summary'!$B$10*12,I72,0)+IF(A93=A73+'Summary'!$B$10*12,I73,0)+IF(A93=A74+'Summary'!$B$10*12,I74,0)+IF(A93=A75+'Summary'!$B$10*12,I75,0)+IF(A93=A76+'Summary'!$B$10*12,I76,0)+IF(A93=A77+'Summary'!$B$10*12,I77,0)+IF(A93=A78+'Summary'!$B$10*12,I78,0)+IF(A93=A79+'Summary'!$B$10*12,I79,0)+IF(A93=A80+'Summary'!$B$10*12,I80,0)+IF(A93=A81+'Summary'!$B$10*12,I81,0)+IF(A93=A82+'Summary'!$B$10*12,I82,0)+IF(A93=A83+'Summary'!$B$10*12,I83,0)+IF(A93=A84+'Summary'!$B$10*12,I84,0)+IF(A93=A85+'Summary'!$B$10*12,I85,0)+IF(A93=A86+'Summary'!$B$10*12,I86,0)+IF(A93=A87+'Summary'!$B$10*12,I87,0)+IF(A93=A88+'Summary'!$B$10*12,I88,0)+IF(A93=A89+'Summary'!$B$10*12,I89,0)+IF(A93=A90+'Summary'!$B$10*12,I90,0)+IF(A93=A91+'Summary'!$B$10*12,I91,0)+IF(A93=A92+'Summary'!$B$10*12,I92,0)</x:f>
        <x:v>107.65016191123216</x:v>
      </x:c>
      <x:c r="H93" s="62" t="n">
        <x:f>E93+D93+F93+G93</x:f>
        <x:v>237.0850658597355</x:v>
      </x:c>
      <x:c r="I93" s="62" t="n">
        <x:f>IF(B93,IF(H93&gt;='Summary'!$B$12,H93,0),0)</x:f>
        <x:v>237.0850658597355</x:v>
      </x:c>
      <x:c r="J93" s="62" t="n">
        <x:f>H93-I93</x:f>
        <x:v>0</x:v>
      </x:c>
      <x:c r="K93" s="63" t="n">
        <x:f>J93+IF(A8+'Summary'!$B$10*12&gt;A93,I8,0)+IF(A9+'Summary'!$B$10*12&gt;A93,I9,0)+IF(A10+'Summary'!$B$10*12&gt;A93,I10,0)+IF(A11+'Summary'!$B$10*12&gt;A93,I11,0)+IF(A12+'Summary'!$B$10*12&gt;A93,I12,0)+IF(A13+'Summary'!$B$10*12&gt;A93,I13,0)+IF(A14+'Summary'!$B$10*12&gt;A93,I14,0)+IF(A15+'Summary'!$B$10*12&gt;A93,I15,0)+IF(A16+'Summary'!$B$10*12&gt;A93,I16,0)+IF(A17+'Summary'!$B$10*12&gt;A93,I17,0)+IF(A18+'Summary'!$B$10*12&gt;A93,I18,0)+IF(A19+'Summary'!$B$10*12&gt;A93,I19,0)+IF(A20+'Summary'!$B$10*12&gt;A93,I20,0)+IF(A21+'Summary'!$B$10*12&gt;A93,I21,0)+IF(A22+'Summary'!$B$10*12&gt;A93,I22,0)+IF(A23+'Summary'!$B$10*12&gt;A93,I23,0)+IF(A24+'Summary'!$B$10*12&gt;A93,I24,0)+IF(A25+'Summary'!$B$10*12&gt;A93,I25,0)+IF(A26+'Summary'!$B$10*12&gt;A93,I26,0)+IF(A27+'Summary'!$B$10*12&gt;A93,I27,0)+IF(A28+'Summary'!$B$10*12&gt;A93,I28,0)+IF(A29+'Summary'!$B$10*12&gt;A93,I29,0)+IF(A30+'Summary'!$B$10*12&gt;A93,I30,0)+IF(A31+'Summary'!$B$10*12&gt;A93,I31,0)+IF(A32+'Summary'!$B$10*12&gt;A93,I32,0)+IF(A33+'Summary'!$B$10*12&gt;A93,I33,0)+IF(A34+'Summary'!$B$10*12&gt;A93,I34,0)+IF(A35+'Summary'!$B$10*12&gt;A93,I35,0)+IF(A36+'Summary'!$B$10*12&gt;A93,I36,0)+IF(A37+'Summary'!$B$10*12&gt;A93,I37,0)+IF(A38+'Summary'!$B$10*12&gt;A93,I38,0)+IF(A39+'Summary'!$B$10*12&gt;A93,I39,0)+IF(A40+'Summary'!$B$10*12&gt;A93,I40,0)+IF(A41+'Summary'!$B$10*12&gt;A93,I41,0)+IF(A42+'Summary'!$B$10*12&gt;A93,I42,0)+IF(A43+'Summary'!$B$10*12&gt;A93,I43,0)+IF(A44+'Summary'!$B$10*12&gt;A93,I44,0)+IF(A45+'Summary'!$B$10*12&gt;A93,I45,0)+IF(A46+'Summary'!$B$10*12&gt;A93,I46,0)+IF(A47+'Summary'!$B$10*12&gt;A93,I47,0)+IF(A48+'Summary'!$B$10*12&gt;A93,I48,0)+IF(A49+'Summary'!$B$10*12&gt;A93,I49,0)+IF(A50+'Summary'!$B$10*12&gt;A93,I50,0)+IF(A51+'Summary'!$B$10*12&gt;A93,I51,0)+IF(A52+'Summary'!$B$10*12&gt;A93,I52,0)+IF(A53+'Summary'!$B$10*12&gt;A93,I53,0)+IF(A54+'Summary'!$B$10*12&gt;A93,I54,0)+IF(A55+'Summary'!$B$10*12&gt;A93,I55,0)+IF(A56+'Summary'!$B$10*12&gt;A93,I56,0)+IF(A57+'Summary'!$B$10*12&gt;A93,I57,0)+IF(A58+'Summary'!$B$10*12&gt;A93,I58,0)+IF(A59+'Summary'!$B$10*12&gt;A93,I59,0)+IF(A60+'Summary'!$B$10*12&gt;A93,I60,0)+IF(A61+'Summary'!$B$10*12&gt;A93,I61,0)+IF(A62+'Summary'!$B$10*12&gt;A93,I62,0)+IF(A63+'Summary'!$B$10*12&gt;A93,I63,0)+IF(A64+'Summary'!$B$10*12&gt;A93,I64,0)+IF(A65+'Summary'!$B$10*12&gt;A93,I65,0)+IF(A66+'Summary'!$B$10*12&gt;A93,I66,0)+IF(A67+'Summary'!$B$10*12&gt;A93,I67,0)+IF(A68+'Summary'!$B$10*12&gt;A93,I68,0)+IF(A69+'Summary'!$B$10*12&gt;A93,I69,0)+IF(A70+'Summary'!$B$10*12&gt;A93,I70,0)+IF(A71+'Summary'!$B$10*12&gt;A93,I71,0)+IF(A72+'Summary'!$B$10*12&gt;A93,I72,0)+IF(A73+'Summary'!$B$10*12&gt;A93,I73,0)+IF(A74+'Summary'!$B$10*12&gt;A93,I74,0)+IF(A75+'Summary'!$B$10*12&gt;A93,I75,0)+IF(A76+'Summary'!$B$10*12&gt;A93,I76,0)+IF(A77+'Summary'!$B$10*12&gt;A93,I77,0)+IF(A78+'Summary'!$B$10*12&gt;A93,I78,0)+IF(A79+'Summary'!$B$10*12&gt;A93,I79,0)+IF(A80+'Summary'!$B$10*12&gt;A93,I80,0)+IF(A81+'Summary'!$B$10*12&gt;A93,I81,0)+IF(A82+'Summary'!$B$10*12&gt;A93,I82,0)+IF(A83+'Summary'!$B$10*12&gt;A93,I83,0)+IF(A84+'Summary'!$B$10*12&gt;A93,I84,0)+IF(A85+'Summary'!$B$10*12&gt;A93,I85,0)+IF(A86+'Summary'!$B$10*12&gt;A93,I86,0)+IF(A87+'Summary'!$B$10*12&gt;A93,I87,0)+IF(A88+'Summary'!$B$10*12&gt;A93,I88,0)+IF(A89+'Summary'!$B$10*12&gt;A93,I89,0)+IF(A90+'Summary'!$B$10*12&gt;A93,I90,0)+IF(A91+'Summary'!$B$10*12&gt;A93,I91,0)+IF(A92+'Summary'!$B$10*12&gt;A93,I92,0)+IF(A93+'Summary'!$B$10*12&gt;A93,I93,0)</x:f>
        <x:v>22697.49050871614</x:v>
      </x:c>
    </x:row>
    <x:row r="94">
      <x:c r="A94" s="55" t="n">
        <x:v>86</x:v>
      </x:c>
      <x:c r="B94" s="71" t="b">
        <x:f>A94&lt;='Summary'!$B$9*12</x:f>
        <x:v>1</x:v>
      </x:c>
      <x:c r="C94" s="62" t="n">
        <x:f>IF(A94=0,IF('Summary'!$B$6&gt;=5,'Summary'!$B$6,0),C93)+IF(A94&lt;'Summary'!$B$9*12,IF('Summary'!$B$7&gt;=5,'Summary'!$B$7,0),0)</x:f>
        <x:v>18700</x:v>
      </x:c>
      <x:c r="D94" s="62" t="n">
        <x:f>IF(A94=0,IF('Summary'!$B$6&gt;=5,'Summary'!$B$6,0),0)+IF(A94&lt;'Summary'!$B$9*12,IF('Summary'!$B$7&gt;=5,'Summary'!$B$7,0),0)</x:f>
        <x:v>100</x:v>
      </x:c>
      <x:c r="E94" s="62" t="n">
        <x:f>J93</x:f>
        <x:v>0</x:v>
      </x:c>
      <x:c r="F94" s="62" t="n">
        <x:f>(IF(AND(A94&gt;A8,A94&lt;=A8+'Summary'!$B$10*12,MOD(A94-A8,'Summary'!$B$11)=0),I8,0)+IF(AND(A94&gt;A9,A94&lt;=A9+'Summary'!$B$10*12,MOD(A94-A9,'Summary'!$B$11)=0),I9,0)+IF(AND(A94&gt;A10,A94&lt;=A10+'Summary'!$B$10*12,MOD(A94-A10,'Summary'!$B$11)=0),I10,0)+IF(AND(A94&gt;A11,A94&lt;=A11+'Summary'!$B$10*12,MOD(A94-A11,'Summary'!$B$11)=0),I11,0)+IF(AND(A94&gt;A12,A94&lt;=A12+'Summary'!$B$10*12,MOD(A94-A12,'Summary'!$B$11)=0),I12,0)+IF(AND(A94&gt;A13,A94&lt;=A13+'Summary'!$B$10*12,MOD(A94-A13,'Summary'!$B$11)=0),I13,0)+IF(AND(A94&gt;A14,A94&lt;=A14+'Summary'!$B$10*12,MOD(A94-A14,'Summary'!$B$11)=0),I14,0)+IF(AND(A94&gt;A15,A94&lt;=A15+'Summary'!$B$10*12,MOD(A94-A15,'Summary'!$B$11)=0),I15,0)+IF(AND(A94&gt;A16,A94&lt;=A16+'Summary'!$B$10*12,MOD(A94-A16,'Summary'!$B$11)=0),I16,0)+IF(AND(A94&gt;A17,A94&lt;=A17+'Summary'!$B$10*12,MOD(A94-A17,'Summary'!$B$11)=0),I17,0)+IF(AND(A94&gt;A18,A94&lt;=A18+'Summary'!$B$10*12,MOD(A94-A18,'Summary'!$B$11)=0),I18,0)+IF(AND(A94&gt;A19,A94&lt;=A19+'Summary'!$B$10*12,MOD(A94-A19,'Summary'!$B$11)=0),I19,0)+IF(AND(A94&gt;A20,A94&lt;=A20+'Summary'!$B$10*12,MOD(A94-A20,'Summary'!$B$11)=0),I20,0)+IF(AND(A94&gt;A21,A94&lt;=A21+'Summary'!$B$10*12,MOD(A94-A21,'Summary'!$B$11)=0),I21,0)+IF(AND(A94&gt;A22,A94&lt;=A22+'Summary'!$B$10*12,MOD(A94-A22,'Summary'!$B$11)=0),I22,0)+IF(AND(A94&gt;A23,A94&lt;=A23+'Summary'!$B$10*12,MOD(A94-A23,'Summary'!$B$11)=0),I23,0)+IF(AND(A94&gt;A24,A94&lt;=A24+'Summary'!$B$10*12,MOD(A94-A24,'Summary'!$B$11)=0),I24,0)+IF(AND(A94&gt;A25,A94&lt;=A25+'Summary'!$B$10*12,MOD(A94-A25,'Summary'!$B$11)=0),I25,0)+IF(AND(A94&gt;A26,A94&lt;=A26+'Summary'!$B$10*12,MOD(A94-A26,'Summary'!$B$11)=0),I26,0)+IF(AND(A94&gt;A27,A94&lt;=A27+'Summary'!$B$10*12,MOD(A94-A27,'Summary'!$B$11)=0),I27,0)+IF(AND(A94&gt;A28,A94&lt;=A28+'Summary'!$B$10*12,MOD(A94-A28,'Summary'!$B$11)=0),I28,0)+IF(AND(A94&gt;A29,A94&lt;=A29+'Summary'!$B$10*12,MOD(A94-A29,'Summary'!$B$11)=0),I29,0)+IF(AND(A94&gt;A30,A94&lt;=A30+'Summary'!$B$10*12,MOD(A94-A30,'Summary'!$B$11)=0),I30,0)+IF(AND(A94&gt;A31,A94&lt;=A31+'Summary'!$B$10*12,MOD(A94-A31,'Summary'!$B$11)=0),I31,0)+IF(AND(A94&gt;A32,A94&lt;=A32+'Summary'!$B$10*12,MOD(A94-A32,'Summary'!$B$11)=0),I32,0)+IF(AND(A94&gt;A33,A94&lt;=A33+'Summary'!$B$10*12,MOD(A94-A33,'Summary'!$B$11)=0),I33,0)+IF(AND(A94&gt;A34,A94&lt;=A34+'Summary'!$B$10*12,MOD(A94-A34,'Summary'!$B$11)=0),I34,0)+IF(AND(A94&gt;A35,A94&lt;=A35+'Summary'!$B$10*12,MOD(A94-A35,'Summary'!$B$11)=0),I35,0)+IF(AND(A94&gt;A36,A94&lt;=A36+'Summary'!$B$10*12,MOD(A94-A36,'Summary'!$B$11)=0),I36,0)+IF(AND(A94&gt;A37,A94&lt;=A37+'Summary'!$B$10*12,MOD(A94-A37,'Summary'!$B$11)=0),I37,0)+IF(AND(A94&gt;A38,A94&lt;=A38+'Summary'!$B$10*12,MOD(A94-A38,'Summary'!$B$11)=0),I38,0)+IF(AND(A94&gt;A39,A94&lt;=A39+'Summary'!$B$10*12,MOD(A94-A39,'Summary'!$B$11)=0),I39,0)+IF(AND(A94&gt;A40,A94&lt;=A40+'Summary'!$B$10*12,MOD(A94-A40,'Summary'!$B$11)=0),I40,0)+IF(AND(A94&gt;A41,A94&lt;=A41+'Summary'!$B$10*12,MOD(A94-A41,'Summary'!$B$11)=0),I41,0)+IF(AND(A94&gt;A42,A94&lt;=A42+'Summary'!$B$10*12,MOD(A94-A42,'Summary'!$B$11)=0),I42,0)+IF(AND(A94&gt;A43,A94&lt;=A43+'Summary'!$B$10*12,MOD(A94-A43,'Summary'!$B$11)=0),I43,0)+IF(AND(A94&gt;A44,A94&lt;=A44+'Summary'!$B$10*12,MOD(A94-A44,'Summary'!$B$11)=0),I44,0)+IF(AND(A94&gt;A45,A94&lt;=A45+'Summary'!$B$10*12,MOD(A94-A45,'Summary'!$B$11)=0),I45,0)+IF(AND(A94&gt;A46,A94&lt;=A46+'Summary'!$B$10*12,MOD(A94-A46,'Summary'!$B$11)=0),I46,0)+IF(AND(A94&gt;A47,A94&lt;=A47+'Summary'!$B$10*12,MOD(A94-A47,'Summary'!$B$11)=0),I47,0)+IF(AND(A94&gt;A48,A94&lt;=A48+'Summary'!$B$10*12,MOD(A94-A48,'Summary'!$B$11)=0),I48,0)+IF(AND(A94&gt;A49,A94&lt;=A49+'Summary'!$B$10*12,MOD(A94-A49,'Summary'!$B$11)=0),I49,0)+IF(AND(A94&gt;A50,A94&lt;=A50+'Summary'!$B$10*12,MOD(A94-A50,'Summary'!$B$11)=0),I50,0)+IF(AND(A94&gt;A51,A94&lt;=A51+'Summary'!$B$10*12,MOD(A94-A51,'Summary'!$B$11)=0),I51,0)+IF(AND(A94&gt;A52,A94&lt;=A52+'Summary'!$B$10*12,MOD(A94-A52,'Summary'!$B$11)=0),I52,0)+IF(AND(A94&gt;A53,A94&lt;=A53+'Summary'!$B$10*12,MOD(A94-A53,'Summary'!$B$11)=0),I53,0)+IF(AND(A94&gt;A54,A94&lt;=A54+'Summary'!$B$10*12,MOD(A94-A54,'Summary'!$B$11)=0),I54,0)+IF(AND(A94&gt;A55,A94&lt;=A55+'Summary'!$B$10*12,MOD(A94-A55,'Summary'!$B$11)=0),I55,0)+IF(AND(A94&gt;A56,A94&lt;=A56+'Summary'!$B$10*12,MOD(A94-A56,'Summary'!$B$11)=0),I56,0)+IF(AND(A94&gt;A57,A94&lt;=A57+'Summary'!$B$10*12,MOD(A94-A57,'Summary'!$B$11)=0),I57,0)+IF(AND(A94&gt;A58,A94&lt;=A58+'Summary'!$B$10*12,MOD(A94-A58,'Summary'!$B$11)=0),I58,0)+IF(AND(A94&gt;A59,A94&lt;=A59+'Summary'!$B$10*12,MOD(A94-A59,'Summary'!$B$11)=0),I59,0)+IF(AND(A94&gt;A60,A94&lt;=A60+'Summary'!$B$10*12,MOD(A94-A60,'Summary'!$B$11)=0),I60,0)+IF(AND(A94&gt;A61,A94&lt;=A61+'Summary'!$B$10*12,MOD(A94-A61,'Summary'!$B$11)=0),I61,0)+IF(AND(A94&gt;A62,A94&lt;=A62+'Summary'!$B$10*12,MOD(A94-A62,'Summary'!$B$11)=0),I62,0)+IF(AND(A94&gt;A63,A94&lt;=A63+'Summary'!$B$10*12,MOD(A94-A63,'Summary'!$B$11)=0),I63,0)+IF(AND(A94&gt;A64,A94&lt;=A64+'Summary'!$B$10*12,MOD(A94-A64,'Summary'!$B$11)=0),I64,0)+IF(AND(A94&gt;A65,A94&lt;=A65+'Summary'!$B$10*12,MOD(A94-A65,'Summary'!$B$11)=0),I65,0)+IF(AND(A94&gt;A66,A94&lt;=A66+'Summary'!$B$10*12,MOD(A94-A66,'Summary'!$B$11)=0),I66,0)+IF(AND(A94&gt;A67,A94&lt;=A67+'Summary'!$B$10*12,MOD(A94-A67,'Summary'!$B$11)=0),I67,0)+IF(AND(A94&gt;A68,A94&lt;=A68+'Summary'!$B$10*12,MOD(A94-A68,'Summary'!$B$11)=0),I68,0)+IF(AND(A94&gt;A69,A94&lt;=A69+'Summary'!$B$10*12,MOD(A94-A69,'Summary'!$B$11)=0),I69,0)+IF(AND(A94&gt;A70,A94&lt;=A70+'Summary'!$B$10*12,MOD(A94-A70,'Summary'!$B$11)=0),I70,0)+IF(AND(A94&gt;A71,A94&lt;=A71+'Summary'!$B$10*12,MOD(A94-A71,'Summary'!$B$11)=0),I71,0)+IF(AND(A94&gt;A72,A94&lt;=A72+'Summary'!$B$10*12,MOD(A94-A72,'Summary'!$B$11)=0),I72,0)+IF(AND(A94&gt;A73,A94&lt;=A73+'Summary'!$B$10*12,MOD(A94-A73,'Summary'!$B$11)=0),I73,0)+IF(AND(A94&gt;A74,A94&lt;=A74+'Summary'!$B$10*12,MOD(A94-A74,'Summary'!$B$11)=0),I74,0)+IF(AND(A94&gt;A75,A94&lt;=A75+'Summary'!$B$10*12,MOD(A94-A75,'Summary'!$B$11)=0),I75,0)+IF(AND(A94&gt;A76,A94&lt;=A76+'Summary'!$B$10*12,MOD(A94-A76,'Summary'!$B$11)=0),I76,0)+IF(AND(A94&gt;A77,A94&lt;=A77+'Summary'!$B$10*12,MOD(A94-A77,'Summary'!$B$11)=0),I77,0)+IF(AND(A94&gt;A78,A94&lt;=A78+'Summary'!$B$10*12,MOD(A94-A78,'Summary'!$B$11)=0),I78,0)+IF(AND(A94&gt;A79,A94&lt;=A79+'Summary'!$B$10*12,MOD(A94-A79,'Summary'!$B$11)=0),I79,0)+IF(AND(A94&gt;A80,A94&lt;=A80+'Summary'!$B$10*12,MOD(A94-A80,'Summary'!$B$11)=0),I80,0)+IF(AND(A94&gt;A81,A94&lt;=A81+'Summary'!$B$10*12,MOD(A94-A81,'Summary'!$B$11)=0),I81,0)+IF(AND(A94&gt;A82,A94&lt;=A82+'Summary'!$B$10*12,MOD(A94-A82,'Summary'!$B$11)=0),I82,0)+IF(AND(A94&gt;A83,A94&lt;=A83+'Summary'!$B$10*12,MOD(A94-A83,'Summary'!$B$11)=0),I83,0)+IF(AND(A94&gt;A84,A94&lt;=A84+'Summary'!$B$10*12,MOD(A94-A84,'Summary'!$B$11)=0),I84,0)+IF(AND(A94&gt;A85,A94&lt;=A85+'Summary'!$B$10*12,MOD(A94-A85,'Summary'!$B$11)=0),I85,0)+IF(AND(A94&gt;A86,A94&lt;=A86+'Summary'!$B$10*12,MOD(A94-A86,'Summary'!$B$11)=0),I86,0)+IF(AND(A94&gt;A87,A94&lt;=A87+'Summary'!$B$10*12,MOD(A94-A87,'Summary'!$B$11)=0),I87,0)+IF(AND(A94&gt;A88,A94&lt;=A88+'Summary'!$B$10*12,MOD(A94-A88,'Summary'!$B$11)=0),I88,0)+IF(AND(A94&gt;A89,A94&lt;=A89+'Summary'!$B$10*12,MOD(A94-A89,'Summary'!$B$11)=0),I89,0)+IF(AND(A94&gt;A90,A94&lt;=A90+'Summary'!$B$10*12,MOD(A94-A90,'Summary'!$B$11)=0),I90,0)+IF(AND(A94&gt;A91,A94&lt;=A91+'Summary'!$B$10*12,MOD(A94-A91,'Summary'!$B$11)=0),I91,0)+IF(AND(A94&gt;A92,A94&lt;=A92+'Summary'!$B$10*12,MOD(A94-A92,'Summary'!$B$11)=0),I92,0)+IF(AND(A94&gt;A93,A94&lt;=A93+'Summary'!$B$10*12,MOD(A94-A93,'Summary'!$B$11)=0),I93,0))*'Summary'!$B$8/2</x:f>
        <x:v>29.43490394850331</x:v>
      </x:c>
      <x:c r="G94" s="62" t="n">
        <x:f>IF(A94=A8+'Summary'!$B$10*12,I8,0)+IF(A94=A9+'Summary'!$B$10*12,I9,0)+IF(A94=A10+'Summary'!$B$10*12,I10,0)+IF(A94=A11+'Summary'!$B$10*12,I11,0)+IF(A94=A12+'Summary'!$B$10*12,I12,0)+IF(A94=A13+'Summary'!$B$10*12,I13,0)+IF(A94=A14+'Summary'!$B$10*12,I14,0)+IF(A94=A15+'Summary'!$B$10*12,I15,0)+IF(A94=A16+'Summary'!$B$10*12,I16,0)+IF(A94=A17+'Summary'!$B$10*12,I17,0)+IF(A94=A18+'Summary'!$B$10*12,I18,0)+IF(A94=A19+'Summary'!$B$10*12,I19,0)+IF(A94=A20+'Summary'!$B$10*12,I20,0)+IF(A94=A21+'Summary'!$B$10*12,I21,0)+IF(A94=A22+'Summary'!$B$10*12,I22,0)+IF(A94=A23+'Summary'!$B$10*12,I23,0)+IF(A94=A24+'Summary'!$B$10*12,I24,0)+IF(A94=A25+'Summary'!$B$10*12,I25,0)+IF(A94=A26+'Summary'!$B$10*12,I26,0)+IF(A94=A27+'Summary'!$B$10*12,I27,0)+IF(A94=A28+'Summary'!$B$10*12,I28,0)+IF(A94=A29+'Summary'!$B$10*12,I29,0)+IF(A94=A30+'Summary'!$B$10*12,I30,0)+IF(A94=A31+'Summary'!$B$10*12,I31,0)+IF(A94=A32+'Summary'!$B$10*12,I32,0)+IF(A94=A33+'Summary'!$B$10*12,I33,0)+IF(A94=A34+'Summary'!$B$10*12,I34,0)+IF(A94=A35+'Summary'!$B$10*12,I35,0)+IF(A94=A36+'Summary'!$B$10*12,I36,0)+IF(A94=A37+'Summary'!$B$10*12,I37,0)+IF(A94=A38+'Summary'!$B$10*12,I38,0)+IF(A94=A39+'Summary'!$B$10*12,I39,0)+IF(A94=A40+'Summary'!$B$10*12,I40,0)+IF(A94=A41+'Summary'!$B$10*12,I41,0)+IF(A94=A42+'Summary'!$B$10*12,I42,0)+IF(A94=A43+'Summary'!$B$10*12,I43,0)+IF(A94=A44+'Summary'!$B$10*12,I44,0)+IF(A94=A45+'Summary'!$B$10*12,I45,0)+IF(A94=A46+'Summary'!$B$10*12,I46,0)+IF(A94=A47+'Summary'!$B$10*12,I47,0)+IF(A94=A48+'Summary'!$B$10*12,I48,0)+IF(A94=A49+'Summary'!$B$10*12,I49,0)+IF(A94=A50+'Summary'!$B$10*12,I50,0)+IF(A94=A51+'Summary'!$B$10*12,I51,0)+IF(A94=A52+'Summary'!$B$10*12,I52,0)+IF(A94=A53+'Summary'!$B$10*12,I53,0)+IF(A94=A54+'Summary'!$B$10*12,I54,0)+IF(A94=A55+'Summary'!$B$10*12,I55,0)+IF(A94=A56+'Summary'!$B$10*12,I56,0)+IF(A94=A57+'Summary'!$B$10*12,I57,0)+IF(A94=A58+'Summary'!$B$10*12,I58,0)+IF(A94=A59+'Summary'!$B$10*12,I59,0)+IF(A94=A60+'Summary'!$B$10*12,I60,0)+IF(A94=A61+'Summary'!$B$10*12,I61,0)+IF(A94=A62+'Summary'!$B$10*12,I62,0)+IF(A94=A63+'Summary'!$B$10*12,I63,0)+IF(A94=A64+'Summary'!$B$10*12,I64,0)+IF(A94=A65+'Summary'!$B$10*12,I65,0)+IF(A94=A66+'Summary'!$B$10*12,I66,0)+IF(A94=A67+'Summary'!$B$10*12,I67,0)+IF(A94=A68+'Summary'!$B$10*12,I68,0)+IF(A94=A69+'Summary'!$B$10*12,I69,0)+IF(A94=A70+'Summary'!$B$10*12,I70,0)+IF(A94=A71+'Summary'!$B$10*12,I71,0)+IF(A94=A72+'Summary'!$B$10*12,I72,0)+IF(A94=A73+'Summary'!$B$10*12,I73,0)+IF(A94=A74+'Summary'!$B$10*12,I74,0)+IF(A94=A75+'Summary'!$B$10*12,I75,0)+IF(A94=A76+'Summary'!$B$10*12,I76,0)+IF(A94=A77+'Summary'!$B$10*12,I77,0)+IF(A94=A78+'Summary'!$B$10*12,I78,0)+IF(A94=A79+'Summary'!$B$10*12,I79,0)+IF(A94=A80+'Summary'!$B$10*12,I80,0)+IF(A94=A81+'Summary'!$B$10*12,I81,0)+IF(A94=A82+'Summary'!$B$10*12,I82,0)+IF(A94=A83+'Summary'!$B$10*12,I83,0)+IF(A94=A84+'Summary'!$B$10*12,I84,0)+IF(A94=A85+'Summary'!$B$10*12,I85,0)+IF(A94=A86+'Summary'!$B$10*12,I86,0)+IF(A94=A87+'Summary'!$B$10*12,I87,0)+IF(A94=A88+'Summary'!$B$10*12,I88,0)+IF(A94=A89+'Summary'!$B$10*12,I89,0)+IF(A94=A90+'Summary'!$B$10*12,I90,0)+IF(A94=A91+'Summary'!$B$10*12,I91,0)+IF(A94=A92+'Summary'!$B$10*12,I92,0)+IF(A94=A93+'Summary'!$B$10*12,I93,0)</x:f>
        <x:v>107.65016191123216</x:v>
      </x:c>
      <x:c r="H94" s="62" t="n">
        <x:f>E94+D94+F94+G94</x:f>
        <x:v>237.0850658597355</x:v>
      </x:c>
      <x:c r="I94" s="62" t="n">
        <x:f>IF(B94,IF(H94&gt;='Summary'!$B$12,H94,0),0)</x:f>
        <x:v>237.0850658597355</x:v>
      </x:c>
      <x:c r="J94" s="62" t="n">
        <x:f>H94-I94</x:f>
        <x:v>0</x:v>
      </x:c>
      <x:c r="K94" s="63" t="n">
        <x:f>J94+IF(A8+'Summary'!$B$10*12&gt;A94,I8,0)+IF(A9+'Summary'!$B$10*12&gt;A94,I9,0)+IF(A10+'Summary'!$B$10*12&gt;A94,I10,0)+IF(A11+'Summary'!$B$10*12&gt;A94,I11,0)+IF(A12+'Summary'!$B$10*12&gt;A94,I12,0)+IF(A13+'Summary'!$B$10*12&gt;A94,I13,0)+IF(A14+'Summary'!$B$10*12&gt;A94,I14,0)+IF(A15+'Summary'!$B$10*12&gt;A94,I15,0)+IF(A16+'Summary'!$B$10*12&gt;A94,I16,0)+IF(A17+'Summary'!$B$10*12&gt;A94,I17,0)+IF(A18+'Summary'!$B$10*12&gt;A94,I18,0)+IF(A19+'Summary'!$B$10*12&gt;A94,I19,0)+IF(A20+'Summary'!$B$10*12&gt;A94,I20,0)+IF(A21+'Summary'!$B$10*12&gt;A94,I21,0)+IF(A22+'Summary'!$B$10*12&gt;A94,I22,0)+IF(A23+'Summary'!$B$10*12&gt;A94,I23,0)+IF(A24+'Summary'!$B$10*12&gt;A94,I24,0)+IF(A25+'Summary'!$B$10*12&gt;A94,I25,0)+IF(A26+'Summary'!$B$10*12&gt;A94,I26,0)+IF(A27+'Summary'!$B$10*12&gt;A94,I27,0)+IF(A28+'Summary'!$B$10*12&gt;A94,I28,0)+IF(A29+'Summary'!$B$10*12&gt;A94,I29,0)+IF(A30+'Summary'!$B$10*12&gt;A94,I30,0)+IF(A31+'Summary'!$B$10*12&gt;A94,I31,0)+IF(A32+'Summary'!$B$10*12&gt;A94,I32,0)+IF(A33+'Summary'!$B$10*12&gt;A94,I33,0)+IF(A34+'Summary'!$B$10*12&gt;A94,I34,0)+IF(A35+'Summary'!$B$10*12&gt;A94,I35,0)+IF(A36+'Summary'!$B$10*12&gt;A94,I36,0)+IF(A37+'Summary'!$B$10*12&gt;A94,I37,0)+IF(A38+'Summary'!$B$10*12&gt;A94,I38,0)+IF(A39+'Summary'!$B$10*12&gt;A94,I39,0)+IF(A40+'Summary'!$B$10*12&gt;A94,I40,0)+IF(A41+'Summary'!$B$10*12&gt;A94,I41,0)+IF(A42+'Summary'!$B$10*12&gt;A94,I42,0)+IF(A43+'Summary'!$B$10*12&gt;A94,I43,0)+IF(A44+'Summary'!$B$10*12&gt;A94,I44,0)+IF(A45+'Summary'!$B$10*12&gt;A94,I45,0)+IF(A46+'Summary'!$B$10*12&gt;A94,I46,0)+IF(A47+'Summary'!$B$10*12&gt;A94,I47,0)+IF(A48+'Summary'!$B$10*12&gt;A94,I48,0)+IF(A49+'Summary'!$B$10*12&gt;A94,I49,0)+IF(A50+'Summary'!$B$10*12&gt;A94,I50,0)+IF(A51+'Summary'!$B$10*12&gt;A94,I51,0)+IF(A52+'Summary'!$B$10*12&gt;A94,I52,0)+IF(A53+'Summary'!$B$10*12&gt;A94,I53,0)+IF(A54+'Summary'!$B$10*12&gt;A94,I54,0)+IF(A55+'Summary'!$B$10*12&gt;A94,I55,0)+IF(A56+'Summary'!$B$10*12&gt;A94,I56,0)+IF(A57+'Summary'!$B$10*12&gt;A94,I57,0)+IF(A58+'Summary'!$B$10*12&gt;A94,I58,0)+IF(A59+'Summary'!$B$10*12&gt;A94,I59,0)+IF(A60+'Summary'!$B$10*12&gt;A94,I60,0)+IF(A61+'Summary'!$B$10*12&gt;A94,I61,0)+IF(A62+'Summary'!$B$10*12&gt;A94,I62,0)+IF(A63+'Summary'!$B$10*12&gt;A94,I63,0)+IF(A64+'Summary'!$B$10*12&gt;A94,I64,0)+IF(A65+'Summary'!$B$10*12&gt;A94,I65,0)+IF(A66+'Summary'!$B$10*12&gt;A94,I66,0)+IF(A67+'Summary'!$B$10*12&gt;A94,I67,0)+IF(A68+'Summary'!$B$10*12&gt;A94,I68,0)+IF(A69+'Summary'!$B$10*12&gt;A94,I69,0)+IF(A70+'Summary'!$B$10*12&gt;A94,I70,0)+IF(A71+'Summary'!$B$10*12&gt;A94,I71,0)+IF(A72+'Summary'!$B$10*12&gt;A94,I72,0)+IF(A73+'Summary'!$B$10*12&gt;A94,I73,0)+IF(A74+'Summary'!$B$10*12&gt;A94,I74,0)+IF(A75+'Summary'!$B$10*12&gt;A94,I75,0)+IF(A76+'Summary'!$B$10*12&gt;A94,I76,0)+IF(A77+'Summary'!$B$10*12&gt;A94,I77,0)+IF(A78+'Summary'!$B$10*12&gt;A94,I78,0)+IF(A79+'Summary'!$B$10*12&gt;A94,I79,0)+IF(A80+'Summary'!$B$10*12&gt;A94,I80,0)+IF(A81+'Summary'!$B$10*12&gt;A94,I81,0)+IF(A82+'Summary'!$B$10*12&gt;A94,I82,0)+IF(A83+'Summary'!$B$10*12&gt;A94,I83,0)+IF(A84+'Summary'!$B$10*12&gt;A94,I84,0)+IF(A85+'Summary'!$B$10*12&gt;A94,I85,0)+IF(A86+'Summary'!$B$10*12&gt;A94,I86,0)+IF(A87+'Summary'!$B$10*12&gt;A94,I87,0)+IF(A88+'Summary'!$B$10*12&gt;A94,I88,0)+IF(A89+'Summary'!$B$10*12&gt;A94,I89,0)+IF(A90+'Summary'!$B$10*12&gt;A94,I90,0)+IF(A91+'Summary'!$B$10*12&gt;A94,I91,0)+IF(A92+'Summary'!$B$10*12&gt;A94,I92,0)+IF(A93+'Summary'!$B$10*12&gt;A94,I93,0)+IF(A94+'Summary'!$B$10*12&gt;A94,I94,0)</x:f>
        <x:v>22826.92541266464</x:v>
      </x:c>
    </x:row>
    <x:row r="95">
      <x:c r="A95" s="55" t="n">
        <x:v>87</x:v>
      </x:c>
      <x:c r="B95" s="71" t="b">
        <x:f>A95&lt;='Summary'!$B$9*12</x:f>
        <x:v>1</x:v>
      </x:c>
      <x:c r="C95" s="62" t="n">
        <x:f>IF(A95=0,IF('Summary'!$B$6&gt;=5,'Summary'!$B$6,0),C94)+IF(A95&lt;'Summary'!$B$9*12,IF('Summary'!$B$7&gt;=5,'Summary'!$B$7,0),0)</x:f>
        <x:v>18800</x:v>
      </x:c>
      <x:c r="D95" s="62" t="n">
        <x:f>IF(A95=0,IF('Summary'!$B$6&gt;=5,'Summary'!$B$6,0),0)+IF(A95&lt;'Summary'!$B$9*12,IF('Summary'!$B$7&gt;=5,'Summary'!$B$7,0),0)</x:f>
        <x:v>100</x:v>
      </x:c>
      <x:c r="E95" s="62" t="n">
        <x:f>J94</x:f>
        <x:v>0</x:v>
      </x:c>
      <x:c r="F95" s="62" t="n">
        <x:f>(IF(AND(A95&gt;A8,A95&lt;=A8+'Summary'!$B$10*12,MOD(A95-A8,'Summary'!$B$11)=0),I8,0)+IF(AND(A95&gt;A9,A95&lt;=A9+'Summary'!$B$10*12,MOD(A95-A9,'Summary'!$B$11)=0),I9,0)+IF(AND(A95&gt;A10,A95&lt;=A10+'Summary'!$B$10*12,MOD(A95-A10,'Summary'!$B$11)=0),I10,0)+IF(AND(A95&gt;A11,A95&lt;=A11+'Summary'!$B$10*12,MOD(A95-A11,'Summary'!$B$11)=0),I11,0)+IF(AND(A95&gt;A12,A95&lt;=A12+'Summary'!$B$10*12,MOD(A95-A12,'Summary'!$B$11)=0),I12,0)+IF(AND(A95&gt;A13,A95&lt;=A13+'Summary'!$B$10*12,MOD(A95-A13,'Summary'!$B$11)=0),I13,0)+IF(AND(A95&gt;A14,A95&lt;=A14+'Summary'!$B$10*12,MOD(A95-A14,'Summary'!$B$11)=0),I14,0)+IF(AND(A95&gt;A15,A95&lt;=A15+'Summary'!$B$10*12,MOD(A95-A15,'Summary'!$B$11)=0),I15,0)+IF(AND(A95&gt;A16,A95&lt;=A16+'Summary'!$B$10*12,MOD(A95-A16,'Summary'!$B$11)=0),I16,0)+IF(AND(A95&gt;A17,A95&lt;=A17+'Summary'!$B$10*12,MOD(A95-A17,'Summary'!$B$11)=0),I17,0)+IF(AND(A95&gt;A18,A95&lt;=A18+'Summary'!$B$10*12,MOD(A95-A18,'Summary'!$B$11)=0),I18,0)+IF(AND(A95&gt;A19,A95&lt;=A19+'Summary'!$B$10*12,MOD(A95-A19,'Summary'!$B$11)=0),I19,0)+IF(AND(A95&gt;A20,A95&lt;=A20+'Summary'!$B$10*12,MOD(A95-A20,'Summary'!$B$11)=0),I20,0)+IF(AND(A95&gt;A21,A95&lt;=A21+'Summary'!$B$10*12,MOD(A95-A21,'Summary'!$B$11)=0),I21,0)+IF(AND(A95&gt;A22,A95&lt;=A22+'Summary'!$B$10*12,MOD(A95-A22,'Summary'!$B$11)=0),I22,0)+IF(AND(A95&gt;A23,A95&lt;=A23+'Summary'!$B$10*12,MOD(A95-A23,'Summary'!$B$11)=0),I23,0)+IF(AND(A95&gt;A24,A95&lt;=A24+'Summary'!$B$10*12,MOD(A95-A24,'Summary'!$B$11)=0),I24,0)+IF(AND(A95&gt;A25,A95&lt;=A25+'Summary'!$B$10*12,MOD(A95-A25,'Summary'!$B$11)=0),I25,0)+IF(AND(A95&gt;A26,A95&lt;=A26+'Summary'!$B$10*12,MOD(A95-A26,'Summary'!$B$11)=0),I26,0)+IF(AND(A95&gt;A27,A95&lt;=A27+'Summary'!$B$10*12,MOD(A95-A27,'Summary'!$B$11)=0),I27,0)+IF(AND(A95&gt;A28,A95&lt;=A28+'Summary'!$B$10*12,MOD(A95-A28,'Summary'!$B$11)=0),I28,0)+IF(AND(A95&gt;A29,A95&lt;=A29+'Summary'!$B$10*12,MOD(A95-A29,'Summary'!$B$11)=0),I29,0)+IF(AND(A95&gt;A30,A95&lt;=A30+'Summary'!$B$10*12,MOD(A95-A30,'Summary'!$B$11)=0),I30,0)+IF(AND(A95&gt;A31,A95&lt;=A31+'Summary'!$B$10*12,MOD(A95-A31,'Summary'!$B$11)=0),I31,0)+IF(AND(A95&gt;A32,A95&lt;=A32+'Summary'!$B$10*12,MOD(A95-A32,'Summary'!$B$11)=0),I32,0)+IF(AND(A95&gt;A33,A95&lt;=A33+'Summary'!$B$10*12,MOD(A95-A33,'Summary'!$B$11)=0),I33,0)+IF(AND(A95&gt;A34,A95&lt;=A34+'Summary'!$B$10*12,MOD(A95-A34,'Summary'!$B$11)=0),I34,0)+IF(AND(A95&gt;A35,A95&lt;=A35+'Summary'!$B$10*12,MOD(A95-A35,'Summary'!$B$11)=0),I35,0)+IF(AND(A95&gt;A36,A95&lt;=A36+'Summary'!$B$10*12,MOD(A95-A36,'Summary'!$B$11)=0),I36,0)+IF(AND(A95&gt;A37,A95&lt;=A37+'Summary'!$B$10*12,MOD(A95-A37,'Summary'!$B$11)=0),I37,0)+IF(AND(A95&gt;A38,A95&lt;=A38+'Summary'!$B$10*12,MOD(A95-A38,'Summary'!$B$11)=0),I38,0)+IF(AND(A95&gt;A39,A95&lt;=A39+'Summary'!$B$10*12,MOD(A95-A39,'Summary'!$B$11)=0),I39,0)+IF(AND(A95&gt;A40,A95&lt;=A40+'Summary'!$B$10*12,MOD(A95-A40,'Summary'!$B$11)=0),I40,0)+IF(AND(A95&gt;A41,A95&lt;=A41+'Summary'!$B$10*12,MOD(A95-A41,'Summary'!$B$11)=0),I41,0)+IF(AND(A95&gt;A42,A95&lt;=A42+'Summary'!$B$10*12,MOD(A95-A42,'Summary'!$B$11)=0),I42,0)+IF(AND(A95&gt;A43,A95&lt;=A43+'Summary'!$B$10*12,MOD(A95-A43,'Summary'!$B$11)=0),I43,0)+IF(AND(A95&gt;A44,A95&lt;=A44+'Summary'!$B$10*12,MOD(A95-A44,'Summary'!$B$11)=0),I44,0)+IF(AND(A95&gt;A45,A95&lt;=A45+'Summary'!$B$10*12,MOD(A95-A45,'Summary'!$B$11)=0),I45,0)+IF(AND(A95&gt;A46,A95&lt;=A46+'Summary'!$B$10*12,MOD(A95-A46,'Summary'!$B$11)=0),I46,0)+IF(AND(A95&gt;A47,A95&lt;=A47+'Summary'!$B$10*12,MOD(A95-A47,'Summary'!$B$11)=0),I47,0)+IF(AND(A95&gt;A48,A95&lt;=A48+'Summary'!$B$10*12,MOD(A95-A48,'Summary'!$B$11)=0),I48,0)+IF(AND(A95&gt;A49,A95&lt;=A49+'Summary'!$B$10*12,MOD(A95-A49,'Summary'!$B$11)=0),I49,0)+IF(AND(A95&gt;A50,A95&lt;=A50+'Summary'!$B$10*12,MOD(A95-A50,'Summary'!$B$11)=0),I50,0)+IF(AND(A95&gt;A51,A95&lt;=A51+'Summary'!$B$10*12,MOD(A95-A51,'Summary'!$B$11)=0),I51,0)+IF(AND(A95&gt;A52,A95&lt;=A52+'Summary'!$B$10*12,MOD(A95-A52,'Summary'!$B$11)=0),I52,0)+IF(AND(A95&gt;A53,A95&lt;=A53+'Summary'!$B$10*12,MOD(A95-A53,'Summary'!$B$11)=0),I53,0)+IF(AND(A95&gt;A54,A95&lt;=A54+'Summary'!$B$10*12,MOD(A95-A54,'Summary'!$B$11)=0),I54,0)+IF(AND(A95&gt;A55,A95&lt;=A55+'Summary'!$B$10*12,MOD(A95-A55,'Summary'!$B$11)=0),I55,0)+IF(AND(A95&gt;A56,A95&lt;=A56+'Summary'!$B$10*12,MOD(A95-A56,'Summary'!$B$11)=0),I56,0)+IF(AND(A95&gt;A57,A95&lt;=A57+'Summary'!$B$10*12,MOD(A95-A57,'Summary'!$B$11)=0),I57,0)+IF(AND(A95&gt;A58,A95&lt;=A58+'Summary'!$B$10*12,MOD(A95-A58,'Summary'!$B$11)=0),I58,0)+IF(AND(A95&gt;A59,A95&lt;=A59+'Summary'!$B$10*12,MOD(A95-A59,'Summary'!$B$11)=0),I59,0)+IF(AND(A95&gt;A60,A95&lt;=A60+'Summary'!$B$10*12,MOD(A95-A60,'Summary'!$B$11)=0),I60,0)+IF(AND(A95&gt;A61,A95&lt;=A61+'Summary'!$B$10*12,MOD(A95-A61,'Summary'!$B$11)=0),I61,0)+IF(AND(A95&gt;A62,A95&lt;=A62+'Summary'!$B$10*12,MOD(A95-A62,'Summary'!$B$11)=0),I62,0)+IF(AND(A95&gt;A63,A95&lt;=A63+'Summary'!$B$10*12,MOD(A95-A63,'Summary'!$B$11)=0),I63,0)+IF(AND(A95&gt;A64,A95&lt;=A64+'Summary'!$B$10*12,MOD(A95-A64,'Summary'!$B$11)=0),I64,0)+IF(AND(A95&gt;A65,A95&lt;=A65+'Summary'!$B$10*12,MOD(A95-A65,'Summary'!$B$11)=0),I65,0)+IF(AND(A95&gt;A66,A95&lt;=A66+'Summary'!$B$10*12,MOD(A95-A66,'Summary'!$B$11)=0),I66,0)+IF(AND(A95&gt;A67,A95&lt;=A67+'Summary'!$B$10*12,MOD(A95-A67,'Summary'!$B$11)=0),I67,0)+IF(AND(A95&gt;A68,A95&lt;=A68+'Summary'!$B$10*12,MOD(A95-A68,'Summary'!$B$11)=0),I68,0)+IF(AND(A95&gt;A69,A95&lt;=A69+'Summary'!$B$10*12,MOD(A95-A69,'Summary'!$B$11)=0),I69,0)+IF(AND(A95&gt;A70,A95&lt;=A70+'Summary'!$B$10*12,MOD(A95-A70,'Summary'!$B$11)=0),I70,0)+IF(AND(A95&gt;A71,A95&lt;=A71+'Summary'!$B$10*12,MOD(A95-A71,'Summary'!$B$11)=0),I71,0)+IF(AND(A95&gt;A72,A95&lt;=A72+'Summary'!$B$10*12,MOD(A95-A72,'Summary'!$B$11)=0),I72,0)+IF(AND(A95&gt;A73,A95&lt;=A73+'Summary'!$B$10*12,MOD(A95-A73,'Summary'!$B$11)=0),I73,0)+IF(AND(A95&gt;A74,A95&lt;=A74+'Summary'!$B$10*12,MOD(A95-A74,'Summary'!$B$11)=0),I74,0)+IF(AND(A95&gt;A75,A95&lt;=A75+'Summary'!$B$10*12,MOD(A95-A75,'Summary'!$B$11)=0),I75,0)+IF(AND(A95&gt;A76,A95&lt;=A76+'Summary'!$B$10*12,MOD(A95-A76,'Summary'!$B$11)=0),I76,0)+IF(AND(A95&gt;A77,A95&lt;=A77+'Summary'!$B$10*12,MOD(A95-A77,'Summary'!$B$11)=0),I77,0)+IF(AND(A95&gt;A78,A95&lt;=A78+'Summary'!$B$10*12,MOD(A95-A78,'Summary'!$B$11)=0),I78,0)+IF(AND(A95&gt;A79,A95&lt;=A79+'Summary'!$B$10*12,MOD(A95-A79,'Summary'!$B$11)=0),I79,0)+IF(AND(A95&gt;A80,A95&lt;=A80+'Summary'!$B$10*12,MOD(A95-A80,'Summary'!$B$11)=0),I80,0)+IF(AND(A95&gt;A81,A95&lt;=A81+'Summary'!$B$10*12,MOD(A95-A81,'Summary'!$B$11)=0),I81,0)+IF(AND(A95&gt;A82,A95&lt;=A82+'Summary'!$B$10*12,MOD(A95-A82,'Summary'!$B$11)=0),I82,0)+IF(AND(A95&gt;A83,A95&lt;=A83+'Summary'!$B$10*12,MOD(A95-A83,'Summary'!$B$11)=0),I83,0)+IF(AND(A95&gt;A84,A95&lt;=A84+'Summary'!$B$10*12,MOD(A95-A84,'Summary'!$B$11)=0),I84,0)+IF(AND(A95&gt;A85,A95&lt;=A85+'Summary'!$B$10*12,MOD(A95-A85,'Summary'!$B$11)=0),I85,0)+IF(AND(A95&gt;A86,A95&lt;=A86+'Summary'!$B$10*12,MOD(A95-A86,'Summary'!$B$11)=0),I86,0)+IF(AND(A95&gt;A87,A95&lt;=A87+'Summary'!$B$10*12,MOD(A95-A87,'Summary'!$B$11)=0),I87,0)+IF(AND(A95&gt;A88,A95&lt;=A88+'Summary'!$B$10*12,MOD(A95-A88,'Summary'!$B$11)=0),I88,0)+IF(AND(A95&gt;A89,A95&lt;=A89+'Summary'!$B$10*12,MOD(A95-A89,'Summary'!$B$11)=0),I89,0)+IF(AND(A95&gt;A90,A95&lt;=A90+'Summary'!$B$10*12,MOD(A95-A90,'Summary'!$B$11)=0),I90,0)+IF(AND(A95&gt;A91,A95&lt;=A91+'Summary'!$B$10*12,MOD(A95-A91,'Summary'!$B$11)=0),I91,0)+IF(AND(A95&gt;A92,A95&lt;=A92+'Summary'!$B$10*12,MOD(A95-A92,'Summary'!$B$11)=0),I92,0)+IF(AND(A95&gt;A93,A95&lt;=A93+'Summary'!$B$10*12,MOD(A95-A93,'Summary'!$B$11)=0),I93,0)+IF(AND(A95&gt;A94,A95&lt;=A94+'Summary'!$B$10*12,MOD(A95-A94,'Summary'!$B$11)=0),I94,0))*'Summary'!$B$8/2</x:f>
        <x:v>29.43490394850331</x:v>
      </x:c>
      <x:c r="G95" s="62" t="n">
        <x:f>IF(A95=A8+'Summary'!$B$10*12,I8,0)+IF(A95=A9+'Summary'!$B$10*12,I9,0)+IF(A95=A10+'Summary'!$B$10*12,I10,0)+IF(A95=A11+'Summary'!$B$10*12,I11,0)+IF(A95=A12+'Summary'!$B$10*12,I12,0)+IF(A95=A13+'Summary'!$B$10*12,I13,0)+IF(A95=A14+'Summary'!$B$10*12,I14,0)+IF(A95=A15+'Summary'!$B$10*12,I15,0)+IF(A95=A16+'Summary'!$B$10*12,I16,0)+IF(A95=A17+'Summary'!$B$10*12,I17,0)+IF(A95=A18+'Summary'!$B$10*12,I18,0)+IF(A95=A19+'Summary'!$B$10*12,I19,0)+IF(A95=A20+'Summary'!$B$10*12,I20,0)+IF(A95=A21+'Summary'!$B$10*12,I21,0)+IF(A95=A22+'Summary'!$B$10*12,I22,0)+IF(A95=A23+'Summary'!$B$10*12,I23,0)+IF(A95=A24+'Summary'!$B$10*12,I24,0)+IF(A95=A25+'Summary'!$B$10*12,I25,0)+IF(A95=A26+'Summary'!$B$10*12,I26,0)+IF(A95=A27+'Summary'!$B$10*12,I27,0)+IF(A95=A28+'Summary'!$B$10*12,I28,0)+IF(A95=A29+'Summary'!$B$10*12,I29,0)+IF(A95=A30+'Summary'!$B$10*12,I30,0)+IF(A95=A31+'Summary'!$B$10*12,I31,0)+IF(A95=A32+'Summary'!$B$10*12,I32,0)+IF(A95=A33+'Summary'!$B$10*12,I33,0)+IF(A95=A34+'Summary'!$B$10*12,I34,0)+IF(A95=A35+'Summary'!$B$10*12,I35,0)+IF(A95=A36+'Summary'!$B$10*12,I36,0)+IF(A95=A37+'Summary'!$B$10*12,I37,0)+IF(A95=A38+'Summary'!$B$10*12,I38,0)+IF(A95=A39+'Summary'!$B$10*12,I39,0)+IF(A95=A40+'Summary'!$B$10*12,I40,0)+IF(A95=A41+'Summary'!$B$10*12,I41,0)+IF(A95=A42+'Summary'!$B$10*12,I42,0)+IF(A95=A43+'Summary'!$B$10*12,I43,0)+IF(A95=A44+'Summary'!$B$10*12,I44,0)+IF(A95=A45+'Summary'!$B$10*12,I45,0)+IF(A95=A46+'Summary'!$B$10*12,I46,0)+IF(A95=A47+'Summary'!$B$10*12,I47,0)+IF(A95=A48+'Summary'!$B$10*12,I48,0)+IF(A95=A49+'Summary'!$B$10*12,I49,0)+IF(A95=A50+'Summary'!$B$10*12,I50,0)+IF(A95=A51+'Summary'!$B$10*12,I51,0)+IF(A95=A52+'Summary'!$B$10*12,I52,0)+IF(A95=A53+'Summary'!$B$10*12,I53,0)+IF(A95=A54+'Summary'!$B$10*12,I54,0)+IF(A95=A55+'Summary'!$B$10*12,I55,0)+IF(A95=A56+'Summary'!$B$10*12,I56,0)+IF(A95=A57+'Summary'!$B$10*12,I57,0)+IF(A95=A58+'Summary'!$B$10*12,I58,0)+IF(A95=A59+'Summary'!$B$10*12,I59,0)+IF(A95=A60+'Summary'!$B$10*12,I60,0)+IF(A95=A61+'Summary'!$B$10*12,I61,0)+IF(A95=A62+'Summary'!$B$10*12,I62,0)+IF(A95=A63+'Summary'!$B$10*12,I63,0)+IF(A95=A64+'Summary'!$B$10*12,I64,0)+IF(A95=A65+'Summary'!$B$10*12,I65,0)+IF(A95=A66+'Summary'!$B$10*12,I66,0)+IF(A95=A67+'Summary'!$B$10*12,I67,0)+IF(A95=A68+'Summary'!$B$10*12,I68,0)+IF(A95=A69+'Summary'!$B$10*12,I69,0)+IF(A95=A70+'Summary'!$B$10*12,I70,0)+IF(A95=A71+'Summary'!$B$10*12,I71,0)+IF(A95=A72+'Summary'!$B$10*12,I72,0)+IF(A95=A73+'Summary'!$B$10*12,I73,0)+IF(A95=A74+'Summary'!$B$10*12,I74,0)+IF(A95=A75+'Summary'!$B$10*12,I75,0)+IF(A95=A76+'Summary'!$B$10*12,I76,0)+IF(A95=A77+'Summary'!$B$10*12,I77,0)+IF(A95=A78+'Summary'!$B$10*12,I78,0)+IF(A95=A79+'Summary'!$B$10*12,I79,0)+IF(A95=A80+'Summary'!$B$10*12,I80,0)+IF(A95=A81+'Summary'!$B$10*12,I81,0)+IF(A95=A82+'Summary'!$B$10*12,I82,0)+IF(A95=A83+'Summary'!$B$10*12,I83,0)+IF(A95=A84+'Summary'!$B$10*12,I84,0)+IF(A95=A85+'Summary'!$B$10*12,I85,0)+IF(A95=A86+'Summary'!$B$10*12,I86,0)+IF(A95=A87+'Summary'!$B$10*12,I87,0)+IF(A95=A88+'Summary'!$B$10*12,I88,0)+IF(A95=A89+'Summary'!$B$10*12,I89,0)+IF(A95=A90+'Summary'!$B$10*12,I90,0)+IF(A95=A91+'Summary'!$B$10*12,I91,0)+IF(A95=A92+'Summary'!$B$10*12,I92,0)+IF(A95=A93+'Summary'!$B$10*12,I93,0)+IF(A95=A94+'Summary'!$B$10*12,I94,0)</x:f>
        <x:v>107.65016191123216</x:v>
      </x:c>
      <x:c r="H95" s="62" t="n">
        <x:f>E95+D95+F95+G95</x:f>
        <x:v>237.0850658597355</x:v>
      </x:c>
      <x:c r="I95" s="62" t="n">
        <x:f>IF(B95,IF(H95&gt;='Summary'!$B$12,H95,0),0)</x:f>
        <x:v>237.0850658597355</x:v>
      </x:c>
      <x:c r="J95" s="62" t="n">
        <x:f>H95-I95</x:f>
        <x:v>0</x:v>
      </x:c>
      <x:c r="K95" s="63" t="n">
        <x:f>J95+IF(A8+'Summary'!$B$10*12&gt;A95,I8,0)+IF(A9+'Summary'!$B$10*12&gt;A95,I9,0)+IF(A10+'Summary'!$B$10*12&gt;A95,I10,0)+IF(A11+'Summary'!$B$10*12&gt;A95,I11,0)+IF(A12+'Summary'!$B$10*12&gt;A95,I12,0)+IF(A13+'Summary'!$B$10*12&gt;A95,I13,0)+IF(A14+'Summary'!$B$10*12&gt;A95,I14,0)+IF(A15+'Summary'!$B$10*12&gt;A95,I15,0)+IF(A16+'Summary'!$B$10*12&gt;A95,I16,0)+IF(A17+'Summary'!$B$10*12&gt;A95,I17,0)+IF(A18+'Summary'!$B$10*12&gt;A95,I18,0)+IF(A19+'Summary'!$B$10*12&gt;A95,I19,0)+IF(A20+'Summary'!$B$10*12&gt;A95,I20,0)+IF(A21+'Summary'!$B$10*12&gt;A95,I21,0)+IF(A22+'Summary'!$B$10*12&gt;A95,I22,0)+IF(A23+'Summary'!$B$10*12&gt;A95,I23,0)+IF(A24+'Summary'!$B$10*12&gt;A95,I24,0)+IF(A25+'Summary'!$B$10*12&gt;A95,I25,0)+IF(A26+'Summary'!$B$10*12&gt;A95,I26,0)+IF(A27+'Summary'!$B$10*12&gt;A95,I27,0)+IF(A28+'Summary'!$B$10*12&gt;A95,I28,0)+IF(A29+'Summary'!$B$10*12&gt;A95,I29,0)+IF(A30+'Summary'!$B$10*12&gt;A95,I30,0)+IF(A31+'Summary'!$B$10*12&gt;A95,I31,0)+IF(A32+'Summary'!$B$10*12&gt;A95,I32,0)+IF(A33+'Summary'!$B$10*12&gt;A95,I33,0)+IF(A34+'Summary'!$B$10*12&gt;A95,I34,0)+IF(A35+'Summary'!$B$10*12&gt;A95,I35,0)+IF(A36+'Summary'!$B$10*12&gt;A95,I36,0)+IF(A37+'Summary'!$B$10*12&gt;A95,I37,0)+IF(A38+'Summary'!$B$10*12&gt;A95,I38,0)+IF(A39+'Summary'!$B$10*12&gt;A95,I39,0)+IF(A40+'Summary'!$B$10*12&gt;A95,I40,0)+IF(A41+'Summary'!$B$10*12&gt;A95,I41,0)+IF(A42+'Summary'!$B$10*12&gt;A95,I42,0)+IF(A43+'Summary'!$B$10*12&gt;A95,I43,0)+IF(A44+'Summary'!$B$10*12&gt;A95,I44,0)+IF(A45+'Summary'!$B$10*12&gt;A95,I45,0)+IF(A46+'Summary'!$B$10*12&gt;A95,I46,0)+IF(A47+'Summary'!$B$10*12&gt;A95,I47,0)+IF(A48+'Summary'!$B$10*12&gt;A95,I48,0)+IF(A49+'Summary'!$B$10*12&gt;A95,I49,0)+IF(A50+'Summary'!$B$10*12&gt;A95,I50,0)+IF(A51+'Summary'!$B$10*12&gt;A95,I51,0)+IF(A52+'Summary'!$B$10*12&gt;A95,I52,0)+IF(A53+'Summary'!$B$10*12&gt;A95,I53,0)+IF(A54+'Summary'!$B$10*12&gt;A95,I54,0)+IF(A55+'Summary'!$B$10*12&gt;A95,I55,0)+IF(A56+'Summary'!$B$10*12&gt;A95,I56,0)+IF(A57+'Summary'!$B$10*12&gt;A95,I57,0)+IF(A58+'Summary'!$B$10*12&gt;A95,I58,0)+IF(A59+'Summary'!$B$10*12&gt;A95,I59,0)+IF(A60+'Summary'!$B$10*12&gt;A95,I60,0)+IF(A61+'Summary'!$B$10*12&gt;A95,I61,0)+IF(A62+'Summary'!$B$10*12&gt;A95,I62,0)+IF(A63+'Summary'!$B$10*12&gt;A95,I63,0)+IF(A64+'Summary'!$B$10*12&gt;A95,I64,0)+IF(A65+'Summary'!$B$10*12&gt;A95,I65,0)+IF(A66+'Summary'!$B$10*12&gt;A95,I66,0)+IF(A67+'Summary'!$B$10*12&gt;A95,I67,0)+IF(A68+'Summary'!$B$10*12&gt;A95,I68,0)+IF(A69+'Summary'!$B$10*12&gt;A95,I69,0)+IF(A70+'Summary'!$B$10*12&gt;A95,I70,0)+IF(A71+'Summary'!$B$10*12&gt;A95,I71,0)+IF(A72+'Summary'!$B$10*12&gt;A95,I72,0)+IF(A73+'Summary'!$B$10*12&gt;A95,I73,0)+IF(A74+'Summary'!$B$10*12&gt;A95,I74,0)+IF(A75+'Summary'!$B$10*12&gt;A95,I75,0)+IF(A76+'Summary'!$B$10*12&gt;A95,I76,0)+IF(A77+'Summary'!$B$10*12&gt;A95,I77,0)+IF(A78+'Summary'!$B$10*12&gt;A95,I78,0)+IF(A79+'Summary'!$B$10*12&gt;A95,I79,0)+IF(A80+'Summary'!$B$10*12&gt;A95,I80,0)+IF(A81+'Summary'!$B$10*12&gt;A95,I81,0)+IF(A82+'Summary'!$B$10*12&gt;A95,I82,0)+IF(A83+'Summary'!$B$10*12&gt;A95,I83,0)+IF(A84+'Summary'!$B$10*12&gt;A95,I84,0)+IF(A85+'Summary'!$B$10*12&gt;A95,I85,0)+IF(A86+'Summary'!$B$10*12&gt;A95,I86,0)+IF(A87+'Summary'!$B$10*12&gt;A95,I87,0)+IF(A88+'Summary'!$B$10*12&gt;A95,I88,0)+IF(A89+'Summary'!$B$10*12&gt;A95,I89,0)+IF(A90+'Summary'!$B$10*12&gt;A95,I90,0)+IF(A91+'Summary'!$B$10*12&gt;A95,I91,0)+IF(A92+'Summary'!$B$10*12&gt;A95,I92,0)+IF(A93+'Summary'!$B$10*12&gt;A95,I93,0)+IF(A94+'Summary'!$B$10*12&gt;A95,I94,0)+IF(A95+'Summary'!$B$10*12&gt;A95,I95,0)</x:f>
        <x:v>22956.360316613143</x:v>
      </x:c>
    </x:row>
    <x:row r="96">
      <x:c r="A96" s="55" t="n">
        <x:v>88</x:v>
      </x:c>
      <x:c r="B96" s="71" t="b">
        <x:f>A96&lt;='Summary'!$B$9*12</x:f>
        <x:v>1</x:v>
      </x:c>
      <x:c r="C96" s="62" t="n">
        <x:f>IF(A96=0,IF('Summary'!$B$6&gt;=5,'Summary'!$B$6,0),C95)+IF(A96&lt;'Summary'!$B$9*12,IF('Summary'!$B$7&gt;=5,'Summary'!$B$7,0),0)</x:f>
        <x:v>18900</x:v>
      </x:c>
      <x:c r="D96" s="62" t="n">
        <x:f>IF(A96=0,IF('Summary'!$B$6&gt;=5,'Summary'!$B$6,0),0)+IF(A96&lt;'Summary'!$B$9*12,IF('Summary'!$B$7&gt;=5,'Summary'!$B$7,0),0)</x:f>
        <x:v>100</x:v>
      </x:c>
      <x:c r="E96" s="62" t="n">
        <x:f>J95</x:f>
        <x:v>0</x:v>
      </x:c>
      <x:c r="F96" s="62" t="n">
        <x:f>(IF(AND(A96&gt;A8,A96&lt;=A8+'Summary'!$B$10*12,MOD(A96-A8,'Summary'!$B$11)=0),I8,0)+IF(AND(A96&gt;A9,A96&lt;=A9+'Summary'!$B$10*12,MOD(A96-A9,'Summary'!$B$11)=0),I9,0)+IF(AND(A96&gt;A10,A96&lt;=A10+'Summary'!$B$10*12,MOD(A96-A10,'Summary'!$B$11)=0),I10,0)+IF(AND(A96&gt;A11,A96&lt;=A11+'Summary'!$B$10*12,MOD(A96-A11,'Summary'!$B$11)=0),I11,0)+IF(AND(A96&gt;A12,A96&lt;=A12+'Summary'!$B$10*12,MOD(A96-A12,'Summary'!$B$11)=0),I12,0)+IF(AND(A96&gt;A13,A96&lt;=A13+'Summary'!$B$10*12,MOD(A96-A13,'Summary'!$B$11)=0),I13,0)+IF(AND(A96&gt;A14,A96&lt;=A14+'Summary'!$B$10*12,MOD(A96-A14,'Summary'!$B$11)=0),I14,0)+IF(AND(A96&gt;A15,A96&lt;=A15+'Summary'!$B$10*12,MOD(A96-A15,'Summary'!$B$11)=0),I15,0)+IF(AND(A96&gt;A16,A96&lt;=A16+'Summary'!$B$10*12,MOD(A96-A16,'Summary'!$B$11)=0),I16,0)+IF(AND(A96&gt;A17,A96&lt;=A17+'Summary'!$B$10*12,MOD(A96-A17,'Summary'!$B$11)=0),I17,0)+IF(AND(A96&gt;A18,A96&lt;=A18+'Summary'!$B$10*12,MOD(A96-A18,'Summary'!$B$11)=0),I18,0)+IF(AND(A96&gt;A19,A96&lt;=A19+'Summary'!$B$10*12,MOD(A96-A19,'Summary'!$B$11)=0),I19,0)+IF(AND(A96&gt;A20,A96&lt;=A20+'Summary'!$B$10*12,MOD(A96-A20,'Summary'!$B$11)=0),I20,0)+IF(AND(A96&gt;A21,A96&lt;=A21+'Summary'!$B$10*12,MOD(A96-A21,'Summary'!$B$11)=0),I21,0)+IF(AND(A96&gt;A22,A96&lt;=A22+'Summary'!$B$10*12,MOD(A96-A22,'Summary'!$B$11)=0),I22,0)+IF(AND(A96&gt;A23,A96&lt;=A23+'Summary'!$B$10*12,MOD(A96-A23,'Summary'!$B$11)=0),I23,0)+IF(AND(A96&gt;A24,A96&lt;=A24+'Summary'!$B$10*12,MOD(A96-A24,'Summary'!$B$11)=0),I24,0)+IF(AND(A96&gt;A25,A96&lt;=A25+'Summary'!$B$10*12,MOD(A96-A25,'Summary'!$B$11)=0),I25,0)+IF(AND(A96&gt;A26,A96&lt;=A26+'Summary'!$B$10*12,MOD(A96-A26,'Summary'!$B$11)=0),I26,0)+IF(AND(A96&gt;A27,A96&lt;=A27+'Summary'!$B$10*12,MOD(A96-A27,'Summary'!$B$11)=0),I27,0)+IF(AND(A96&gt;A28,A96&lt;=A28+'Summary'!$B$10*12,MOD(A96-A28,'Summary'!$B$11)=0),I28,0)+IF(AND(A96&gt;A29,A96&lt;=A29+'Summary'!$B$10*12,MOD(A96-A29,'Summary'!$B$11)=0),I29,0)+IF(AND(A96&gt;A30,A96&lt;=A30+'Summary'!$B$10*12,MOD(A96-A30,'Summary'!$B$11)=0),I30,0)+IF(AND(A96&gt;A31,A96&lt;=A31+'Summary'!$B$10*12,MOD(A96-A31,'Summary'!$B$11)=0),I31,0)+IF(AND(A96&gt;A32,A96&lt;=A32+'Summary'!$B$10*12,MOD(A96-A32,'Summary'!$B$11)=0),I32,0)+IF(AND(A96&gt;A33,A96&lt;=A33+'Summary'!$B$10*12,MOD(A96-A33,'Summary'!$B$11)=0),I33,0)+IF(AND(A96&gt;A34,A96&lt;=A34+'Summary'!$B$10*12,MOD(A96-A34,'Summary'!$B$11)=0),I34,0)+IF(AND(A96&gt;A35,A96&lt;=A35+'Summary'!$B$10*12,MOD(A96-A35,'Summary'!$B$11)=0),I35,0)+IF(AND(A96&gt;A36,A96&lt;=A36+'Summary'!$B$10*12,MOD(A96-A36,'Summary'!$B$11)=0),I36,0)+IF(AND(A96&gt;A37,A96&lt;=A37+'Summary'!$B$10*12,MOD(A96-A37,'Summary'!$B$11)=0),I37,0)+IF(AND(A96&gt;A38,A96&lt;=A38+'Summary'!$B$10*12,MOD(A96-A38,'Summary'!$B$11)=0),I38,0)+IF(AND(A96&gt;A39,A96&lt;=A39+'Summary'!$B$10*12,MOD(A96-A39,'Summary'!$B$11)=0),I39,0)+IF(AND(A96&gt;A40,A96&lt;=A40+'Summary'!$B$10*12,MOD(A96-A40,'Summary'!$B$11)=0),I40,0)+IF(AND(A96&gt;A41,A96&lt;=A41+'Summary'!$B$10*12,MOD(A96-A41,'Summary'!$B$11)=0),I41,0)+IF(AND(A96&gt;A42,A96&lt;=A42+'Summary'!$B$10*12,MOD(A96-A42,'Summary'!$B$11)=0),I42,0)+IF(AND(A96&gt;A43,A96&lt;=A43+'Summary'!$B$10*12,MOD(A96-A43,'Summary'!$B$11)=0),I43,0)+IF(AND(A96&gt;A44,A96&lt;=A44+'Summary'!$B$10*12,MOD(A96-A44,'Summary'!$B$11)=0),I44,0)+IF(AND(A96&gt;A45,A96&lt;=A45+'Summary'!$B$10*12,MOD(A96-A45,'Summary'!$B$11)=0),I45,0)+IF(AND(A96&gt;A46,A96&lt;=A46+'Summary'!$B$10*12,MOD(A96-A46,'Summary'!$B$11)=0),I46,0)+IF(AND(A96&gt;A47,A96&lt;=A47+'Summary'!$B$10*12,MOD(A96-A47,'Summary'!$B$11)=0),I47,0)+IF(AND(A96&gt;A48,A96&lt;=A48+'Summary'!$B$10*12,MOD(A96-A48,'Summary'!$B$11)=0),I48,0)+IF(AND(A96&gt;A49,A96&lt;=A49+'Summary'!$B$10*12,MOD(A96-A49,'Summary'!$B$11)=0),I49,0)+IF(AND(A96&gt;A50,A96&lt;=A50+'Summary'!$B$10*12,MOD(A96-A50,'Summary'!$B$11)=0),I50,0)+IF(AND(A96&gt;A51,A96&lt;=A51+'Summary'!$B$10*12,MOD(A96-A51,'Summary'!$B$11)=0),I51,0)+IF(AND(A96&gt;A52,A96&lt;=A52+'Summary'!$B$10*12,MOD(A96-A52,'Summary'!$B$11)=0),I52,0)+IF(AND(A96&gt;A53,A96&lt;=A53+'Summary'!$B$10*12,MOD(A96-A53,'Summary'!$B$11)=0),I53,0)+IF(AND(A96&gt;A54,A96&lt;=A54+'Summary'!$B$10*12,MOD(A96-A54,'Summary'!$B$11)=0),I54,0)+IF(AND(A96&gt;A55,A96&lt;=A55+'Summary'!$B$10*12,MOD(A96-A55,'Summary'!$B$11)=0),I55,0)+IF(AND(A96&gt;A56,A96&lt;=A56+'Summary'!$B$10*12,MOD(A96-A56,'Summary'!$B$11)=0),I56,0)+IF(AND(A96&gt;A57,A96&lt;=A57+'Summary'!$B$10*12,MOD(A96-A57,'Summary'!$B$11)=0),I57,0)+IF(AND(A96&gt;A58,A96&lt;=A58+'Summary'!$B$10*12,MOD(A96-A58,'Summary'!$B$11)=0),I58,0)+IF(AND(A96&gt;A59,A96&lt;=A59+'Summary'!$B$10*12,MOD(A96-A59,'Summary'!$B$11)=0),I59,0)+IF(AND(A96&gt;A60,A96&lt;=A60+'Summary'!$B$10*12,MOD(A96-A60,'Summary'!$B$11)=0),I60,0)+IF(AND(A96&gt;A61,A96&lt;=A61+'Summary'!$B$10*12,MOD(A96-A61,'Summary'!$B$11)=0),I61,0)+IF(AND(A96&gt;A62,A96&lt;=A62+'Summary'!$B$10*12,MOD(A96-A62,'Summary'!$B$11)=0),I62,0)+IF(AND(A96&gt;A63,A96&lt;=A63+'Summary'!$B$10*12,MOD(A96-A63,'Summary'!$B$11)=0),I63,0)+IF(AND(A96&gt;A64,A96&lt;=A64+'Summary'!$B$10*12,MOD(A96-A64,'Summary'!$B$11)=0),I64,0)+IF(AND(A96&gt;A65,A96&lt;=A65+'Summary'!$B$10*12,MOD(A96-A65,'Summary'!$B$11)=0),I65,0)+IF(AND(A96&gt;A66,A96&lt;=A66+'Summary'!$B$10*12,MOD(A96-A66,'Summary'!$B$11)=0),I66,0)+IF(AND(A96&gt;A67,A96&lt;=A67+'Summary'!$B$10*12,MOD(A96-A67,'Summary'!$B$11)=0),I67,0)+IF(AND(A96&gt;A68,A96&lt;=A68+'Summary'!$B$10*12,MOD(A96-A68,'Summary'!$B$11)=0),I68,0)+IF(AND(A96&gt;A69,A96&lt;=A69+'Summary'!$B$10*12,MOD(A96-A69,'Summary'!$B$11)=0),I69,0)+IF(AND(A96&gt;A70,A96&lt;=A70+'Summary'!$B$10*12,MOD(A96-A70,'Summary'!$B$11)=0),I70,0)+IF(AND(A96&gt;A71,A96&lt;=A71+'Summary'!$B$10*12,MOD(A96-A71,'Summary'!$B$11)=0),I71,0)+IF(AND(A96&gt;A72,A96&lt;=A72+'Summary'!$B$10*12,MOD(A96-A72,'Summary'!$B$11)=0),I72,0)+IF(AND(A96&gt;A73,A96&lt;=A73+'Summary'!$B$10*12,MOD(A96-A73,'Summary'!$B$11)=0),I73,0)+IF(AND(A96&gt;A74,A96&lt;=A74+'Summary'!$B$10*12,MOD(A96-A74,'Summary'!$B$11)=0),I74,0)+IF(AND(A96&gt;A75,A96&lt;=A75+'Summary'!$B$10*12,MOD(A96-A75,'Summary'!$B$11)=0),I75,0)+IF(AND(A96&gt;A76,A96&lt;=A76+'Summary'!$B$10*12,MOD(A96-A76,'Summary'!$B$11)=0),I76,0)+IF(AND(A96&gt;A77,A96&lt;=A77+'Summary'!$B$10*12,MOD(A96-A77,'Summary'!$B$11)=0),I77,0)+IF(AND(A96&gt;A78,A96&lt;=A78+'Summary'!$B$10*12,MOD(A96-A78,'Summary'!$B$11)=0),I78,0)+IF(AND(A96&gt;A79,A96&lt;=A79+'Summary'!$B$10*12,MOD(A96-A79,'Summary'!$B$11)=0),I79,0)+IF(AND(A96&gt;A80,A96&lt;=A80+'Summary'!$B$10*12,MOD(A96-A80,'Summary'!$B$11)=0),I80,0)+IF(AND(A96&gt;A81,A96&lt;=A81+'Summary'!$B$10*12,MOD(A96-A81,'Summary'!$B$11)=0),I81,0)+IF(AND(A96&gt;A82,A96&lt;=A82+'Summary'!$B$10*12,MOD(A96-A82,'Summary'!$B$11)=0),I82,0)+IF(AND(A96&gt;A83,A96&lt;=A83+'Summary'!$B$10*12,MOD(A96-A83,'Summary'!$B$11)=0),I83,0)+IF(AND(A96&gt;A84,A96&lt;=A84+'Summary'!$B$10*12,MOD(A96-A84,'Summary'!$B$11)=0),I84,0)+IF(AND(A96&gt;A85,A96&lt;=A85+'Summary'!$B$10*12,MOD(A96-A85,'Summary'!$B$11)=0),I85,0)+IF(AND(A96&gt;A86,A96&lt;=A86+'Summary'!$B$10*12,MOD(A96-A86,'Summary'!$B$11)=0),I86,0)+IF(AND(A96&gt;A87,A96&lt;=A87+'Summary'!$B$10*12,MOD(A96-A87,'Summary'!$B$11)=0),I87,0)+IF(AND(A96&gt;A88,A96&lt;=A88+'Summary'!$B$10*12,MOD(A96-A88,'Summary'!$B$11)=0),I88,0)+IF(AND(A96&gt;A89,A96&lt;=A89+'Summary'!$B$10*12,MOD(A96-A89,'Summary'!$B$11)=0),I89,0)+IF(AND(A96&gt;A90,A96&lt;=A90+'Summary'!$B$10*12,MOD(A96-A90,'Summary'!$B$11)=0),I90,0)+IF(AND(A96&gt;A91,A96&lt;=A91+'Summary'!$B$10*12,MOD(A96-A91,'Summary'!$B$11)=0),I91,0)+IF(AND(A96&gt;A92,A96&lt;=A92+'Summary'!$B$10*12,MOD(A96-A92,'Summary'!$B$11)=0),I92,0)+IF(AND(A96&gt;A93,A96&lt;=A93+'Summary'!$B$10*12,MOD(A96-A93,'Summary'!$B$11)=0),I93,0)+IF(AND(A96&gt;A94,A96&lt;=A94+'Summary'!$B$10*12,MOD(A96-A94,'Summary'!$B$11)=0),I94,0)+IF(AND(A96&gt;A95,A96&lt;=A95+'Summary'!$B$10*12,MOD(A96-A95,'Summary'!$B$11)=0),I95,0))*'Summary'!$B$8/2</x:f>
        <x:v>29.43490394850331</x:v>
      </x:c>
      <x:c r="G96" s="62" t="n">
        <x:f>IF(A96=A8+'Summary'!$B$10*12,I8,0)+IF(A96=A9+'Summary'!$B$10*12,I9,0)+IF(A96=A10+'Summary'!$B$10*12,I10,0)+IF(A96=A11+'Summary'!$B$10*12,I11,0)+IF(A96=A12+'Summary'!$B$10*12,I12,0)+IF(A96=A13+'Summary'!$B$10*12,I13,0)+IF(A96=A14+'Summary'!$B$10*12,I14,0)+IF(A96=A15+'Summary'!$B$10*12,I15,0)+IF(A96=A16+'Summary'!$B$10*12,I16,0)+IF(A96=A17+'Summary'!$B$10*12,I17,0)+IF(A96=A18+'Summary'!$B$10*12,I18,0)+IF(A96=A19+'Summary'!$B$10*12,I19,0)+IF(A96=A20+'Summary'!$B$10*12,I20,0)+IF(A96=A21+'Summary'!$B$10*12,I21,0)+IF(A96=A22+'Summary'!$B$10*12,I22,0)+IF(A96=A23+'Summary'!$B$10*12,I23,0)+IF(A96=A24+'Summary'!$B$10*12,I24,0)+IF(A96=A25+'Summary'!$B$10*12,I25,0)+IF(A96=A26+'Summary'!$B$10*12,I26,0)+IF(A96=A27+'Summary'!$B$10*12,I27,0)+IF(A96=A28+'Summary'!$B$10*12,I28,0)+IF(A96=A29+'Summary'!$B$10*12,I29,0)+IF(A96=A30+'Summary'!$B$10*12,I30,0)+IF(A96=A31+'Summary'!$B$10*12,I31,0)+IF(A96=A32+'Summary'!$B$10*12,I32,0)+IF(A96=A33+'Summary'!$B$10*12,I33,0)+IF(A96=A34+'Summary'!$B$10*12,I34,0)+IF(A96=A35+'Summary'!$B$10*12,I35,0)+IF(A96=A36+'Summary'!$B$10*12,I36,0)+IF(A96=A37+'Summary'!$B$10*12,I37,0)+IF(A96=A38+'Summary'!$B$10*12,I38,0)+IF(A96=A39+'Summary'!$B$10*12,I39,0)+IF(A96=A40+'Summary'!$B$10*12,I40,0)+IF(A96=A41+'Summary'!$B$10*12,I41,0)+IF(A96=A42+'Summary'!$B$10*12,I42,0)+IF(A96=A43+'Summary'!$B$10*12,I43,0)+IF(A96=A44+'Summary'!$B$10*12,I44,0)+IF(A96=A45+'Summary'!$B$10*12,I45,0)+IF(A96=A46+'Summary'!$B$10*12,I46,0)+IF(A96=A47+'Summary'!$B$10*12,I47,0)+IF(A96=A48+'Summary'!$B$10*12,I48,0)+IF(A96=A49+'Summary'!$B$10*12,I49,0)+IF(A96=A50+'Summary'!$B$10*12,I50,0)+IF(A96=A51+'Summary'!$B$10*12,I51,0)+IF(A96=A52+'Summary'!$B$10*12,I52,0)+IF(A96=A53+'Summary'!$B$10*12,I53,0)+IF(A96=A54+'Summary'!$B$10*12,I54,0)+IF(A96=A55+'Summary'!$B$10*12,I55,0)+IF(A96=A56+'Summary'!$B$10*12,I56,0)+IF(A96=A57+'Summary'!$B$10*12,I57,0)+IF(A96=A58+'Summary'!$B$10*12,I58,0)+IF(A96=A59+'Summary'!$B$10*12,I59,0)+IF(A96=A60+'Summary'!$B$10*12,I60,0)+IF(A96=A61+'Summary'!$B$10*12,I61,0)+IF(A96=A62+'Summary'!$B$10*12,I62,0)+IF(A96=A63+'Summary'!$B$10*12,I63,0)+IF(A96=A64+'Summary'!$B$10*12,I64,0)+IF(A96=A65+'Summary'!$B$10*12,I65,0)+IF(A96=A66+'Summary'!$B$10*12,I66,0)+IF(A96=A67+'Summary'!$B$10*12,I67,0)+IF(A96=A68+'Summary'!$B$10*12,I68,0)+IF(A96=A69+'Summary'!$B$10*12,I69,0)+IF(A96=A70+'Summary'!$B$10*12,I70,0)+IF(A96=A71+'Summary'!$B$10*12,I71,0)+IF(A96=A72+'Summary'!$B$10*12,I72,0)+IF(A96=A73+'Summary'!$B$10*12,I73,0)+IF(A96=A74+'Summary'!$B$10*12,I74,0)+IF(A96=A75+'Summary'!$B$10*12,I75,0)+IF(A96=A76+'Summary'!$B$10*12,I76,0)+IF(A96=A77+'Summary'!$B$10*12,I77,0)+IF(A96=A78+'Summary'!$B$10*12,I78,0)+IF(A96=A79+'Summary'!$B$10*12,I79,0)+IF(A96=A80+'Summary'!$B$10*12,I80,0)+IF(A96=A81+'Summary'!$B$10*12,I81,0)+IF(A96=A82+'Summary'!$B$10*12,I82,0)+IF(A96=A83+'Summary'!$B$10*12,I83,0)+IF(A96=A84+'Summary'!$B$10*12,I84,0)+IF(A96=A85+'Summary'!$B$10*12,I85,0)+IF(A96=A86+'Summary'!$B$10*12,I86,0)+IF(A96=A87+'Summary'!$B$10*12,I87,0)+IF(A96=A88+'Summary'!$B$10*12,I88,0)+IF(A96=A89+'Summary'!$B$10*12,I89,0)+IF(A96=A90+'Summary'!$B$10*12,I90,0)+IF(A96=A91+'Summary'!$B$10*12,I91,0)+IF(A96=A92+'Summary'!$B$10*12,I92,0)+IF(A96=A93+'Summary'!$B$10*12,I93,0)+IF(A96=A94+'Summary'!$B$10*12,I94,0)+IF(A96=A95+'Summary'!$B$10*12,I95,0)</x:f>
        <x:v>107.65016191123216</x:v>
      </x:c>
      <x:c r="H96" s="62" t="n">
        <x:f>E96+D96+F96+G96</x:f>
        <x:v>237.0850658597355</x:v>
      </x:c>
      <x:c r="I96" s="62" t="n">
        <x:f>IF(B96,IF(H96&gt;='Summary'!$B$12,H96,0),0)</x:f>
        <x:v>237.0850658597355</x:v>
      </x:c>
      <x:c r="J96" s="62" t="n">
        <x:f>H96-I96</x:f>
        <x:v>0</x:v>
      </x:c>
      <x:c r="K96" s="63" t="n">
        <x:f>J96+IF(A8+'Summary'!$B$10*12&gt;A96,I8,0)+IF(A9+'Summary'!$B$10*12&gt;A96,I9,0)+IF(A10+'Summary'!$B$10*12&gt;A96,I10,0)+IF(A11+'Summary'!$B$10*12&gt;A96,I11,0)+IF(A12+'Summary'!$B$10*12&gt;A96,I12,0)+IF(A13+'Summary'!$B$10*12&gt;A96,I13,0)+IF(A14+'Summary'!$B$10*12&gt;A96,I14,0)+IF(A15+'Summary'!$B$10*12&gt;A96,I15,0)+IF(A16+'Summary'!$B$10*12&gt;A96,I16,0)+IF(A17+'Summary'!$B$10*12&gt;A96,I17,0)+IF(A18+'Summary'!$B$10*12&gt;A96,I18,0)+IF(A19+'Summary'!$B$10*12&gt;A96,I19,0)+IF(A20+'Summary'!$B$10*12&gt;A96,I20,0)+IF(A21+'Summary'!$B$10*12&gt;A96,I21,0)+IF(A22+'Summary'!$B$10*12&gt;A96,I22,0)+IF(A23+'Summary'!$B$10*12&gt;A96,I23,0)+IF(A24+'Summary'!$B$10*12&gt;A96,I24,0)+IF(A25+'Summary'!$B$10*12&gt;A96,I25,0)+IF(A26+'Summary'!$B$10*12&gt;A96,I26,0)+IF(A27+'Summary'!$B$10*12&gt;A96,I27,0)+IF(A28+'Summary'!$B$10*12&gt;A96,I28,0)+IF(A29+'Summary'!$B$10*12&gt;A96,I29,0)+IF(A30+'Summary'!$B$10*12&gt;A96,I30,0)+IF(A31+'Summary'!$B$10*12&gt;A96,I31,0)+IF(A32+'Summary'!$B$10*12&gt;A96,I32,0)+IF(A33+'Summary'!$B$10*12&gt;A96,I33,0)+IF(A34+'Summary'!$B$10*12&gt;A96,I34,0)+IF(A35+'Summary'!$B$10*12&gt;A96,I35,0)+IF(A36+'Summary'!$B$10*12&gt;A96,I36,0)+IF(A37+'Summary'!$B$10*12&gt;A96,I37,0)+IF(A38+'Summary'!$B$10*12&gt;A96,I38,0)+IF(A39+'Summary'!$B$10*12&gt;A96,I39,0)+IF(A40+'Summary'!$B$10*12&gt;A96,I40,0)+IF(A41+'Summary'!$B$10*12&gt;A96,I41,0)+IF(A42+'Summary'!$B$10*12&gt;A96,I42,0)+IF(A43+'Summary'!$B$10*12&gt;A96,I43,0)+IF(A44+'Summary'!$B$10*12&gt;A96,I44,0)+IF(A45+'Summary'!$B$10*12&gt;A96,I45,0)+IF(A46+'Summary'!$B$10*12&gt;A96,I46,0)+IF(A47+'Summary'!$B$10*12&gt;A96,I47,0)+IF(A48+'Summary'!$B$10*12&gt;A96,I48,0)+IF(A49+'Summary'!$B$10*12&gt;A96,I49,0)+IF(A50+'Summary'!$B$10*12&gt;A96,I50,0)+IF(A51+'Summary'!$B$10*12&gt;A96,I51,0)+IF(A52+'Summary'!$B$10*12&gt;A96,I52,0)+IF(A53+'Summary'!$B$10*12&gt;A96,I53,0)+IF(A54+'Summary'!$B$10*12&gt;A96,I54,0)+IF(A55+'Summary'!$B$10*12&gt;A96,I55,0)+IF(A56+'Summary'!$B$10*12&gt;A96,I56,0)+IF(A57+'Summary'!$B$10*12&gt;A96,I57,0)+IF(A58+'Summary'!$B$10*12&gt;A96,I58,0)+IF(A59+'Summary'!$B$10*12&gt;A96,I59,0)+IF(A60+'Summary'!$B$10*12&gt;A96,I60,0)+IF(A61+'Summary'!$B$10*12&gt;A96,I61,0)+IF(A62+'Summary'!$B$10*12&gt;A96,I62,0)+IF(A63+'Summary'!$B$10*12&gt;A96,I63,0)+IF(A64+'Summary'!$B$10*12&gt;A96,I64,0)+IF(A65+'Summary'!$B$10*12&gt;A96,I65,0)+IF(A66+'Summary'!$B$10*12&gt;A96,I66,0)+IF(A67+'Summary'!$B$10*12&gt;A96,I67,0)+IF(A68+'Summary'!$B$10*12&gt;A96,I68,0)+IF(A69+'Summary'!$B$10*12&gt;A96,I69,0)+IF(A70+'Summary'!$B$10*12&gt;A96,I70,0)+IF(A71+'Summary'!$B$10*12&gt;A96,I71,0)+IF(A72+'Summary'!$B$10*12&gt;A96,I72,0)+IF(A73+'Summary'!$B$10*12&gt;A96,I73,0)+IF(A74+'Summary'!$B$10*12&gt;A96,I74,0)+IF(A75+'Summary'!$B$10*12&gt;A96,I75,0)+IF(A76+'Summary'!$B$10*12&gt;A96,I76,0)+IF(A77+'Summary'!$B$10*12&gt;A96,I77,0)+IF(A78+'Summary'!$B$10*12&gt;A96,I78,0)+IF(A79+'Summary'!$B$10*12&gt;A96,I79,0)+IF(A80+'Summary'!$B$10*12&gt;A96,I80,0)+IF(A81+'Summary'!$B$10*12&gt;A96,I81,0)+IF(A82+'Summary'!$B$10*12&gt;A96,I82,0)+IF(A83+'Summary'!$B$10*12&gt;A96,I83,0)+IF(A84+'Summary'!$B$10*12&gt;A96,I84,0)+IF(A85+'Summary'!$B$10*12&gt;A96,I85,0)+IF(A86+'Summary'!$B$10*12&gt;A96,I86,0)+IF(A87+'Summary'!$B$10*12&gt;A96,I87,0)+IF(A88+'Summary'!$B$10*12&gt;A96,I88,0)+IF(A89+'Summary'!$B$10*12&gt;A96,I89,0)+IF(A90+'Summary'!$B$10*12&gt;A96,I90,0)+IF(A91+'Summary'!$B$10*12&gt;A96,I91,0)+IF(A92+'Summary'!$B$10*12&gt;A96,I92,0)+IF(A93+'Summary'!$B$10*12&gt;A96,I93,0)+IF(A94+'Summary'!$B$10*12&gt;A96,I94,0)+IF(A95+'Summary'!$B$10*12&gt;A96,I95,0)+IF(A96+'Summary'!$B$10*12&gt;A96,I96,0)</x:f>
        <x:v>23085.795220561646</x:v>
      </x:c>
    </x:row>
    <x:row r="97">
      <x:c r="A97" s="55" t="n">
        <x:v>89</x:v>
      </x:c>
      <x:c r="B97" s="71" t="b">
        <x:f>A97&lt;='Summary'!$B$9*12</x:f>
        <x:v>1</x:v>
      </x:c>
      <x:c r="C97" s="62" t="n">
        <x:f>IF(A97=0,IF('Summary'!$B$6&gt;=5,'Summary'!$B$6,0),C96)+IF(A97&lt;'Summary'!$B$9*12,IF('Summary'!$B$7&gt;=5,'Summary'!$B$7,0),0)</x:f>
        <x:v>19000</x:v>
      </x:c>
      <x:c r="D97" s="62" t="n">
        <x:f>IF(A97=0,IF('Summary'!$B$6&gt;=5,'Summary'!$B$6,0),0)+IF(A97&lt;'Summary'!$B$9*12,IF('Summary'!$B$7&gt;=5,'Summary'!$B$7,0),0)</x:f>
        <x:v>100</x:v>
      </x:c>
      <x:c r="E97" s="62" t="n">
        <x:f>J96</x:f>
        <x:v>0</x:v>
      </x:c>
      <x:c r="F97" s="62" t="n">
        <x:f>(IF(AND(A97&gt;A8,A97&lt;=A8+'Summary'!$B$10*12,MOD(A97-A8,'Summary'!$B$11)=0),I8,0)+IF(AND(A97&gt;A9,A97&lt;=A9+'Summary'!$B$10*12,MOD(A97-A9,'Summary'!$B$11)=0),I9,0)+IF(AND(A97&gt;A10,A97&lt;=A10+'Summary'!$B$10*12,MOD(A97-A10,'Summary'!$B$11)=0),I10,0)+IF(AND(A97&gt;A11,A97&lt;=A11+'Summary'!$B$10*12,MOD(A97-A11,'Summary'!$B$11)=0),I11,0)+IF(AND(A97&gt;A12,A97&lt;=A12+'Summary'!$B$10*12,MOD(A97-A12,'Summary'!$B$11)=0),I12,0)+IF(AND(A97&gt;A13,A97&lt;=A13+'Summary'!$B$10*12,MOD(A97-A13,'Summary'!$B$11)=0),I13,0)+IF(AND(A97&gt;A14,A97&lt;=A14+'Summary'!$B$10*12,MOD(A97-A14,'Summary'!$B$11)=0),I14,0)+IF(AND(A97&gt;A15,A97&lt;=A15+'Summary'!$B$10*12,MOD(A97-A15,'Summary'!$B$11)=0),I15,0)+IF(AND(A97&gt;A16,A97&lt;=A16+'Summary'!$B$10*12,MOD(A97-A16,'Summary'!$B$11)=0),I16,0)+IF(AND(A97&gt;A17,A97&lt;=A17+'Summary'!$B$10*12,MOD(A97-A17,'Summary'!$B$11)=0),I17,0)+IF(AND(A97&gt;A18,A97&lt;=A18+'Summary'!$B$10*12,MOD(A97-A18,'Summary'!$B$11)=0),I18,0)+IF(AND(A97&gt;A19,A97&lt;=A19+'Summary'!$B$10*12,MOD(A97-A19,'Summary'!$B$11)=0),I19,0)+IF(AND(A97&gt;A20,A97&lt;=A20+'Summary'!$B$10*12,MOD(A97-A20,'Summary'!$B$11)=0),I20,0)+IF(AND(A97&gt;A21,A97&lt;=A21+'Summary'!$B$10*12,MOD(A97-A21,'Summary'!$B$11)=0),I21,0)+IF(AND(A97&gt;A22,A97&lt;=A22+'Summary'!$B$10*12,MOD(A97-A22,'Summary'!$B$11)=0),I22,0)+IF(AND(A97&gt;A23,A97&lt;=A23+'Summary'!$B$10*12,MOD(A97-A23,'Summary'!$B$11)=0),I23,0)+IF(AND(A97&gt;A24,A97&lt;=A24+'Summary'!$B$10*12,MOD(A97-A24,'Summary'!$B$11)=0),I24,0)+IF(AND(A97&gt;A25,A97&lt;=A25+'Summary'!$B$10*12,MOD(A97-A25,'Summary'!$B$11)=0),I25,0)+IF(AND(A97&gt;A26,A97&lt;=A26+'Summary'!$B$10*12,MOD(A97-A26,'Summary'!$B$11)=0),I26,0)+IF(AND(A97&gt;A27,A97&lt;=A27+'Summary'!$B$10*12,MOD(A97-A27,'Summary'!$B$11)=0),I27,0)+IF(AND(A97&gt;A28,A97&lt;=A28+'Summary'!$B$10*12,MOD(A97-A28,'Summary'!$B$11)=0),I28,0)+IF(AND(A97&gt;A29,A97&lt;=A29+'Summary'!$B$10*12,MOD(A97-A29,'Summary'!$B$11)=0),I29,0)+IF(AND(A97&gt;A30,A97&lt;=A30+'Summary'!$B$10*12,MOD(A97-A30,'Summary'!$B$11)=0),I30,0)+IF(AND(A97&gt;A31,A97&lt;=A31+'Summary'!$B$10*12,MOD(A97-A31,'Summary'!$B$11)=0),I31,0)+IF(AND(A97&gt;A32,A97&lt;=A32+'Summary'!$B$10*12,MOD(A97-A32,'Summary'!$B$11)=0),I32,0)+IF(AND(A97&gt;A33,A97&lt;=A33+'Summary'!$B$10*12,MOD(A97-A33,'Summary'!$B$11)=0),I33,0)+IF(AND(A97&gt;A34,A97&lt;=A34+'Summary'!$B$10*12,MOD(A97-A34,'Summary'!$B$11)=0),I34,0)+IF(AND(A97&gt;A35,A97&lt;=A35+'Summary'!$B$10*12,MOD(A97-A35,'Summary'!$B$11)=0),I35,0)+IF(AND(A97&gt;A36,A97&lt;=A36+'Summary'!$B$10*12,MOD(A97-A36,'Summary'!$B$11)=0),I36,0)+IF(AND(A97&gt;A37,A97&lt;=A37+'Summary'!$B$10*12,MOD(A97-A37,'Summary'!$B$11)=0),I37,0)+IF(AND(A97&gt;A38,A97&lt;=A38+'Summary'!$B$10*12,MOD(A97-A38,'Summary'!$B$11)=0),I38,0)+IF(AND(A97&gt;A39,A97&lt;=A39+'Summary'!$B$10*12,MOD(A97-A39,'Summary'!$B$11)=0),I39,0)+IF(AND(A97&gt;A40,A97&lt;=A40+'Summary'!$B$10*12,MOD(A97-A40,'Summary'!$B$11)=0),I40,0)+IF(AND(A97&gt;A41,A97&lt;=A41+'Summary'!$B$10*12,MOD(A97-A41,'Summary'!$B$11)=0),I41,0)+IF(AND(A97&gt;A42,A97&lt;=A42+'Summary'!$B$10*12,MOD(A97-A42,'Summary'!$B$11)=0),I42,0)+IF(AND(A97&gt;A43,A97&lt;=A43+'Summary'!$B$10*12,MOD(A97-A43,'Summary'!$B$11)=0),I43,0)+IF(AND(A97&gt;A44,A97&lt;=A44+'Summary'!$B$10*12,MOD(A97-A44,'Summary'!$B$11)=0),I44,0)+IF(AND(A97&gt;A45,A97&lt;=A45+'Summary'!$B$10*12,MOD(A97-A45,'Summary'!$B$11)=0),I45,0)+IF(AND(A97&gt;A46,A97&lt;=A46+'Summary'!$B$10*12,MOD(A97-A46,'Summary'!$B$11)=0),I46,0)+IF(AND(A97&gt;A47,A97&lt;=A47+'Summary'!$B$10*12,MOD(A97-A47,'Summary'!$B$11)=0),I47,0)+IF(AND(A97&gt;A48,A97&lt;=A48+'Summary'!$B$10*12,MOD(A97-A48,'Summary'!$B$11)=0),I48,0)+IF(AND(A97&gt;A49,A97&lt;=A49+'Summary'!$B$10*12,MOD(A97-A49,'Summary'!$B$11)=0),I49,0)+IF(AND(A97&gt;A50,A97&lt;=A50+'Summary'!$B$10*12,MOD(A97-A50,'Summary'!$B$11)=0),I50,0)+IF(AND(A97&gt;A51,A97&lt;=A51+'Summary'!$B$10*12,MOD(A97-A51,'Summary'!$B$11)=0),I51,0)+IF(AND(A97&gt;A52,A97&lt;=A52+'Summary'!$B$10*12,MOD(A97-A52,'Summary'!$B$11)=0),I52,0)+IF(AND(A97&gt;A53,A97&lt;=A53+'Summary'!$B$10*12,MOD(A97-A53,'Summary'!$B$11)=0),I53,0)+IF(AND(A97&gt;A54,A97&lt;=A54+'Summary'!$B$10*12,MOD(A97-A54,'Summary'!$B$11)=0),I54,0)+IF(AND(A97&gt;A55,A97&lt;=A55+'Summary'!$B$10*12,MOD(A97-A55,'Summary'!$B$11)=0),I55,0)+IF(AND(A97&gt;A56,A97&lt;=A56+'Summary'!$B$10*12,MOD(A97-A56,'Summary'!$B$11)=0),I56,0)+IF(AND(A97&gt;A57,A97&lt;=A57+'Summary'!$B$10*12,MOD(A97-A57,'Summary'!$B$11)=0),I57,0)+IF(AND(A97&gt;A58,A97&lt;=A58+'Summary'!$B$10*12,MOD(A97-A58,'Summary'!$B$11)=0),I58,0)+IF(AND(A97&gt;A59,A97&lt;=A59+'Summary'!$B$10*12,MOD(A97-A59,'Summary'!$B$11)=0),I59,0)+IF(AND(A97&gt;A60,A97&lt;=A60+'Summary'!$B$10*12,MOD(A97-A60,'Summary'!$B$11)=0),I60,0)+IF(AND(A97&gt;A61,A97&lt;=A61+'Summary'!$B$10*12,MOD(A97-A61,'Summary'!$B$11)=0),I61,0)+IF(AND(A97&gt;A62,A97&lt;=A62+'Summary'!$B$10*12,MOD(A97-A62,'Summary'!$B$11)=0),I62,0)+IF(AND(A97&gt;A63,A97&lt;=A63+'Summary'!$B$10*12,MOD(A97-A63,'Summary'!$B$11)=0),I63,0)+IF(AND(A97&gt;A64,A97&lt;=A64+'Summary'!$B$10*12,MOD(A97-A64,'Summary'!$B$11)=0),I64,0)+IF(AND(A97&gt;A65,A97&lt;=A65+'Summary'!$B$10*12,MOD(A97-A65,'Summary'!$B$11)=0),I65,0)+IF(AND(A97&gt;A66,A97&lt;=A66+'Summary'!$B$10*12,MOD(A97-A66,'Summary'!$B$11)=0),I66,0)+IF(AND(A97&gt;A67,A97&lt;=A67+'Summary'!$B$10*12,MOD(A97-A67,'Summary'!$B$11)=0),I67,0)+IF(AND(A97&gt;A68,A97&lt;=A68+'Summary'!$B$10*12,MOD(A97-A68,'Summary'!$B$11)=0),I68,0)+IF(AND(A97&gt;A69,A97&lt;=A69+'Summary'!$B$10*12,MOD(A97-A69,'Summary'!$B$11)=0),I69,0)+IF(AND(A97&gt;A70,A97&lt;=A70+'Summary'!$B$10*12,MOD(A97-A70,'Summary'!$B$11)=0),I70,0)+IF(AND(A97&gt;A71,A97&lt;=A71+'Summary'!$B$10*12,MOD(A97-A71,'Summary'!$B$11)=0),I71,0)+IF(AND(A97&gt;A72,A97&lt;=A72+'Summary'!$B$10*12,MOD(A97-A72,'Summary'!$B$11)=0),I72,0)+IF(AND(A97&gt;A73,A97&lt;=A73+'Summary'!$B$10*12,MOD(A97-A73,'Summary'!$B$11)=0),I73,0)+IF(AND(A97&gt;A74,A97&lt;=A74+'Summary'!$B$10*12,MOD(A97-A74,'Summary'!$B$11)=0),I74,0)+IF(AND(A97&gt;A75,A97&lt;=A75+'Summary'!$B$10*12,MOD(A97-A75,'Summary'!$B$11)=0),I75,0)+IF(AND(A97&gt;A76,A97&lt;=A76+'Summary'!$B$10*12,MOD(A97-A76,'Summary'!$B$11)=0),I76,0)+IF(AND(A97&gt;A77,A97&lt;=A77+'Summary'!$B$10*12,MOD(A97-A77,'Summary'!$B$11)=0),I77,0)+IF(AND(A97&gt;A78,A97&lt;=A78+'Summary'!$B$10*12,MOD(A97-A78,'Summary'!$B$11)=0),I78,0)+IF(AND(A97&gt;A79,A97&lt;=A79+'Summary'!$B$10*12,MOD(A97-A79,'Summary'!$B$11)=0),I79,0)+IF(AND(A97&gt;A80,A97&lt;=A80+'Summary'!$B$10*12,MOD(A97-A80,'Summary'!$B$11)=0),I80,0)+IF(AND(A97&gt;A81,A97&lt;=A81+'Summary'!$B$10*12,MOD(A97-A81,'Summary'!$B$11)=0),I81,0)+IF(AND(A97&gt;A82,A97&lt;=A82+'Summary'!$B$10*12,MOD(A97-A82,'Summary'!$B$11)=0),I82,0)+IF(AND(A97&gt;A83,A97&lt;=A83+'Summary'!$B$10*12,MOD(A97-A83,'Summary'!$B$11)=0),I83,0)+IF(AND(A97&gt;A84,A97&lt;=A84+'Summary'!$B$10*12,MOD(A97-A84,'Summary'!$B$11)=0),I84,0)+IF(AND(A97&gt;A85,A97&lt;=A85+'Summary'!$B$10*12,MOD(A97-A85,'Summary'!$B$11)=0),I85,0)+IF(AND(A97&gt;A86,A97&lt;=A86+'Summary'!$B$10*12,MOD(A97-A86,'Summary'!$B$11)=0),I86,0)+IF(AND(A97&gt;A87,A97&lt;=A87+'Summary'!$B$10*12,MOD(A97-A87,'Summary'!$B$11)=0),I87,0)+IF(AND(A97&gt;A88,A97&lt;=A88+'Summary'!$B$10*12,MOD(A97-A88,'Summary'!$B$11)=0),I88,0)+IF(AND(A97&gt;A89,A97&lt;=A89+'Summary'!$B$10*12,MOD(A97-A89,'Summary'!$B$11)=0),I89,0)+IF(AND(A97&gt;A90,A97&lt;=A90+'Summary'!$B$10*12,MOD(A97-A90,'Summary'!$B$11)=0),I90,0)+IF(AND(A97&gt;A91,A97&lt;=A91+'Summary'!$B$10*12,MOD(A97-A91,'Summary'!$B$11)=0),I91,0)+IF(AND(A97&gt;A92,A97&lt;=A92+'Summary'!$B$10*12,MOD(A97-A92,'Summary'!$B$11)=0),I92,0)+IF(AND(A97&gt;A93,A97&lt;=A93+'Summary'!$B$10*12,MOD(A97-A93,'Summary'!$B$11)=0),I93,0)+IF(AND(A97&gt;A94,A97&lt;=A94+'Summary'!$B$10*12,MOD(A97-A94,'Summary'!$B$11)=0),I94,0)+IF(AND(A97&gt;A95,A97&lt;=A95+'Summary'!$B$10*12,MOD(A97-A95,'Summary'!$B$11)=0),I95,0)+IF(AND(A97&gt;A96,A97&lt;=A96+'Summary'!$B$10*12,MOD(A97-A96,'Summary'!$B$11)=0),I96,0))*'Summary'!$B$8/2</x:f>
        <x:v>29.43490394850331</x:v>
      </x:c>
      <x:c r="G97" s="62" t="n">
        <x:f>IF(A97=A8+'Summary'!$B$10*12,I8,0)+IF(A97=A9+'Summary'!$B$10*12,I9,0)+IF(A97=A10+'Summary'!$B$10*12,I10,0)+IF(A97=A11+'Summary'!$B$10*12,I11,0)+IF(A97=A12+'Summary'!$B$10*12,I12,0)+IF(A97=A13+'Summary'!$B$10*12,I13,0)+IF(A97=A14+'Summary'!$B$10*12,I14,0)+IF(A97=A15+'Summary'!$B$10*12,I15,0)+IF(A97=A16+'Summary'!$B$10*12,I16,0)+IF(A97=A17+'Summary'!$B$10*12,I17,0)+IF(A97=A18+'Summary'!$B$10*12,I18,0)+IF(A97=A19+'Summary'!$B$10*12,I19,0)+IF(A97=A20+'Summary'!$B$10*12,I20,0)+IF(A97=A21+'Summary'!$B$10*12,I21,0)+IF(A97=A22+'Summary'!$B$10*12,I22,0)+IF(A97=A23+'Summary'!$B$10*12,I23,0)+IF(A97=A24+'Summary'!$B$10*12,I24,0)+IF(A97=A25+'Summary'!$B$10*12,I25,0)+IF(A97=A26+'Summary'!$B$10*12,I26,0)+IF(A97=A27+'Summary'!$B$10*12,I27,0)+IF(A97=A28+'Summary'!$B$10*12,I28,0)+IF(A97=A29+'Summary'!$B$10*12,I29,0)+IF(A97=A30+'Summary'!$B$10*12,I30,0)+IF(A97=A31+'Summary'!$B$10*12,I31,0)+IF(A97=A32+'Summary'!$B$10*12,I32,0)+IF(A97=A33+'Summary'!$B$10*12,I33,0)+IF(A97=A34+'Summary'!$B$10*12,I34,0)+IF(A97=A35+'Summary'!$B$10*12,I35,0)+IF(A97=A36+'Summary'!$B$10*12,I36,0)+IF(A97=A37+'Summary'!$B$10*12,I37,0)+IF(A97=A38+'Summary'!$B$10*12,I38,0)+IF(A97=A39+'Summary'!$B$10*12,I39,0)+IF(A97=A40+'Summary'!$B$10*12,I40,0)+IF(A97=A41+'Summary'!$B$10*12,I41,0)+IF(A97=A42+'Summary'!$B$10*12,I42,0)+IF(A97=A43+'Summary'!$B$10*12,I43,0)+IF(A97=A44+'Summary'!$B$10*12,I44,0)+IF(A97=A45+'Summary'!$B$10*12,I45,0)+IF(A97=A46+'Summary'!$B$10*12,I46,0)+IF(A97=A47+'Summary'!$B$10*12,I47,0)+IF(A97=A48+'Summary'!$B$10*12,I48,0)+IF(A97=A49+'Summary'!$B$10*12,I49,0)+IF(A97=A50+'Summary'!$B$10*12,I50,0)+IF(A97=A51+'Summary'!$B$10*12,I51,0)+IF(A97=A52+'Summary'!$B$10*12,I52,0)+IF(A97=A53+'Summary'!$B$10*12,I53,0)+IF(A97=A54+'Summary'!$B$10*12,I54,0)+IF(A97=A55+'Summary'!$B$10*12,I55,0)+IF(A97=A56+'Summary'!$B$10*12,I56,0)+IF(A97=A57+'Summary'!$B$10*12,I57,0)+IF(A97=A58+'Summary'!$B$10*12,I58,0)+IF(A97=A59+'Summary'!$B$10*12,I59,0)+IF(A97=A60+'Summary'!$B$10*12,I60,0)+IF(A97=A61+'Summary'!$B$10*12,I61,0)+IF(A97=A62+'Summary'!$B$10*12,I62,0)+IF(A97=A63+'Summary'!$B$10*12,I63,0)+IF(A97=A64+'Summary'!$B$10*12,I64,0)+IF(A97=A65+'Summary'!$B$10*12,I65,0)+IF(A97=A66+'Summary'!$B$10*12,I66,0)+IF(A97=A67+'Summary'!$B$10*12,I67,0)+IF(A97=A68+'Summary'!$B$10*12,I68,0)+IF(A97=A69+'Summary'!$B$10*12,I69,0)+IF(A97=A70+'Summary'!$B$10*12,I70,0)+IF(A97=A71+'Summary'!$B$10*12,I71,0)+IF(A97=A72+'Summary'!$B$10*12,I72,0)+IF(A97=A73+'Summary'!$B$10*12,I73,0)+IF(A97=A74+'Summary'!$B$10*12,I74,0)+IF(A97=A75+'Summary'!$B$10*12,I75,0)+IF(A97=A76+'Summary'!$B$10*12,I76,0)+IF(A97=A77+'Summary'!$B$10*12,I77,0)+IF(A97=A78+'Summary'!$B$10*12,I78,0)+IF(A97=A79+'Summary'!$B$10*12,I79,0)+IF(A97=A80+'Summary'!$B$10*12,I80,0)+IF(A97=A81+'Summary'!$B$10*12,I81,0)+IF(A97=A82+'Summary'!$B$10*12,I82,0)+IF(A97=A83+'Summary'!$B$10*12,I83,0)+IF(A97=A84+'Summary'!$B$10*12,I84,0)+IF(A97=A85+'Summary'!$B$10*12,I85,0)+IF(A97=A86+'Summary'!$B$10*12,I86,0)+IF(A97=A87+'Summary'!$B$10*12,I87,0)+IF(A97=A88+'Summary'!$B$10*12,I88,0)+IF(A97=A89+'Summary'!$B$10*12,I89,0)+IF(A97=A90+'Summary'!$B$10*12,I90,0)+IF(A97=A91+'Summary'!$B$10*12,I91,0)+IF(A97=A92+'Summary'!$B$10*12,I92,0)+IF(A97=A93+'Summary'!$B$10*12,I93,0)+IF(A97=A94+'Summary'!$B$10*12,I94,0)+IF(A97=A95+'Summary'!$B$10*12,I95,0)+IF(A97=A96+'Summary'!$B$10*12,I96,0)</x:f>
        <x:v>107.65016191123216</x:v>
      </x:c>
      <x:c r="H97" s="62" t="n">
        <x:f>E97+D97+F97+G97</x:f>
        <x:v>237.0850658597355</x:v>
      </x:c>
      <x:c r="I97" s="62" t="n">
        <x:f>IF(B97,IF(H97&gt;='Summary'!$B$12,H97,0),0)</x:f>
        <x:v>237.0850658597355</x:v>
      </x:c>
      <x:c r="J97" s="62" t="n">
        <x:f>H97-I97</x:f>
        <x:v>0</x:v>
      </x:c>
      <x:c r="K97" s="63" t="n">
        <x:f>J97+IF(A8+'Summary'!$B$10*12&gt;A97,I8,0)+IF(A9+'Summary'!$B$10*12&gt;A97,I9,0)+IF(A10+'Summary'!$B$10*12&gt;A97,I10,0)+IF(A11+'Summary'!$B$10*12&gt;A97,I11,0)+IF(A12+'Summary'!$B$10*12&gt;A97,I12,0)+IF(A13+'Summary'!$B$10*12&gt;A97,I13,0)+IF(A14+'Summary'!$B$10*12&gt;A97,I14,0)+IF(A15+'Summary'!$B$10*12&gt;A97,I15,0)+IF(A16+'Summary'!$B$10*12&gt;A97,I16,0)+IF(A17+'Summary'!$B$10*12&gt;A97,I17,0)+IF(A18+'Summary'!$B$10*12&gt;A97,I18,0)+IF(A19+'Summary'!$B$10*12&gt;A97,I19,0)+IF(A20+'Summary'!$B$10*12&gt;A97,I20,0)+IF(A21+'Summary'!$B$10*12&gt;A97,I21,0)+IF(A22+'Summary'!$B$10*12&gt;A97,I22,0)+IF(A23+'Summary'!$B$10*12&gt;A97,I23,0)+IF(A24+'Summary'!$B$10*12&gt;A97,I24,0)+IF(A25+'Summary'!$B$10*12&gt;A97,I25,0)+IF(A26+'Summary'!$B$10*12&gt;A97,I26,0)+IF(A27+'Summary'!$B$10*12&gt;A97,I27,0)+IF(A28+'Summary'!$B$10*12&gt;A97,I28,0)+IF(A29+'Summary'!$B$10*12&gt;A97,I29,0)+IF(A30+'Summary'!$B$10*12&gt;A97,I30,0)+IF(A31+'Summary'!$B$10*12&gt;A97,I31,0)+IF(A32+'Summary'!$B$10*12&gt;A97,I32,0)+IF(A33+'Summary'!$B$10*12&gt;A97,I33,0)+IF(A34+'Summary'!$B$10*12&gt;A97,I34,0)+IF(A35+'Summary'!$B$10*12&gt;A97,I35,0)+IF(A36+'Summary'!$B$10*12&gt;A97,I36,0)+IF(A37+'Summary'!$B$10*12&gt;A97,I37,0)+IF(A38+'Summary'!$B$10*12&gt;A97,I38,0)+IF(A39+'Summary'!$B$10*12&gt;A97,I39,0)+IF(A40+'Summary'!$B$10*12&gt;A97,I40,0)+IF(A41+'Summary'!$B$10*12&gt;A97,I41,0)+IF(A42+'Summary'!$B$10*12&gt;A97,I42,0)+IF(A43+'Summary'!$B$10*12&gt;A97,I43,0)+IF(A44+'Summary'!$B$10*12&gt;A97,I44,0)+IF(A45+'Summary'!$B$10*12&gt;A97,I45,0)+IF(A46+'Summary'!$B$10*12&gt;A97,I46,0)+IF(A47+'Summary'!$B$10*12&gt;A97,I47,0)+IF(A48+'Summary'!$B$10*12&gt;A97,I48,0)+IF(A49+'Summary'!$B$10*12&gt;A97,I49,0)+IF(A50+'Summary'!$B$10*12&gt;A97,I50,0)+IF(A51+'Summary'!$B$10*12&gt;A97,I51,0)+IF(A52+'Summary'!$B$10*12&gt;A97,I52,0)+IF(A53+'Summary'!$B$10*12&gt;A97,I53,0)+IF(A54+'Summary'!$B$10*12&gt;A97,I54,0)+IF(A55+'Summary'!$B$10*12&gt;A97,I55,0)+IF(A56+'Summary'!$B$10*12&gt;A97,I56,0)+IF(A57+'Summary'!$B$10*12&gt;A97,I57,0)+IF(A58+'Summary'!$B$10*12&gt;A97,I58,0)+IF(A59+'Summary'!$B$10*12&gt;A97,I59,0)+IF(A60+'Summary'!$B$10*12&gt;A97,I60,0)+IF(A61+'Summary'!$B$10*12&gt;A97,I61,0)+IF(A62+'Summary'!$B$10*12&gt;A97,I62,0)+IF(A63+'Summary'!$B$10*12&gt;A97,I63,0)+IF(A64+'Summary'!$B$10*12&gt;A97,I64,0)+IF(A65+'Summary'!$B$10*12&gt;A97,I65,0)+IF(A66+'Summary'!$B$10*12&gt;A97,I66,0)+IF(A67+'Summary'!$B$10*12&gt;A97,I67,0)+IF(A68+'Summary'!$B$10*12&gt;A97,I68,0)+IF(A69+'Summary'!$B$10*12&gt;A97,I69,0)+IF(A70+'Summary'!$B$10*12&gt;A97,I70,0)+IF(A71+'Summary'!$B$10*12&gt;A97,I71,0)+IF(A72+'Summary'!$B$10*12&gt;A97,I72,0)+IF(A73+'Summary'!$B$10*12&gt;A97,I73,0)+IF(A74+'Summary'!$B$10*12&gt;A97,I74,0)+IF(A75+'Summary'!$B$10*12&gt;A97,I75,0)+IF(A76+'Summary'!$B$10*12&gt;A97,I76,0)+IF(A77+'Summary'!$B$10*12&gt;A97,I77,0)+IF(A78+'Summary'!$B$10*12&gt;A97,I78,0)+IF(A79+'Summary'!$B$10*12&gt;A97,I79,0)+IF(A80+'Summary'!$B$10*12&gt;A97,I80,0)+IF(A81+'Summary'!$B$10*12&gt;A97,I81,0)+IF(A82+'Summary'!$B$10*12&gt;A97,I82,0)+IF(A83+'Summary'!$B$10*12&gt;A97,I83,0)+IF(A84+'Summary'!$B$10*12&gt;A97,I84,0)+IF(A85+'Summary'!$B$10*12&gt;A97,I85,0)+IF(A86+'Summary'!$B$10*12&gt;A97,I86,0)+IF(A87+'Summary'!$B$10*12&gt;A97,I87,0)+IF(A88+'Summary'!$B$10*12&gt;A97,I88,0)+IF(A89+'Summary'!$B$10*12&gt;A97,I89,0)+IF(A90+'Summary'!$B$10*12&gt;A97,I90,0)+IF(A91+'Summary'!$B$10*12&gt;A97,I91,0)+IF(A92+'Summary'!$B$10*12&gt;A97,I92,0)+IF(A93+'Summary'!$B$10*12&gt;A97,I93,0)+IF(A94+'Summary'!$B$10*12&gt;A97,I94,0)+IF(A95+'Summary'!$B$10*12&gt;A97,I95,0)+IF(A96+'Summary'!$B$10*12&gt;A97,I96,0)+IF(A97+'Summary'!$B$10*12&gt;A97,I97,0)</x:f>
        <x:v>23215.230124510148</x:v>
      </x:c>
    </x:row>
    <x:row r="98">
      <x:c r="A98" s="55" t="n">
        <x:v>90</x:v>
      </x:c>
      <x:c r="B98" s="71" t="b">
        <x:f>A98&lt;='Summary'!$B$9*12</x:f>
        <x:v>1</x:v>
      </x:c>
      <x:c r="C98" s="62" t="n">
        <x:f>IF(A98=0,IF('Summary'!$B$6&gt;=5,'Summary'!$B$6,0),C97)+IF(A98&lt;'Summary'!$B$9*12,IF('Summary'!$B$7&gt;=5,'Summary'!$B$7,0),0)</x:f>
        <x:v>19100</x:v>
      </x:c>
      <x:c r="D98" s="62" t="n">
        <x:f>IF(A98=0,IF('Summary'!$B$6&gt;=5,'Summary'!$B$6,0),0)+IF(A98&lt;'Summary'!$B$9*12,IF('Summary'!$B$7&gt;=5,'Summary'!$B$7,0),0)</x:f>
        <x:v>100</x:v>
      </x:c>
      <x:c r="E98" s="62" t="n">
        <x:f>J97</x:f>
        <x:v>0</x:v>
      </x:c>
      <x:c r="F98" s="62" t="n">
        <x:f>(IF(AND(A98&gt;A8,A98&lt;=A8+'Summary'!$B$10*12,MOD(A98-A8,'Summary'!$B$11)=0),I8,0)+IF(AND(A98&gt;A9,A98&lt;=A9+'Summary'!$B$10*12,MOD(A98-A9,'Summary'!$B$11)=0),I9,0)+IF(AND(A98&gt;A10,A98&lt;=A10+'Summary'!$B$10*12,MOD(A98-A10,'Summary'!$B$11)=0),I10,0)+IF(AND(A98&gt;A11,A98&lt;=A11+'Summary'!$B$10*12,MOD(A98-A11,'Summary'!$B$11)=0),I11,0)+IF(AND(A98&gt;A12,A98&lt;=A12+'Summary'!$B$10*12,MOD(A98-A12,'Summary'!$B$11)=0),I12,0)+IF(AND(A98&gt;A13,A98&lt;=A13+'Summary'!$B$10*12,MOD(A98-A13,'Summary'!$B$11)=0),I13,0)+IF(AND(A98&gt;A14,A98&lt;=A14+'Summary'!$B$10*12,MOD(A98-A14,'Summary'!$B$11)=0),I14,0)+IF(AND(A98&gt;A15,A98&lt;=A15+'Summary'!$B$10*12,MOD(A98-A15,'Summary'!$B$11)=0),I15,0)+IF(AND(A98&gt;A16,A98&lt;=A16+'Summary'!$B$10*12,MOD(A98-A16,'Summary'!$B$11)=0),I16,0)+IF(AND(A98&gt;A17,A98&lt;=A17+'Summary'!$B$10*12,MOD(A98-A17,'Summary'!$B$11)=0),I17,0)+IF(AND(A98&gt;A18,A98&lt;=A18+'Summary'!$B$10*12,MOD(A98-A18,'Summary'!$B$11)=0),I18,0)+IF(AND(A98&gt;A19,A98&lt;=A19+'Summary'!$B$10*12,MOD(A98-A19,'Summary'!$B$11)=0),I19,0)+IF(AND(A98&gt;A20,A98&lt;=A20+'Summary'!$B$10*12,MOD(A98-A20,'Summary'!$B$11)=0),I20,0)+IF(AND(A98&gt;A21,A98&lt;=A21+'Summary'!$B$10*12,MOD(A98-A21,'Summary'!$B$11)=0),I21,0)+IF(AND(A98&gt;A22,A98&lt;=A22+'Summary'!$B$10*12,MOD(A98-A22,'Summary'!$B$11)=0),I22,0)+IF(AND(A98&gt;A23,A98&lt;=A23+'Summary'!$B$10*12,MOD(A98-A23,'Summary'!$B$11)=0),I23,0)+IF(AND(A98&gt;A24,A98&lt;=A24+'Summary'!$B$10*12,MOD(A98-A24,'Summary'!$B$11)=0),I24,0)+IF(AND(A98&gt;A25,A98&lt;=A25+'Summary'!$B$10*12,MOD(A98-A25,'Summary'!$B$11)=0),I25,0)+IF(AND(A98&gt;A26,A98&lt;=A26+'Summary'!$B$10*12,MOD(A98-A26,'Summary'!$B$11)=0),I26,0)+IF(AND(A98&gt;A27,A98&lt;=A27+'Summary'!$B$10*12,MOD(A98-A27,'Summary'!$B$11)=0),I27,0)+IF(AND(A98&gt;A28,A98&lt;=A28+'Summary'!$B$10*12,MOD(A98-A28,'Summary'!$B$11)=0),I28,0)+IF(AND(A98&gt;A29,A98&lt;=A29+'Summary'!$B$10*12,MOD(A98-A29,'Summary'!$B$11)=0),I29,0)+IF(AND(A98&gt;A30,A98&lt;=A30+'Summary'!$B$10*12,MOD(A98-A30,'Summary'!$B$11)=0),I30,0)+IF(AND(A98&gt;A31,A98&lt;=A31+'Summary'!$B$10*12,MOD(A98-A31,'Summary'!$B$11)=0),I31,0)+IF(AND(A98&gt;A32,A98&lt;=A32+'Summary'!$B$10*12,MOD(A98-A32,'Summary'!$B$11)=0),I32,0)+IF(AND(A98&gt;A33,A98&lt;=A33+'Summary'!$B$10*12,MOD(A98-A33,'Summary'!$B$11)=0),I33,0)+IF(AND(A98&gt;A34,A98&lt;=A34+'Summary'!$B$10*12,MOD(A98-A34,'Summary'!$B$11)=0),I34,0)+IF(AND(A98&gt;A35,A98&lt;=A35+'Summary'!$B$10*12,MOD(A98-A35,'Summary'!$B$11)=0),I35,0)+IF(AND(A98&gt;A36,A98&lt;=A36+'Summary'!$B$10*12,MOD(A98-A36,'Summary'!$B$11)=0),I36,0)+IF(AND(A98&gt;A37,A98&lt;=A37+'Summary'!$B$10*12,MOD(A98-A37,'Summary'!$B$11)=0),I37,0)+IF(AND(A98&gt;A38,A98&lt;=A38+'Summary'!$B$10*12,MOD(A98-A38,'Summary'!$B$11)=0),I38,0)+IF(AND(A98&gt;A39,A98&lt;=A39+'Summary'!$B$10*12,MOD(A98-A39,'Summary'!$B$11)=0),I39,0)+IF(AND(A98&gt;A40,A98&lt;=A40+'Summary'!$B$10*12,MOD(A98-A40,'Summary'!$B$11)=0),I40,0)+IF(AND(A98&gt;A41,A98&lt;=A41+'Summary'!$B$10*12,MOD(A98-A41,'Summary'!$B$11)=0),I41,0)+IF(AND(A98&gt;A42,A98&lt;=A42+'Summary'!$B$10*12,MOD(A98-A42,'Summary'!$B$11)=0),I42,0)+IF(AND(A98&gt;A43,A98&lt;=A43+'Summary'!$B$10*12,MOD(A98-A43,'Summary'!$B$11)=0),I43,0)+IF(AND(A98&gt;A44,A98&lt;=A44+'Summary'!$B$10*12,MOD(A98-A44,'Summary'!$B$11)=0),I44,0)+IF(AND(A98&gt;A45,A98&lt;=A45+'Summary'!$B$10*12,MOD(A98-A45,'Summary'!$B$11)=0),I45,0)+IF(AND(A98&gt;A46,A98&lt;=A46+'Summary'!$B$10*12,MOD(A98-A46,'Summary'!$B$11)=0),I46,0)+IF(AND(A98&gt;A47,A98&lt;=A47+'Summary'!$B$10*12,MOD(A98-A47,'Summary'!$B$11)=0),I47,0)+IF(AND(A98&gt;A48,A98&lt;=A48+'Summary'!$B$10*12,MOD(A98-A48,'Summary'!$B$11)=0),I48,0)+IF(AND(A98&gt;A49,A98&lt;=A49+'Summary'!$B$10*12,MOD(A98-A49,'Summary'!$B$11)=0),I49,0)+IF(AND(A98&gt;A50,A98&lt;=A50+'Summary'!$B$10*12,MOD(A98-A50,'Summary'!$B$11)=0),I50,0)+IF(AND(A98&gt;A51,A98&lt;=A51+'Summary'!$B$10*12,MOD(A98-A51,'Summary'!$B$11)=0),I51,0)+IF(AND(A98&gt;A52,A98&lt;=A52+'Summary'!$B$10*12,MOD(A98-A52,'Summary'!$B$11)=0),I52,0)+IF(AND(A98&gt;A53,A98&lt;=A53+'Summary'!$B$10*12,MOD(A98-A53,'Summary'!$B$11)=0),I53,0)+IF(AND(A98&gt;A54,A98&lt;=A54+'Summary'!$B$10*12,MOD(A98-A54,'Summary'!$B$11)=0),I54,0)+IF(AND(A98&gt;A55,A98&lt;=A55+'Summary'!$B$10*12,MOD(A98-A55,'Summary'!$B$11)=0),I55,0)+IF(AND(A98&gt;A56,A98&lt;=A56+'Summary'!$B$10*12,MOD(A98-A56,'Summary'!$B$11)=0),I56,0)+IF(AND(A98&gt;A57,A98&lt;=A57+'Summary'!$B$10*12,MOD(A98-A57,'Summary'!$B$11)=0),I57,0)+IF(AND(A98&gt;A58,A98&lt;=A58+'Summary'!$B$10*12,MOD(A98-A58,'Summary'!$B$11)=0),I58,0)+IF(AND(A98&gt;A59,A98&lt;=A59+'Summary'!$B$10*12,MOD(A98-A59,'Summary'!$B$11)=0),I59,0)+IF(AND(A98&gt;A60,A98&lt;=A60+'Summary'!$B$10*12,MOD(A98-A60,'Summary'!$B$11)=0),I60,0)+IF(AND(A98&gt;A61,A98&lt;=A61+'Summary'!$B$10*12,MOD(A98-A61,'Summary'!$B$11)=0),I61,0)+IF(AND(A98&gt;A62,A98&lt;=A62+'Summary'!$B$10*12,MOD(A98-A62,'Summary'!$B$11)=0),I62,0)+IF(AND(A98&gt;A63,A98&lt;=A63+'Summary'!$B$10*12,MOD(A98-A63,'Summary'!$B$11)=0),I63,0)+IF(AND(A98&gt;A64,A98&lt;=A64+'Summary'!$B$10*12,MOD(A98-A64,'Summary'!$B$11)=0),I64,0)+IF(AND(A98&gt;A65,A98&lt;=A65+'Summary'!$B$10*12,MOD(A98-A65,'Summary'!$B$11)=0),I65,0)+IF(AND(A98&gt;A66,A98&lt;=A66+'Summary'!$B$10*12,MOD(A98-A66,'Summary'!$B$11)=0),I66,0)+IF(AND(A98&gt;A67,A98&lt;=A67+'Summary'!$B$10*12,MOD(A98-A67,'Summary'!$B$11)=0),I67,0)+IF(AND(A98&gt;A68,A98&lt;=A68+'Summary'!$B$10*12,MOD(A98-A68,'Summary'!$B$11)=0),I68,0)+IF(AND(A98&gt;A69,A98&lt;=A69+'Summary'!$B$10*12,MOD(A98-A69,'Summary'!$B$11)=0),I69,0)+IF(AND(A98&gt;A70,A98&lt;=A70+'Summary'!$B$10*12,MOD(A98-A70,'Summary'!$B$11)=0),I70,0)+IF(AND(A98&gt;A71,A98&lt;=A71+'Summary'!$B$10*12,MOD(A98-A71,'Summary'!$B$11)=0),I71,0)+IF(AND(A98&gt;A72,A98&lt;=A72+'Summary'!$B$10*12,MOD(A98-A72,'Summary'!$B$11)=0),I72,0)+IF(AND(A98&gt;A73,A98&lt;=A73+'Summary'!$B$10*12,MOD(A98-A73,'Summary'!$B$11)=0),I73,0)+IF(AND(A98&gt;A74,A98&lt;=A74+'Summary'!$B$10*12,MOD(A98-A74,'Summary'!$B$11)=0),I74,0)+IF(AND(A98&gt;A75,A98&lt;=A75+'Summary'!$B$10*12,MOD(A98-A75,'Summary'!$B$11)=0),I75,0)+IF(AND(A98&gt;A76,A98&lt;=A76+'Summary'!$B$10*12,MOD(A98-A76,'Summary'!$B$11)=0),I76,0)+IF(AND(A98&gt;A77,A98&lt;=A77+'Summary'!$B$10*12,MOD(A98-A77,'Summary'!$B$11)=0),I77,0)+IF(AND(A98&gt;A78,A98&lt;=A78+'Summary'!$B$10*12,MOD(A98-A78,'Summary'!$B$11)=0),I78,0)+IF(AND(A98&gt;A79,A98&lt;=A79+'Summary'!$B$10*12,MOD(A98-A79,'Summary'!$B$11)=0),I79,0)+IF(AND(A98&gt;A80,A98&lt;=A80+'Summary'!$B$10*12,MOD(A98-A80,'Summary'!$B$11)=0),I80,0)+IF(AND(A98&gt;A81,A98&lt;=A81+'Summary'!$B$10*12,MOD(A98-A81,'Summary'!$B$11)=0),I81,0)+IF(AND(A98&gt;A82,A98&lt;=A82+'Summary'!$B$10*12,MOD(A98-A82,'Summary'!$B$11)=0),I82,0)+IF(AND(A98&gt;A83,A98&lt;=A83+'Summary'!$B$10*12,MOD(A98-A83,'Summary'!$B$11)=0),I83,0)+IF(AND(A98&gt;A84,A98&lt;=A84+'Summary'!$B$10*12,MOD(A98-A84,'Summary'!$B$11)=0),I84,0)+IF(AND(A98&gt;A85,A98&lt;=A85+'Summary'!$B$10*12,MOD(A98-A85,'Summary'!$B$11)=0),I85,0)+IF(AND(A98&gt;A86,A98&lt;=A86+'Summary'!$B$10*12,MOD(A98-A86,'Summary'!$B$11)=0),I86,0)+IF(AND(A98&gt;A87,A98&lt;=A87+'Summary'!$B$10*12,MOD(A98-A87,'Summary'!$B$11)=0),I87,0)+IF(AND(A98&gt;A88,A98&lt;=A88+'Summary'!$B$10*12,MOD(A98-A88,'Summary'!$B$11)=0),I88,0)+IF(AND(A98&gt;A89,A98&lt;=A89+'Summary'!$B$10*12,MOD(A98-A89,'Summary'!$B$11)=0),I89,0)+IF(AND(A98&gt;A90,A98&lt;=A90+'Summary'!$B$10*12,MOD(A98-A90,'Summary'!$B$11)=0),I90,0)+IF(AND(A98&gt;A91,A98&lt;=A91+'Summary'!$B$10*12,MOD(A98-A91,'Summary'!$B$11)=0),I91,0)+IF(AND(A98&gt;A92,A98&lt;=A92+'Summary'!$B$10*12,MOD(A98-A92,'Summary'!$B$11)=0),I92,0)+IF(AND(A98&gt;A93,A98&lt;=A93+'Summary'!$B$10*12,MOD(A98-A93,'Summary'!$B$11)=0),I93,0)+IF(AND(A98&gt;A94,A98&lt;=A94+'Summary'!$B$10*12,MOD(A98-A94,'Summary'!$B$11)=0),I94,0)+IF(AND(A98&gt;A95,A98&lt;=A95+'Summary'!$B$10*12,MOD(A98-A95,'Summary'!$B$11)=0),I95,0)+IF(AND(A98&gt;A96,A98&lt;=A96+'Summary'!$B$10*12,MOD(A98-A96,'Summary'!$B$11)=0),I96,0)+IF(AND(A98&gt;A97,A98&lt;=A97+'Summary'!$B$10*12,MOD(A98-A97,'Summary'!$B$11)=0),I97,0))*'Summary'!$B$8/2</x:f>
        <x:v>272.5913145061616</x:v>
      </x:c>
      <x:c r="G98" s="62" t="n">
        <x:f>IF(A98=A8+'Summary'!$B$10*12,I8,0)+IF(A98=A9+'Summary'!$B$10*12,I9,0)+IF(A98=A10+'Summary'!$B$10*12,I10,0)+IF(A98=A11+'Summary'!$B$10*12,I11,0)+IF(A98=A12+'Summary'!$B$10*12,I12,0)+IF(A98=A13+'Summary'!$B$10*12,I13,0)+IF(A98=A14+'Summary'!$B$10*12,I14,0)+IF(A98=A15+'Summary'!$B$10*12,I15,0)+IF(A98=A16+'Summary'!$B$10*12,I16,0)+IF(A98=A17+'Summary'!$B$10*12,I17,0)+IF(A98=A18+'Summary'!$B$10*12,I18,0)+IF(A98=A19+'Summary'!$B$10*12,I19,0)+IF(A98=A20+'Summary'!$B$10*12,I20,0)+IF(A98=A21+'Summary'!$B$10*12,I21,0)+IF(A98=A22+'Summary'!$B$10*12,I22,0)+IF(A98=A23+'Summary'!$B$10*12,I23,0)+IF(A98=A24+'Summary'!$B$10*12,I24,0)+IF(A98=A25+'Summary'!$B$10*12,I25,0)+IF(A98=A26+'Summary'!$B$10*12,I26,0)+IF(A98=A27+'Summary'!$B$10*12,I27,0)+IF(A98=A28+'Summary'!$B$10*12,I28,0)+IF(A98=A29+'Summary'!$B$10*12,I29,0)+IF(A98=A30+'Summary'!$B$10*12,I30,0)+IF(A98=A31+'Summary'!$B$10*12,I31,0)+IF(A98=A32+'Summary'!$B$10*12,I32,0)+IF(A98=A33+'Summary'!$B$10*12,I33,0)+IF(A98=A34+'Summary'!$B$10*12,I34,0)+IF(A98=A35+'Summary'!$B$10*12,I35,0)+IF(A98=A36+'Summary'!$B$10*12,I36,0)+IF(A98=A37+'Summary'!$B$10*12,I37,0)+IF(A98=A38+'Summary'!$B$10*12,I38,0)+IF(A98=A39+'Summary'!$B$10*12,I39,0)+IF(A98=A40+'Summary'!$B$10*12,I40,0)+IF(A98=A41+'Summary'!$B$10*12,I41,0)+IF(A98=A42+'Summary'!$B$10*12,I42,0)+IF(A98=A43+'Summary'!$B$10*12,I43,0)+IF(A98=A44+'Summary'!$B$10*12,I44,0)+IF(A98=A45+'Summary'!$B$10*12,I45,0)+IF(A98=A46+'Summary'!$B$10*12,I46,0)+IF(A98=A47+'Summary'!$B$10*12,I47,0)+IF(A98=A48+'Summary'!$B$10*12,I48,0)+IF(A98=A49+'Summary'!$B$10*12,I49,0)+IF(A98=A50+'Summary'!$B$10*12,I50,0)+IF(A98=A51+'Summary'!$B$10*12,I51,0)+IF(A98=A52+'Summary'!$B$10*12,I52,0)+IF(A98=A53+'Summary'!$B$10*12,I53,0)+IF(A98=A54+'Summary'!$B$10*12,I54,0)+IF(A98=A55+'Summary'!$B$10*12,I55,0)+IF(A98=A56+'Summary'!$B$10*12,I56,0)+IF(A98=A57+'Summary'!$B$10*12,I57,0)+IF(A98=A58+'Summary'!$B$10*12,I58,0)+IF(A98=A59+'Summary'!$B$10*12,I59,0)+IF(A98=A60+'Summary'!$B$10*12,I60,0)+IF(A98=A61+'Summary'!$B$10*12,I61,0)+IF(A98=A62+'Summary'!$B$10*12,I62,0)+IF(A98=A63+'Summary'!$B$10*12,I63,0)+IF(A98=A64+'Summary'!$B$10*12,I64,0)+IF(A98=A65+'Summary'!$B$10*12,I65,0)+IF(A98=A66+'Summary'!$B$10*12,I66,0)+IF(A98=A67+'Summary'!$B$10*12,I67,0)+IF(A98=A68+'Summary'!$B$10*12,I68,0)+IF(A98=A69+'Summary'!$B$10*12,I69,0)+IF(A98=A70+'Summary'!$B$10*12,I70,0)+IF(A98=A71+'Summary'!$B$10*12,I71,0)+IF(A98=A72+'Summary'!$B$10*12,I72,0)+IF(A98=A73+'Summary'!$B$10*12,I73,0)+IF(A98=A74+'Summary'!$B$10*12,I74,0)+IF(A98=A75+'Summary'!$B$10*12,I75,0)+IF(A98=A76+'Summary'!$B$10*12,I76,0)+IF(A98=A77+'Summary'!$B$10*12,I77,0)+IF(A98=A78+'Summary'!$B$10*12,I78,0)+IF(A98=A79+'Summary'!$B$10*12,I79,0)+IF(A98=A80+'Summary'!$B$10*12,I80,0)+IF(A98=A81+'Summary'!$B$10*12,I81,0)+IF(A98=A82+'Summary'!$B$10*12,I82,0)+IF(A98=A83+'Summary'!$B$10*12,I83,0)+IF(A98=A84+'Summary'!$B$10*12,I84,0)+IF(A98=A85+'Summary'!$B$10*12,I85,0)+IF(A98=A86+'Summary'!$B$10*12,I86,0)+IF(A98=A87+'Summary'!$B$10*12,I87,0)+IF(A98=A88+'Summary'!$B$10*12,I88,0)+IF(A98=A89+'Summary'!$B$10*12,I89,0)+IF(A98=A90+'Summary'!$B$10*12,I90,0)+IF(A98=A91+'Summary'!$B$10*12,I91,0)+IF(A98=A92+'Summary'!$B$10*12,I92,0)+IF(A98=A93+'Summary'!$B$10*12,I93,0)+IF(A98=A94+'Summary'!$B$10*12,I94,0)+IF(A98=A95+'Summary'!$B$10*12,I95,0)+IF(A98=A96+'Summary'!$B$10*12,I96,0)+IF(A98=A97+'Summary'!$B$10*12,I97,0)</x:f>
        <x:v>309.8817560776729</x:v>
      </x:c>
      <x:c r="H98" s="62" t="n">
        <x:f>E98+D98+F98+G98</x:f>
        <x:v>682.4730705838344</x:v>
      </x:c>
      <x:c r="I98" s="62" t="n">
        <x:f>IF(B98,IF(H98&gt;='Summary'!$B$12,H98,0),0)</x:f>
        <x:v>682.4730705838344</x:v>
      </x:c>
      <x:c r="J98" s="62" t="n">
        <x:f>H98-I98</x:f>
        <x:v>0</x:v>
      </x:c>
      <x:c r="K98" s="63" t="n">
        <x:f>J98+IF(A8+'Summary'!$B$10*12&gt;A98,I8,0)+IF(A9+'Summary'!$B$10*12&gt;A98,I9,0)+IF(A10+'Summary'!$B$10*12&gt;A98,I10,0)+IF(A11+'Summary'!$B$10*12&gt;A98,I11,0)+IF(A12+'Summary'!$B$10*12&gt;A98,I12,0)+IF(A13+'Summary'!$B$10*12&gt;A98,I13,0)+IF(A14+'Summary'!$B$10*12&gt;A98,I14,0)+IF(A15+'Summary'!$B$10*12&gt;A98,I15,0)+IF(A16+'Summary'!$B$10*12&gt;A98,I16,0)+IF(A17+'Summary'!$B$10*12&gt;A98,I17,0)+IF(A18+'Summary'!$B$10*12&gt;A98,I18,0)+IF(A19+'Summary'!$B$10*12&gt;A98,I19,0)+IF(A20+'Summary'!$B$10*12&gt;A98,I20,0)+IF(A21+'Summary'!$B$10*12&gt;A98,I21,0)+IF(A22+'Summary'!$B$10*12&gt;A98,I22,0)+IF(A23+'Summary'!$B$10*12&gt;A98,I23,0)+IF(A24+'Summary'!$B$10*12&gt;A98,I24,0)+IF(A25+'Summary'!$B$10*12&gt;A98,I25,0)+IF(A26+'Summary'!$B$10*12&gt;A98,I26,0)+IF(A27+'Summary'!$B$10*12&gt;A98,I27,0)+IF(A28+'Summary'!$B$10*12&gt;A98,I28,0)+IF(A29+'Summary'!$B$10*12&gt;A98,I29,0)+IF(A30+'Summary'!$B$10*12&gt;A98,I30,0)+IF(A31+'Summary'!$B$10*12&gt;A98,I31,0)+IF(A32+'Summary'!$B$10*12&gt;A98,I32,0)+IF(A33+'Summary'!$B$10*12&gt;A98,I33,0)+IF(A34+'Summary'!$B$10*12&gt;A98,I34,0)+IF(A35+'Summary'!$B$10*12&gt;A98,I35,0)+IF(A36+'Summary'!$B$10*12&gt;A98,I36,0)+IF(A37+'Summary'!$B$10*12&gt;A98,I37,0)+IF(A38+'Summary'!$B$10*12&gt;A98,I38,0)+IF(A39+'Summary'!$B$10*12&gt;A98,I39,0)+IF(A40+'Summary'!$B$10*12&gt;A98,I40,0)+IF(A41+'Summary'!$B$10*12&gt;A98,I41,0)+IF(A42+'Summary'!$B$10*12&gt;A98,I42,0)+IF(A43+'Summary'!$B$10*12&gt;A98,I43,0)+IF(A44+'Summary'!$B$10*12&gt;A98,I44,0)+IF(A45+'Summary'!$B$10*12&gt;A98,I45,0)+IF(A46+'Summary'!$B$10*12&gt;A98,I46,0)+IF(A47+'Summary'!$B$10*12&gt;A98,I47,0)+IF(A48+'Summary'!$B$10*12&gt;A98,I48,0)+IF(A49+'Summary'!$B$10*12&gt;A98,I49,0)+IF(A50+'Summary'!$B$10*12&gt;A98,I50,0)+IF(A51+'Summary'!$B$10*12&gt;A98,I51,0)+IF(A52+'Summary'!$B$10*12&gt;A98,I52,0)+IF(A53+'Summary'!$B$10*12&gt;A98,I53,0)+IF(A54+'Summary'!$B$10*12&gt;A98,I54,0)+IF(A55+'Summary'!$B$10*12&gt;A98,I55,0)+IF(A56+'Summary'!$B$10*12&gt;A98,I56,0)+IF(A57+'Summary'!$B$10*12&gt;A98,I57,0)+IF(A58+'Summary'!$B$10*12&gt;A98,I58,0)+IF(A59+'Summary'!$B$10*12&gt;A98,I59,0)+IF(A60+'Summary'!$B$10*12&gt;A98,I60,0)+IF(A61+'Summary'!$B$10*12&gt;A98,I61,0)+IF(A62+'Summary'!$B$10*12&gt;A98,I62,0)+IF(A63+'Summary'!$B$10*12&gt;A98,I63,0)+IF(A64+'Summary'!$B$10*12&gt;A98,I64,0)+IF(A65+'Summary'!$B$10*12&gt;A98,I65,0)+IF(A66+'Summary'!$B$10*12&gt;A98,I66,0)+IF(A67+'Summary'!$B$10*12&gt;A98,I67,0)+IF(A68+'Summary'!$B$10*12&gt;A98,I68,0)+IF(A69+'Summary'!$B$10*12&gt;A98,I69,0)+IF(A70+'Summary'!$B$10*12&gt;A98,I70,0)+IF(A71+'Summary'!$B$10*12&gt;A98,I71,0)+IF(A72+'Summary'!$B$10*12&gt;A98,I72,0)+IF(A73+'Summary'!$B$10*12&gt;A98,I73,0)+IF(A74+'Summary'!$B$10*12&gt;A98,I74,0)+IF(A75+'Summary'!$B$10*12&gt;A98,I75,0)+IF(A76+'Summary'!$B$10*12&gt;A98,I76,0)+IF(A77+'Summary'!$B$10*12&gt;A98,I77,0)+IF(A78+'Summary'!$B$10*12&gt;A98,I78,0)+IF(A79+'Summary'!$B$10*12&gt;A98,I79,0)+IF(A80+'Summary'!$B$10*12&gt;A98,I80,0)+IF(A81+'Summary'!$B$10*12&gt;A98,I81,0)+IF(A82+'Summary'!$B$10*12&gt;A98,I82,0)+IF(A83+'Summary'!$B$10*12&gt;A98,I83,0)+IF(A84+'Summary'!$B$10*12&gt;A98,I84,0)+IF(A85+'Summary'!$B$10*12&gt;A98,I85,0)+IF(A86+'Summary'!$B$10*12&gt;A98,I86,0)+IF(A87+'Summary'!$B$10*12&gt;A98,I87,0)+IF(A88+'Summary'!$B$10*12&gt;A98,I88,0)+IF(A89+'Summary'!$B$10*12&gt;A98,I89,0)+IF(A90+'Summary'!$B$10*12&gt;A98,I90,0)+IF(A91+'Summary'!$B$10*12&gt;A98,I91,0)+IF(A92+'Summary'!$B$10*12&gt;A98,I92,0)+IF(A93+'Summary'!$B$10*12&gt;A98,I93,0)+IF(A94+'Summary'!$B$10*12&gt;A98,I94,0)+IF(A95+'Summary'!$B$10*12&gt;A98,I95,0)+IF(A96+'Summary'!$B$10*12&gt;A98,I96,0)+IF(A97+'Summary'!$B$10*12&gt;A98,I97,0)+IF(A98+'Summary'!$B$10*12&gt;A98,I98,0)</x:f>
        <x:v>23587.821439016312</x:v>
      </x:c>
    </x:row>
    <x:row r="99">
      <x:c r="A99" s="55" t="n">
        <x:v>91</x:v>
      </x:c>
      <x:c r="B99" s="71" t="b">
        <x:f>A99&lt;='Summary'!$B$9*12</x:f>
        <x:v>1</x:v>
      </x:c>
      <x:c r="C99" s="62" t="n">
        <x:f>IF(A99=0,IF('Summary'!$B$6&gt;=5,'Summary'!$B$6,0),C98)+IF(A99&lt;'Summary'!$B$9*12,IF('Summary'!$B$7&gt;=5,'Summary'!$B$7,0),0)</x:f>
        <x:v>19200</x:v>
      </x:c>
      <x:c r="D99" s="62" t="n">
        <x:f>IF(A99=0,IF('Summary'!$B$6&gt;=5,'Summary'!$B$6,0),0)+IF(A99&lt;'Summary'!$B$9*12,IF('Summary'!$B$7&gt;=5,'Summary'!$B$7,0),0)</x:f>
        <x:v>100</x:v>
      </x:c>
      <x:c r="E99" s="62" t="n">
        <x:f>J98</x:f>
        <x:v>0</x:v>
      </x:c>
      <x:c r="F99" s="62" t="n">
        <x:f>(IF(AND(A99&gt;A8,A99&lt;=A8+'Summary'!$B$10*12,MOD(A99-A8,'Summary'!$B$11)=0),I8,0)+IF(AND(A99&gt;A9,A99&lt;=A9+'Summary'!$B$10*12,MOD(A99-A9,'Summary'!$B$11)=0),I9,0)+IF(AND(A99&gt;A10,A99&lt;=A10+'Summary'!$B$10*12,MOD(A99-A10,'Summary'!$B$11)=0),I10,0)+IF(AND(A99&gt;A11,A99&lt;=A11+'Summary'!$B$10*12,MOD(A99-A11,'Summary'!$B$11)=0),I11,0)+IF(AND(A99&gt;A12,A99&lt;=A12+'Summary'!$B$10*12,MOD(A99-A12,'Summary'!$B$11)=0),I12,0)+IF(AND(A99&gt;A13,A99&lt;=A13+'Summary'!$B$10*12,MOD(A99-A13,'Summary'!$B$11)=0),I13,0)+IF(AND(A99&gt;A14,A99&lt;=A14+'Summary'!$B$10*12,MOD(A99-A14,'Summary'!$B$11)=0),I14,0)+IF(AND(A99&gt;A15,A99&lt;=A15+'Summary'!$B$10*12,MOD(A99-A15,'Summary'!$B$11)=0),I15,0)+IF(AND(A99&gt;A16,A99&lt;=A16+'Summary'!$B$10*12,MOD(A99-A16,'Summary'!$B$11)=0),I16,0)+IF(AND(A99&gt;A17,A99&lt;=A17+'Summary'!$B$10*12,MOD(A99-A17,'Summary'!$B$11)=0),I17,0)+IF(AND(A99&gt;A18,A99&lt;=A18+'Summary'!$B$10*12,MOD(A99-A18,'Summary'!$B$11)=0),I18,0)+IF(AND(A99&gt;A19,A99&lt;=A19+'Summary'!$B$10*12,MOD(A99-A19,'Summary'!$B$11)=0),I19,0)+IF(AND(A99&gt;A20,A99&lt;=A20+'Summary'!$B$10*12,MOD(A99-A20,'Summary'!$B$11)=0),I20,0)+IF(AND(A99&gt;A21,A99&lt;=A21+'Summary'!$B$10*12,MOD(A99-A21,'Summary'!$B$11)=0),I21,0)+IF(AND(A99&gt;A22,A99&lt;=A22+'Summary'!$B$10*12,MOD(A99-A22,'Summary'!$B$11)=0),I22,0)+IF(AND(A99&gt;A23,A99&lt;=A23+'Summary'!$B$10*12,MOD(A99-A23,'Summary'!$B$11)=0),I23,0)+IF(AND(A99&gt;A24,A99&lt;=A24+'Summary'!$B$10*12,MOD(A99-A24,'Summary'!$B$11)=0),I24,0)+IF(AND(A99&gt;A25,A99&lt;=A25+'Summary'!$B$10*12,MOD(A99-A25,'Summary'!$B$11)=0),I25,0)+IF(AND(A99&gt;A26,A99&lt;=A26+'Summary'!$B$10*12,MOD(A99-A26,'Summary'!$B$11)=0),I26,0)+IF(AND(A99&gt;A27,A99&lt;=A27+'Summary'!$B$10*12,MOD(A99-A27,'Summary'!$B$11)=0),I27,0)+IF(AND(A99&gt;A28,A99&lt;=A28+'Summary'!$B$10*12,MOD(A99-A28,'Summary'!$B$11)=0),I28,0)+IF(AND(A99&gt;A29,A99&lt;=A29+'Summary'!$B$10*12,MOD(A99-A29,'Summary'!$B$11)=0),I29,0)+IF(AND(A99&gt;A30,A99&lt;=A30+'Summary'!$B$10*12,MOD(A99-A30,'Summary'!$B$11)=0),I30,0)+IF(AND(A99&gt;A31,A99&lt;=A31+'Summary'!$B$10*12,MOD(A99-A31,'Summary'!$B$11)=0),I31,0)+IF(AND(A99&gt;A32,A99&lt;=A32+'Summary'!$B$10*12,MOD(A99-A32,'Summary'!$B$11)=0),I32,0)+IF(AND(A99&gt;A33,A99&lt;=A33+'Summary'!$B$10*12,MOD(A99-A33,'Summary'!$B$11)=0),I33,0)+IF(AND(A99&gt;A34,A99&lt;=A34+'Summary'!$B$10*12,MOD(A99-A34,'Summary'!$B$11)=0),I34,0)+IF(AND(A99&gt;A35,A99&lt;=A35+'Summary'!$B$10*12,MOD(A99-A35,'Summary'!$B$11)=0),I35,0)+IF(AND(A99&gt;A36,A99&lt;=A36+'Summary'!$B$10*12,MOD(A99-A36,'Summary'!$B$11)=0),I36,0)+IF(AND(A99&gt;A37,A99&lt;=A37+'Summary'!$B$10*12,MOD(A99-A37,'Summary'!$B$11)=0),I37,0)+IF(AND(A99&gt;A38,A99&lt;=A38+'Summary'!$B$10*12,MOD(A99-A38,'Summary'!$B$11)=0),I38,0)+IF(AND(A99&gt;A39,A99&lt;=A39+'Summary'!$B$10*12,MOD(A99-A39,'Summary'!$B$11)=0),I39,0)+IF(AND(A99&gt;A40,A99&lt;=A40+'Summary'!$B$10*12,MOD(A99-A40,'Summary'!$B$11)=0),I40,0)+IF(AND(A99&gt;A41,A99&lt;=A41+'Summary'!$B$10*12,MOD(A99-A41,'Summary'!$B$11)=0),I41,0)+IF(AND(A99&gt;A42,A99&lt;=A42+'Summary'!$B$10*12,MOD(A99-A42,'Summary'!$B$11)=0),I42,0)+IF(AND(A99&gt;A43,A99&lt;=A43+'Summary'!$B$10*12,MOD(A99-A43,'Summary'!$B$11)=0),I43,0)+IF(AND(A99&gt;A44,A99&lt;=A44+'Summary'!$B$10*12,MOD(A99-A44,'Summary'!$B$11)=0),I44,0)+IF(AND(A99&gt;A45,A99&lt;=A45+'Summary'!$B$10*12,MOD(A99-A45,'Summary'!$B$11)=0),I45,0)+IF(AND(A99&gt;A46,A99&lt;=A46+'Summary'!$B$10*12,MOD(A99-A46,'Summary'!$B$11)=0),I46,0)+IF(AND(A99&gt;A47,A99&lt;=A47+'Summary'!$B$10*12,MOD(A99-A47,'Summary'!$B$11)=0),I47,0)+IF(AND(A99&gt;A48,A99&lt;=A48+'Summary'!$B$10*12,MOD(A99-A48,'Summary'!$B$11)=0),I48,0)+IF(AND(A99&gt;A49,A99&lt;=A49+'Summary'!$B$10*12,MOD(A99-A49,'Summary'!$B$11)=0),I49,0)+IF(AND(A99&gt;A50,A99&lt;=A50+'Summary'!$B$10*12,MOD(A99-A50,'Summary'!$B$11)=0),I50,0)+IF(AND(A99&gt;A51,A99&lt;=A51+'Summary'!$B$10*12,MOD(A99-A51,'Summary'!$B$11)=0),I51,0)+IF(AND(A99&gt;A52,A99&lt;=A52+'Summary'!$B$10*12,MOD(A99-A52,'Summary'!$B$11)=0),I52,0)+IF(AND(A99&gt;A53,A99&lt;=A53+'Summary'!$B$10*12,MOD(A99-A53,'Summary'!$B$11)=0),I53,0)+IF(AND(A99&gt;A54,A99&lt;=A54+'Summary'!$B$10*12,MOD(A99-A54,'Summary'!$B$11)=0),I54,0)+IF(AND(A99&gt;A55,A99&lt;=A55+'Summary'!$B$10*12,MOD(A99-A55,'Summary'!$B$11)=0),I55,0)+IF(AND(A99&gt;A56,A99&lt;=A56+'Summary'!$B$10*12,MOD(A99-A56,'Summary'!$B$11)=0),I56,0)+IF(AND(A99&gt;A57,A99&lt;=A57+'Summary'!$B$10*12,MOD(A99-A57,'Summary'!$B$11)=0),I57,0)+IF(AND(A99&gt;A58,A99&lt;=A58+'Summary'!$B$10*12,MOD(A99-A58,'Summary'!$B$11)=0),I58,0)+IF(AND(A99&gt;A59,A99&lt;=A59+'Summary'!$B$10*12,MOD(A99-A59,'Summary'!$B$11)=0),I59,0)+IF(AND(A99&gt;A60,A99&lt;=A60+'Summary'!$B$10*12,MOD(A99-A60,'Summary'!$B$11)=0),I60,0)+IF(AND(A99&gt;A61,A99&lt;=A61+'Summary'!$B$10*12,MOD(A99-A61,'Summary'!$B$11)=0),I61,0)+IF(AND(A99&gt;A62,A99&lt;=A62+'Summary'!$B$10*12,MOD(A99-A62,'Summary'!$B$11)=0),I62,0)+IF(AND(A99&gt;A63,A99&lt;=A63+'Summary'!$B$10*12,MOD(A99-A63,'Summary'!$B$11)=0),I63,0)+IF(AND(A99&gt;A64,A99&lt;=A64+'Summary'!$B$10*12,MOD(A99-A64,'Summary'!$B$11)=0),I64,0)+IF(AND(A99&gt;A65,A99&lt;=A65+'Summary'!$B$10*12,MOD(A99-A65,'Summary'!$B$11)=0),I65,0)+IF(AND(A99&gt;A66,A99&lt;=A66+'Summary'!$B$10*12,MOD(A99-A66,'Summary'!$B$11)=0),I66,0)+IF(AND(A99&gt;A67,A99&lt;=A67+'Summary'!$B$10*12,MOD(A99-A67,'Summary'!$B$11)=0),I67,0)+IF(AND(A99&gt;A68,A99&lt;=A68+'Summary'!$B$10*12,MOD(A99-A68,'Summary'!$B$11)=0),I68,0)+IF(AND(A99&gt;A69,A99&lt;=A69+'Summary'!$B$10*12,MOD(A99-A69,'Summary'!$B$11)=0),I69,0)+IF(AND(A99&gt;A70,A99&lt;=A70+'Summary'!$B$10*12,MOD(A99-A70,'Summary'!$B$11)=0),I70,0)+IF(AND(A99&gt;A71,A99&lt;=A71+'Summary'!$B$10*12,MOD(A99-A71,'Summary'!$B$11)=0),I71,0)+IF(AND(A99&gt;A72,A99&lt;=A72+'Summary'!$B$10*12,MOD(A99-A72,'Summary'!$B$11)=0),I72,0)+IF(AND(A99&gt;A73,A99&lt;=A73+'Summary'!$B$10*12,MOD(A99-A73,'Summary'!$B$11)=0),I73,0)+IF(AND(A99&gt;A74,A99&lt;=A74+'Summary'!$B$10*12,MOD(A99-A74,'Summary'!$B$11)=0),I74,0)+IF(AND(A99&gt;A75,A99&lt;=A75+'Summary'!$B$10*12,MOD(A99-A75,'Summary'!$B$11)=0),I75,0)+IF(AND(A99&gt;A76,A99&lt;=A76+'Summary'!$B$10*12,MOD(A99-A76,'Summary'!$B$11)=0),I76,0)+IF(AND(A99&gt;A77,A99&lt;=A77+'Summary'!$B$10*12,MOD(A99-A77,'Summary'!$B$11)=0),I77,0)+IF(AND(A99&gt;A78,A99&lt;=A78+'Summary'!$B$10*12,MOD(A99-A78,'Summary'!$B$11)=0),I78,0)+IF(AND(A99&gt;A79,A99&lt;=A79+'Summary'!$B$10*12,MOD(A99-A79,'Summary'!$B$11)=0),I79,0)+IF(AND(A99&gt;A80,A99&lt;=A80+'Summary'!$B$10*12,MOD(A99-A80,'Summary'!$B$11)=0),I80,0)+IF(AND(A99&gt;A81,A99&lt;=A81+'Summary'!$B$10*12,MOD(A99-A81,'Summary'!$B$11)=0),I81,0)+IF(AND(A99&gt;A82,A99&lt;=A82+'Summary'!$B$10*12,MOD(A99-A82,'Summary'!$B$11)=0),I82,0)+IF(AND(A99&gt;A83,A99&lt;=A83+'Summary'!$B$10*12,MOD(A99-A83,'Summary'!$B$11)=0),I83,0)+IF(AND(A99&gt;A84,A99&lt;=A84+'Summary'!$B$10*12,MOD(A99-A84,'Summary'!$B$11)=0),I84,0)+IF(AND(A99&gt;A85,A99&lt;=A85+'Summary'!$B$10*12,MOD(A99-A85,'Summary'!$B$11)=0),I85,0)+IF(AND(A99&gt;A86,A99&lt;=A86+'Summary'!$B$10*12,MOD(A99-A86,'Summary'!$B$11)=0),I86,0)+IF(AND(A99&gt;A87,A99&lt;=A87+'Summary'!$B$10*12,MOD(A99-A87,'Summary'!$B$11)=0),I87,0)+IF(AND(A99&gt;A88,A99&lt;=A88+'Summary'!$B$10*12,MOD(A99-A88,'Summary'!$B$11)=0),I88,0)+IF(AND(A99&gt;A89,A99&lt;=A89+'Summary'!$B$10*12,MOD(A99-A89,'Summary'!$B$11)=0),I89,0)+IF(AND(A99&gt;A90,A99&lt;=A90+'Summary'!$B$10*12,MOD(A99-A90,'Summary'!$B$11)=0),I90,0)+IF(AND(A99&gt;A91,A99&lt;=A91+'Summary'!$B$10*12,MOD(A99-A91,'Summary'!$B$11)=0),I91,0)+IF(AND(A99&gt;A92,A99&lt;=A92+'Summary'!$B$10*12,MOD(A99-A92,'Summary'!$B$11)=0),I92,0)+IF(AND(A99&gt;A93,A99&lt;=A93+'Summary'!$B$10*12,MOD(A99-A93,'Summary'!$B$11)=0),I93,0)+IF(AND(A99&gt;A94,A99&lt;=A94+'Summary'!$B$10*12,MOD(A99-A94,'Summary'!$B$11)=0),I94,0)+IF(AND(A99&gt;A95,A99&lt;=A95+'Summary'!$B$10*12,MOD(A99-A95,'Summary'!$B$11)=0),I95,0)+IF(AND(A99&gt;A96,A99&lt;=A96+'Summary'!$B$10*12,MOD(A99-A96,'Summary'!$B$11)=0),I96,0)+IF(AND(A99&gt;A97,A99&lt;=A97+'Summary'!$B$10*12,MOD(A99-A97,'Summary'!$B$11)=0),I97,0)+IF(AND(A99&gt;A98,A99&lt;=A98+'Summary'!$B$10*12,MOD(A99-A98,'Summary'!$B$11)=0),I98,0))*'Summary'!$B$8/2</x:f>
        <x:v>31.842393161945477</x:v>
      </x:c>
      <x:c r="G99" s="62" t="n">
        <x:f>IF(A99=A8+'Summary'!$B$10*12,I8,0)+IF(A99=A9+'Summary'!$B$10*12,I9,0)+IF(A99=A10+'Summary'!$B$10*12,I10,0)+IF(A99=A11+'Summary'!$B$10*12,I11,0)+IF(A99=A12+'Summary'!$B$10*12,I12,0)+IF(A99=A13+'Summary'!$B$10*12,I13,0)+IF(A99=A14+'Summary'!$B$10*12,I14,0)+IF(A99=A15+'Summary'!$B$10*12,I15,0)+IF(A99=A16+'Summary'!$B$10*12,I16,0)+IF(A99=A17+'Summary'!$B$10*12,I17,0)+IF(A99=A18+'Summary'!$B$10*12,I18,0)+IF(A99=A19+'Summary'!$B$10*12,I19,0)+IF(A99=A20+'Summary'!$B$10*12,I20,0)+IF(A99=A21+'Summary'!$B$10*12,I21,0)+IF(A99=A22+'Summary'!$B$10*12,I22,0)+IF(A99=A23+'Summary'!$B$10*12,I23,0)+IF(A99=A24+'Summary'!$B$10*12,I24,0)+IF(A99=A25+'Summary'!$B$10*12,I25,0)+IF(A99=A26+'Summary'!$B$10*12,I26,0)+IF(A99=A27+'Summary'!$B$10*12,I27,0)+IF(A99=A28+'Summary'!$B$10*12,I28,0)+IF(A99=A29+'Summary'!$B$10*12,I29,0)+IF(A99=A30+'Summary'!$B$10*12,I30,0)+IF(A99=A31+'Summary'!$B$10*12,I31,0)+IF(A99=A32+'Summary'!$B$10*12,I32,0)+IF(A99=A33+'Summary'!$B$10*12,I33,0)+IF(A99=A34+'Summary'!$B$10*12,I34,0)+IF(A99=A35+'Summary'!$B$10*12,I35,0)+IF(A99=A36+'Summary'!$B$10*12,I36,0)+IF(A99=A37+'Summary'!$B$10*12,I37,0)+IF(A99=A38+'Summary'!$B$10*12,I38,0)+IF(A99=A39+'Summary'!$B$10*12,I39,0)+IF(A99=A40+'Summary'!$B$10*12,I40,0)+IF(A99=A41+'Summary'!$B$10*12,I41,0)+IF(A99=A42+'Summary'!$B$10*12,I42,0)+IF(A99=A43+'Summary'!$B$10*12,I43,0)+IF(A99=A44+'Summary'!$B$10*12,I44,0)+IF(A99=A45+'Summary'!$B$10*12,I45,0)+IF(A99=A46+'Summary'!$B$10*12,I46,0)+IF(A99=A47+'Summary'!$B$10*12,I47,0)+IF(A99=A48+'Summary'!$B$10*12,I48,0)+IF(A99=A49+'Summary'!$B$10*12,I49,0)+IF(A99=A50+'Summary'!$B$10*12,I50,0)+IF(A99=A51+'Summary'!$B$10*12,I51,0)+IF(A99=A52+'Summary'!$B$10*12,I52,0)+IF(A99=A53+'Summary'!$B$10*12,I53,0)+IF(A99=A54+'Summary'!$B$10*12,I54,0)+IF(A99=A55+'Summary'!$B$10*12,I55,0)+IF(A99=A56+'Summary'!$B$10*12,I56,0)+IF(A99=A57+'Summary'!$B$10*12,I57,0)+IF(A99=A58+'Summary'!$B$10*12,I58,0)+IF(A99=A59+'Summary'!$B$10*12,I59,0)+IF(A99=A60+'Summary'!$B$10*12,I60,0)+IF(A99=A61+'Summary'!$B$10*12,I61,0)+IF(A99=A62+'Summary'!$B$10*12,I62,0)+IF(A99=A63+'Summary'!$B$10*12,I63,0)+IF(A99=A64+'Summary'!$B$10*12,I64,0)+IF(A99=A65+'Summary'!$B$10*12,I65,0)+IF(A99=A66+'Summary'!$B$10*12,I66,0)+IF(A99=A67+'Summary'!$B$10*12,I67,0)+IF(A99=A68+'Summary'!$B$10*12,I68,0)+IF(A99=A69+'Summary'!$B$10*12,I69,0)+IF(A99=A70+'Summary'!$B$10*12,I70,0)+IF(A99=A71+'Summary'!$B$10*12,I71,0)+IF(A99=A72+'Summary'!$B$10*12,I72,0)+IF(A99=A73+'Summary'!$B$10*12,I73,0)+IF(A99=A74+'Summary'!$B$10*12,I74,0)+IF(A99=A75+'Summary'!$B$10*12,I75,0)+IF(A99=A76+'Summary'!$B$10*12,I76,0)+IF(A99=A77+'Summary'!$B$10*12,I77,0)+IF(A99=A78+'Summary'!$B$10*12,I78,0)+IF(A99=A79+'Summary'!$B$10*12,I79,0)+IF(A99=A80+'Summary'!$B$10*12,I80,0)+IF(A99=A81+'Summary'!$B$10*12,I81,0)+IF(A99=A82+'Summary'!$B$10*12,I82,0)+IF(A99=A83+'Summary'!$B$10*12,I83,0)+IF(A99=A84+'Summary'!$B$10*12,I84,0)+IF(A99=A85+'Summary'!$B$10*12,I85,0)+IF(A99=A86+'Summary'!$B$10*12,I86,0)+IF(A99=A87+'Summary'!$B$10*12,I87,0)+IF(A99=A88+'Summary'!$B$10*12,I88,0)+IF(A99=A89+'Summary'!$B$10*12,I89,0)+IF(A99=A90+'Summary'!$B$10*12,I90,0)+IF(A99=A91+'Summary'!$B$10*12,I91,0)+IF(A99=A92+'Summary'!$B$10*12,I92,0)+IF(A99=A93+'Summary'!$B$10*12,I93,0)+IF(A99=A94+'Summary'!$B$10*12,I94,0)+IF(A99=A95+'Summary'!$B$10*12,I95,0)+IF(A99=A96+'Summary'!$B$10*12,I96,0)+IF(A99=A97+'Summary'!$B$10*12,I97,0)+IF(A99=A98+'Summary'!$B$10*12,I98,0)</x:f>
        <x:v>109.65245492278108</x:v>
      </x:c>
      <x:c r="H99" s="62" t="n">
        <x:f>E99+D99+F99+G99</x:f>
        <x:v>241.49484808472653</x:v>
      </x:c>
      <x:c r="I99" s="62" t="n">
        <x:f>IF(B99,IF(H99&gt;='Summary'!$B$12,H99,0),0)</x:f>
        <x:v>241.49484808472653</x:v>
      </x:c>
      <x:c r="J99" s="62" t="n">
        <x:f>H99-I99</x:f>
        <x:v>0</x:v>
      </x:c>
      <x:c r="K99" s="63" t="n">
        <x:f>J99+IF(A8+'Summary'!$B$10*12&gt;A99,I8,0)+IF(A9+'Summary'!$B$10*12&gt;A99,I9,0)+IF(A10+'Summary'!$B$10*12&gt;A99,I10,0)+IF(A11+'Summary'!$B$10*12&gt;A99,I11,0)+IF(A12+'Summary'!$B$10*12&gt;A99,I12,0)+IF(A13+'Summary'!$B$10*12&gt;A99,I13,0)+IF(A14+'Summary'!$B$10*12&gt;A99,I14,0)+IF(A15+'Summary'!$B$10*12&gt;A99,I15,0)+IF(A16+'Summary'!$B$10*12&gt;A99,I16,0)+IF(A17+'Summary'!$B$10*12&gt;A99,I17,0)+IF(A18+'Summary'!$B$10*12&gt;A99,I18,0)+IF(A19+'Summary'!$B$10*12&gt;A99,I19,0)+IF(A20+'Summary'!$B$10*12&gt;A99,I20,0)+IF(A21+'Summary'!$B$10*12&gt;A99,I21,0)+IF(A22+'Summary'!$B$10*12&gt;A99,I22,0)+IF(A23+'Summary'!$B$10*12&gt;A99,I23,0)+IF(A24+'Summary'!$B$10*12&gt;A99,I24,0)+IF(A25+'Summary'!$B$10*12&gt;A99,I25,0)+IF(A26+'Summary'!$B$10*12&gt;A99,I26,0)+IF(A27+'Summary'!$B$10*12&gt;A99,I27,0)+IF(A28+'Summary'!$B$10*12&gt;A99,I28,0)+IF(A29+'Summary'!$B$10*12&gt;A99,I29,0)+IF(A30+'Summary'!$B$10*12&gt;A99,I30,0)+IF(A31+'Summary'!$B$10*12&gt;A99,I31,0)+IF(A32+'Summary'!$B$10*12&gt;A99,I32,0)+IF(A33+'Summary'!$B$10*12&gt;A99,I33,0)+IF(A34+'Summary'!$B$10*12&gt;A99,I34,0)+IF(A35+'Summary'!$B$10*12&gt;A99,I35,0)+IF(A36+'Summary'!$B$10*12&gt;A99,I36,0)+IF(A37+'Summary'!$B$10*12&gt;A99,I37,0)+IF(A38+'Summary'!$B$10*12&gt;A99,I38,0)+IF(A39+'Summary'!$B$10*12&gt;A99,I39,0)+IF(A40+'Summary'!$B$10*12&gt;A99,I40,0)+IF(A41+'Summary'!$B$10*12&gt;A99,I41,0)+IF(A42+'Summary'!$B$10*12&gt;A99,I42,0)+IF(A43+'Summary'!$B$10*12&gt;A99,I43,0)+IF(A44+'Summary'!$B$10*12&gt;A99,I44,0)+IF(A45+'Summary'!$B$10*12&gt;A99,I45,0)+IF(A46+'Summary'!$B$10*12&gt;A99,I46,0)+IF(A47+'Summary'!$B$10*12&gt;A99,I47,0)+IF(A48+'Summary'!$B$10*12&gt;A99,I48,0)+IF(A49+'Summary'!$B$10*12&gt;A99,I49,0)+IF(A50+'Summary'!$B$10*12&gt;A99,I50,0)+IF(A51+'Summary'!$B$10*12&gt;A99,I51,0)+IF(A52+'Summary'!$B$10*12&gt;A99,I52,0)+IF(A53+'Summary'!$B$10*12&gt;A99,I53,0)+IF(A54+'Summary'!$B$10*12&gt;A99,I54,0)+IF(A55+'Summary'!$B$10*12&gt;A99,I55,0)+IF(A56+'Summary'!$B$10*12&gt;A99,I56,0)+IF(A57+'Summary'!$B$10*12&gt;A99,I57,0)+IF(A58+'Summary'!$B$10*12&gt;A99,I58,0)+IF(A59+'Summary'!$B$10*12&gt;A99,I59,0)+IF(A60+'Summary'!$B$10*12&gt;A99,I60,0)+IF(A61+'Summary'!$B$10*12&gt;A99,I61,0)+IF(A62+'Summary'!$B$10*12&gt;A99,I62,0)+IF(A63+'Summary'!$B$10*12&gt;A99,I63,0)+IF(A64+'Summary'!$B$10*12&gt;A99,I64,0)+IF(A65+'Summary'!$B$10*12&gt;A99,I65,0)+IF(A66+'Summary'!$B$10*12&gt;A99,I66,0)+IF(A67+'Summary'!$B$10*12&gt;A99,I67,0)+IF(A68+'Summary'!$B$10*12&gt;A99,I68,0)+IF(A69+'Summary'!$B$10*12&gt;A99,I69,0)+IF(A70+'Summary'!$B$10*12&gt;A99,I70,0)+IF(A71+'Summary'!$B$10*12&gt;A99,I71,0)+IF(A72+'Summary'!$B$10*12&gt;A99,I72,0)+IF(A73+'Summary'!$B$10*12&gt;A99,I73,0)+IF(A74+'Summary'!$B$10*12&gt;A99,I74,0)+IF(A75+'Summary'!$B$10*12&gt;A99,I75,0)+IF(A76+'Summary'!$B$10*12&gt;A99,I76,0)+IF(A77+'Summary'!$B$10*12&gt;A99,I77,0)+IF(A78+'Summary'!$B$10*12&gt;A99,I78,0)+IF(A79+'Summary'!$B$10*12&gt;A99,I79,0)+IF(A80+'Summary'!$B$10*12&gt;A99,I80,0)+IF(A81+'Summary'!$B$10*12&gt;A99,I81,0)+IF(A82+'Summary'!$B$10*12&gt;A99,I82,0)+IF(A83+'Summary'!$B$10*12&gt;A99,I83,0)+IF(A84+'Summary'!$B$10*12&gt;A99,I84,0)+IF(A85+'Summary'!$B$10*12&gt;A99,I85,0)+IF(A86+'Summary'!$B$10*12&gt;A99,I86,0)+IF(A87+'Summary'!$B$10*12&gt;A99,I87,0)+IF(A88+'Summary'!$B$10*12&gt;A99,I88,0)+IF(A89+'Summary'!$B$10*12&gt;A99,I89,0)+IF(A90+'Summary'!$B$10*12&gt;A99,I90,0)+IF(A91+'Summary'!$B$10*12&gt;A99,I91,0)+IF(A92+'Summary'!$B$10*12&gt;A99,I92,0)+IF(A93+'Summary'!$B$10*12&gt;A99,I93,0)+IF(A94+'Summary'!$B$10*12&gt;A99,I94,0)+IF(A95+'Summary'!$B$10*12&gt;A99,I95,0)+IF(A96+'Summary'!$B$10*12&gt;A99,I96,0)+IF(A97+'Summary'!$B$10*12&gt;A99,I97,0)+IF(A98+'Summary'!$B$10*12&gt;A99,I98,0)+IF(A99+'Summary'!$B$10*12&gt;A99,I99,0)</x:f>
        <x:v>23719.663832178256</x:v>
      </x:c>
    </x:row>
    <x:row r="100">
      <x:c r="A100" s="55" t="n">
        <x:v>92</x:v>
      </x:c>
      <x:c r="B100" s="71" t="b">
        <x:f>A100&lt;='Summary'!$B$9*12</x:f>
        <x:v>1</x:v>
      </x:c>
      <x:c r="C100" s="62" t="n">
        <x:f>IF(A100=0,IF('Summary'!$B$6&gt;=5,'Summary'!$B$6,0),C99)+IF(A100&lt;'Summary'!$B$9*12,IF('Summary'!$B$7&gt;=5,'Summary'!$B$7,0),0)</x:f>
        <x:v>19300</x:v>
      </x:c>
      <x:c r="D100" s="62" t="n">
        <x:f>IF(A100=0,IF('Summary'!$B$6&gt;=5,'Summary'!$B$6,0),0)+IF(A100&lt;'Summary'!$B$9*12,IF('Summary'!$B$7&gt;=5,'Summary'!$B$7,0),0)</x:f>
        <x:v>100</x:v>
      </x:c>
      <x:c r="E100" s="62" t="n">
        <x:f>J99</x:f>
        <x:v>0</x:v>
      </x:c>
      <x:c r="F100" s="62" t="n">
        <x:f>(IF(AND(A100&gt;A8,A100&lt;=A8+'Summary'!$B$10*12,MOD(A100-A8,'Summary'!$B$11)=0),I8,0)+IF(AND(A100&gt;A9,A100&lt;=A9+'Summary'!$B$10*12,MOD(A100-A9,'Summary'!$B$11)=0),I9,0)+IF(AND(A100&gt;A10,A100&lt;=A10+'Summary'!$B$10*12,MOD(A100-A10,'Summary'!$B$11)=0),I10,0)+IF(AND(A100&gt;A11,A100&lt;=A11+'Summary'!$B$10*12,MOD(A100-A11,'Summary'!$B$11)=0),I11,0)+IF(AND(A100&gt;A12,A100&lt;=A12+'Summary'!$B$10*12,MOD(A100-A12,'Summary'!$B$11)=0),I12,0)+IF(AND(A100&gt;A13,A100&lt;=A13+'Summary'!$B$10*12,MOD(A100-A13,'Summary'!$B$11)=0),I13,0)+IF(AND(A100&gt;A14,A100&lt;=A14+'Summary'!$B$10*12,MOD(A100-A14,'Summary'!$B$11)=0),I14,0)+IF(AND(A100&gt;A15,A100&lt;=A15+'Summary'!$B$10*12,MOD(A100-A15,'Summary'!$B$11)=0),I15,0)+IF(AND(A100&gt;A16,A100&lt;=A16+'Summary'!$B$10*12,MOD(A100-A16,'Summary'!$B$11)=0),I16,0)+IF(AND(A100&gt;A17,A100&lt;=A17+'Summary'!$B$10*12,MOD(A100-A17,'Summary'!$B$11)=0),I17,0)+IF(AND(A100&gt;A18,A100&lt;=A18+'Summary'!$B$10*12,MOD(A100-A18,'Summary'!$B$11)=0),I18,0)+IF(AND(A100&gt;A19,A100&lt;=A19+'Summary'!$B$10*12,MOD(A100-A19,'Summary'!$B$11)=0),I19,0)+IF(AND(A100&gt;A20,A100&lt;=A20+'Summary'!$B$10*12,MOD(A100-A20,'Summary'!$B$11)=0),I20,0)+IF(AND(A100&gt;A21,A100&lt;=A21+'Summary'!$B$10*12,MOD(A100-A21,'Summary'!$B$11)=0),I21,0)+IF(AND(A100&gt;A22,A100&lt;=A22+'Summary'!$B$10*12,MOD(A100-A22,'Summary'!$B$11)=0),I22,0)+IF(AND(A100&gt;A23,A100&lt;=A23+'Summary'!$B$10*12,MOD(A100-A23,'Summary'!$B$11)=0),I23,0)+IF(AND(A100&gt;A24,A100&lt;=A24+'Summary'!$B$10*12,MOD(A100-A24,'Summary'!$B$11)=0),I24,0)+IF(AND(A100&gt;A25,A100&lt;=A25+'Summary'!$B$10*12,MOD(A100-A25,'Summary'!$B$11)=0),I25,0)+IF(AND(A100&gt;A26,A100&lt;=A26+'Summary'!$B$10*12,MOD(A100-A26,'Summary'!$B$11)=0),I26,0)+IF(AND(A100&gt;A27,A100&lt;=A27+'Summary'!$B$10*12,MOD(A100-A27,'Summary'!$B$11)=0),I27,0)+IF(AND(A100&gt;A28,A100&lt;=A28+'Summary'!$B$10*12,MOD(A100-A28,'Summary'!$B$11)=0),I28,0)+IF(AND(A100&gt;A29,A100&lt;=A29+'Summary'!$B$10*12,MOD(A100-A29,'Summary'!$B$11)=0),I29,0)+IF(AND(A100&gt;A30,A100&lt;=A30+'Summary'!$B$10*12,MOD(A100-A30,'Summary'!$B$11)=0),I30,0)+IF(AND(A100&gt;A31,A100&lt;=A31+'Summary'!$B$10*12,MOD(A100-A31,'Summary'!$B$11)=0),I31,0)+IF(AND(A100&gt;A32,A100&lt;=A32+'Summary'!$B$10*12,MOD(A100-A32,'Summary'!$B$11)=0),I32,0)+IF(AND(A100&gt;A33,A100&lt;=A33+'Summary'!$B$10*12,MOD(A100-A33,'Summary'!$B$11)=0),I33,0)+IF(AND(A100&gt;A34,A100&lt;=A34+'Summary'!$B$10*12,MOD(A100-A34,'Summary'!$B$11)=0),I34,0)+IF(AND(A100&gt;A35,A100&lt;=A35+'Summary'!$B$10*12,MOD(A100-A35,'Summary'!$B$11)=0),I35,0)+IF(AND(A100&gt;A36,A100&lt;=A36+'Summary'!$B$10*12,MOD(A100-A36,'Summary'!$B$11)=0),I36,0)+IF(AND(A100&gt;A37,A100&lt;=A37+'Summary'!$B$10*12,MOD(A100-A37,'Summary'!$B$11)=0),I37,0)+IF(AND(A100&gt;A38,A100&lt;=A38+'Summary'!$B$10*12,MOD(A100-A38,'Summary'!$B$11)=0),I38,0)+IF(AND(A100&gt;A39,A100&lt;=A39+'Summary'!$B$10*12,MOD(A100-A39,'Summary'!$B$11)=0),I39,0)+IF(AND(A100&gt;A40,A100&lt;=A40+'Summary'!$B$10*12,MOD(A100-A40,'Summary'!$B$11)=0),I40,0)+IF(AND(A100&gt;A41,A100&lt;=A41+'Summary'!$B$10*12,MOD(A100-A41,'Summary'!$B$11)=0),I41,0)+IF(AND(A100&gt;A42,A100&lt;=A42+'Summary'!$B$10*12,MOD(A100-A42,'Summary'!$B$11)=0),I42,0)+IF(AND(A100&gt;A43,A100&lt;=A43+'Summary'!$B$10*12,MOD(A100-A43,'Summary'!$B$11)=0),I43,0)+IF(AND(A100&gt;A44,A100&lt;=A44+'Summary'!$B$10*12,MOD(A100-A44,'Summary'!$B$11)=0),I44,0)+IF(AND(A100&gt;A45,A100&lt;=A45+'Summary'!$B$10*12,MOD(A100-A45,'Summary'!$B$11)=0),I45,0)+IF(AND(A100&gt;A46,A100&lt;=A46+'Summary'!$B$10*12,MOD(A100-A46,'Summary'!$B$11)=0),I46,0)+IF(AND(A100&gt;A47,A100&lt;=A47+'Summary'!$B$10*12,MOD(A100-A47,'Summary'!$B$11)=0),I47,0)+IF(AND(A100&gt;A48,A100&lt;=A48+'Summary'!$B$10*12,MOD(A100-A48,'Summary'!$B$11)=0),I48,0)+IF(AND(A100&gt;A49,A100&lt;=A49+'Summary'!$B$10*12,MOD(A100-A49,'Summary'!$B$11)=0),I49,0)+IF(AND(A100&gt;A50,A100&lt;=A50+'Summary'!$B$10*12,MOD(A100-A50,'Summary'!$B$11)=0),I50,0)+IF(AND(A100&gt;A51,A100&lt;=A51+'Summary'!$B$10*12,MOD(A100-A51,'Summary'!$B$11)=0),I51,0)+IF(AND(A100&gt;A52,A100&lt;=A52+'Summary'!$B$10*12,MOD(A100-A52,'Summary'!$B$11)=0),I52,0)+IF(AND(A100&gt;A53,A100&lt;=A53+'Summary'!$B$10*12,MOD(A100-A53,'Summary'!$B$11)=0),I53,0)+IF(AND(A100&gt;A54,A100&lt;=A54+'Summary'!$B$10*12,MOD(A100-A54,'Summary'!$B$11)=0),I54,0)+IF(AND(A100&gt;A55,A100&lt;=A55+'Summary'!$B$10*12,MOD(A100-A55,'Summary'!$B$11)=0),I55,0)+IF(AND(A100&gt;A56,A100&lt;=A56+'Summary'!$B$10*12,MOD(A100-A56,'Summary'!$B$11)=0),I56,0)+IF(AND(A100&gt;A57,A100&lt;=A57+'Summary'!$B$10*12,MOD(A100-A57,'Summary'!$B$11)=0),I57,0)+IF(AND(A100&gt;A58,A100&lt;=A58+'Summary'!$B$10*12,MOD(A100-A58,'Summary'!$B$11)=0),I58,0)+IF(AND(A100&gt;A59,A100&lt;=A59+'Summary'!$B$10*12,MOD(A100-A59,'Summary'!$B$11)=0),I59,0)+IF(AND(A100&gt;A60,A100&lt;=A60+'Summary'!$B$10*12,MOD(A100-A60,'Summary'!$B$11)=0),I60,0)+IF(AND(A100&gt;A61,A100&lt;=A61+'Summary'!$B$10*12,MOD(A100-A61,'Summary'!$B$11)=0),I61,0)+IF(AND(A100&gt;A62,A100&lt;=A62+'Summary'!$B$10*12,MOD(A100-A62,'Summary'!$B$11)=0),I62,0)+IF(AND(A100&gt;A63,A100&lt;=A63+'Summary'!$B$10*12,MOD(A100-A63,'Summary'!$B$11)=0),I63,0)+IF(AND(A100&gt;A64,A100&lt;=A64+'Summary'!$B$10*12,MOD(A100-A64,'Summary'!$B$11)=0),I64,0)+IF(AND(A100&gt;A65,A100&lt;=A65+'Summary'!$B$10*12,MOD(A100-A65,'Summary'!$B$11)=0),I65,0)+IF(AND(A100&gt;A66,A100&lt;=A66+'Summary'!$B$10*12,MOD(A100-A66,'Summary'!$B$11)=0),I66,0)+IF(AND(A100&gt;A67,A100&lt;=A67+'Summary'!$B$10*12,MOD(A100-A67,'Summary'!$B$11)=0),I67,0)+IF(AND(A100&gt;A68,A100&lt;=A68+'Summary'!$B$10*12,MOD(A100-A68,'Summary'!$B$11)=0),I68,0)+IF(AND(A100&gt;A69,A100&lt;=A69+'Summary'!$B$10*12,MOD(A100-A69,'Summary'!$B$11)=0),I69,0)+IF(AND(A100&gt;A70,A100&lt;=A70+'Summary'!$B$10*12,MOD(A100-A70,'Summary'!$B$11)=0),I70,0)+IF(AND(A100&gt;A71,A100&lt;=A71+'Summary'!$B$10*12,MOD(A100-A71,'Summary'!$B$11)=0),I71,0)+IF(AND(A100&gt;A72,A100&lt;=A72+'Summary'!$B$10*12,MOD(A100-A72,'Summary'!$B$11)=0),I72,0)+IF(AND(A100&gt;A73,A100&lt;=A73+'Summary'!$B$10*12,MOD(A100-A73,'Summary'!$B$11)=0),I73,0)+IF(AND(A100&gt;A74,A100&lt;=A74+'Summary'!$B$10*12,MOD(A100-A74,'Summary'!$B$11)=0),I74,0)+IF(AND(A100&gt;A75,A100&lt;=A75+'Summary'!$B$10*12,MOD(A100-A75,'Summary'!$B$11)=0),I75,0)+IF(AND(A100&gt;A76,A100&lt;=A76+'Summary'!$B$10*12,MOD(A100-A76,'Summary'!$B$11)=0),I76,0)+IF(AND(A100&gt;A77,A100&lt;=A77+'Summary'!$B$10*12,MOD(A100-A77,'Summary'!$B$11)=0),I77,0)+IF(AND(A100&gt;A78,A100&lt;=A78+'Summary'!$B$10*12,MOD(A100-A78,'Summary'!$B$11)=0),I78,0)+IF(AND(A100&gt;A79,A100&lt;=A79+'Summary'!$B$10*12,MOD(A100-A79,'Summary'!$B$11)=0),I79,0)+IF(AND(A100&gt;A80,A100&lt;=A80+'Summary'!$B$10*12,MOD(A100-A80,'Summary'!$B$11)=0),I80,0)+IF(AND(A100&gt;A81,A100&lt;=A81+'Summary'!$B$10*12,MOD(A100-A81,'Summary'!$B$11)=0),I81,0)+IF(AND(A100&gt;A82,A100&lt;=A82+'Summary'!$B$10*12,MOD(A100-A82,'Summary'!$B$11)=0),I82,0)+IF(AND(A100&gt;A83,A100&lt;=A83+'Summary'!$B$10*12,MOD(A100-A83,'Summary'!$B$11)=0),I83,0)+IF(AND(A100&gt;A84,A100&lt;=A84+'Summary'!$B$10*12,MOD(A100-A84,'Summary'!$B$11)=0),I84,0)+IF(AND(A100&gt;A85,A100&lt;=A85+'Summary'!$B$10*12,MOD(A100-A85,'Summary'!$B$11)=0),I85,0)+IF(AND(A100&gt;A86,A100&lt;=A86+'Summary'!$B$10*12,MOD(A100-A86,'Summary'!$B$11)=0),I86,0)+IF(AND(A100&gt;A87,A100&lt;=A87+'Summary'!$B$10*12,MOD(A100-A87,'Summary'!$B$11)=0),I87,0)+IF(AND(A100&gt;A88,A100&lt;=A88+'Summary'!$B$10*12,MOD(A100-A88,'Summary'!$B$11)=0),I88,0)+IF(AND(A100&gt;A89,A100&lt;=A89+'Summary'!$B$10*12,MOD(A100-A89,'Summary'!$B$11)=0),I89,0)+IF(AND(A100&gt;A90,A100&lt;=A90+'Summary'!$B$10*12,MOD(A100-A90,'Summary'!$B$11)=0),I90,0)+IF(AND(A100&gt;A91,A100&lt;=A91+'Summary'!$B$10*12,MOD(A100-A91,'Summary'!$B$11)=0),I91,0)+IF(AND(A100&gt;A92,A100&lt;=A92+'Summary'!$B$10*12,MOD(A100-A92,'Summary'!$B$11)=0),I92,0)+IF(AND(A100&gt;A93,A100&lt;=A93+'Summary'!$B$10*12,MOD(A100-A93,'Summary'!$B$11)=0),I93,0)+IF(AND(A100&gt;A94,A100&lt;=A94+'Summary'!$B$10*12,MOD(A100-A94,'Summary'!$B$11)=0),I94,0)+IF(AND(A100&gt;A95,A100&lt;=A95+'Summary'!$B$10*12,MOD(A100-A95,'Summary'!$B$11)=0),I95,0)+IF(AND(A100&gt;A96,A100&lt;=A96+'Summary'!$B$10*12,MOD(A100-A96,'Summary'!$B$11)=0),I96,0)+IF(AND(A100&gt;A97,A100&lt;=A97+'Summary'!$B$10*12,MOD(A100-A97,'Summary'!$B$11)=0),I97,0)+IF(AND(A100&gt;A98,A100&lt;=A98+'Summary'!$B$10*12,MOD(A100-A98,'Summary'!$B$11)=0),I98,0)+IF(AND(A100&gt;A99,A100&lt;=A99+'Summary'!$B$10*12,MOD(A100-A99,'Summary'!$B$11)=0),I99,0))*'Summary'!$B$8/2</x:f>
        <x:v>31.842393161945477</x:v>
      </x:c>
      <x:c r="G100" s="62" t="n">
        <x:f>IF(A100=A8+'Summary'!$B$10*12,I8,0)+IF(A100=A9+'Summary'!$B$10*12,I9,0)+IF(A100=A10+'Summary'!$B$10*12,I10,0)+IF(A100=A11+'Summary'!$B$10*12,I11,0)+IF(A100=A12+'Summary'!$B$10*12,I12,0)+IF(A100=A13+'Summary'!$B$10*12,I13,0)+IF(A100=A14+'Summary'!$B$10*12,I14,0)+IF(A100=A15+'Summary'!$B$10*12,I15,0)+IF(A100=A16+'Summary'!$B$10*12,I16,0)+IF(A100=A17+'Summary'!$B$10*12,I17,0)+IF(A100=A18+'Summary'!$B$10*12,I18,0)+IF(A100=A19+'Summary'!$B$10*12,I19,0)+IF(A100=A20+'Summary'!$B$10*12,I20,0)+IF(A100=A21+'Summary'!$B$10*12,I21,0)+IF(A100=A22+'Summary'!$B$10*12,I22,0)+IF(A100=A23+'Summary'!$B$10*12,I23,0)+IF(A100=A24+'Summary'!$B$10*12,I24,0)+IF(A100=A25+'Summary'!$B$10*12,I25,0)+IF(A100=A26+'Summary'!$B$10*12,I26,0)+IF(A100=A27+'Summary'!$B$10*12,I27,0)+IF(A100=A28+'Summary'!$B$10*12,I28,0)+IF(A100=A29+'Summary'!$B$10*12,I29,0)+IF(A100=A30+'Summary'!$B$10*12,I30,0)+IF(A100=A31+'Summary'!$B$10*12,I31,0)+IF(A100=A32+'Summary'!$B$10*12,I32,0)+IF(A100=A33+'Summary'!$B$10*12,I33,0)+IF(A100=A34+'Summary'!$B$10*12,I34,0)+IF(A100=A35+'Summary'!$B$10*12,I35,0)+IF(A100=A36+'Summary'!$B$10*12,I36,0)+IF(A100=A37+'Summary'!$B$10*12,I37,0)+IF(A100=A38+'Summary'!$B$10*12,I38,0)+IF(A100=A39+'Summary'!$B$10*12,I39,0)+IF(A100=A40+'Summary'!$B$10*12,I40,0)+IF(A100=A41+'Summary'!$B$10*12,I41,0)+IF(A100=A42+'Summary'!$B$10*12,I42,0)+IF(A100=A43+'Summary'!$B$10*12,I43,0)+IF(A100=A44+'Summary'!$B$10*12,I44,0)+IF(A100=A45+'Summary'!$B$10*12,I45,0)+IF(A100=A46+'Summary'!$B$10*12,I46,0)+IF(A100=A47+'Summary'!$B$10*12,I47,0)+IF(A100=A48+'Summary'!$B$10*12,I48,0)+IF(A100=A49+'Summary'!$B$10*12,I49,0)+IF(A100=A50+'Summary'!$B$10*12,I50,0)+IF(A100=A51+'Summary'!$B$10*12,I51,0)+IF(A100=A52+'Summary'!$B$10*12,I52,0)+IF(A100=A53+'Summary'!$B$10*12,I53,0)+IF(A100=A54+'Summary'!$B$10*12,I54,0)+IF(A100=A55+'Summary'!$B$10*12,I55,0)+IF(A100=A56+'Summary'!$B$10*12,I56,0)+IF(A100=A57+'Summary'!$B$10*12,I57,0)+IF(A100=A58+'Summary'!$B$10*12,I58,0)+IF(A100=A59+'Summary'!$B$10*12,I59,0)+IF(A100=A60+'Summary'!$B$10*12,I60,0)+IF(A100=A61+'Summary'!$B$10*12,I61,0)+IF(A100=A62+'Summary'!$B$10*12,I62,0)+IF(A100=A63+'Summary'!$B$10*12,I63,0)+IF(A100=A64+'Summary'!$B$10*12,I64,0)+IF(A100=A65+'Summary'!$B$10*12,I65,0)+IF(A100=A66+'Summary'!$B$10*12,I66,0)+IF(A100=A67+'Summary'!$B$10*12,I67,0)+IF(A100=A68+'Summary'!$B$10*12,I68,0)+IF(A100=A69+'Summary'!$B$10*12,I69,0)+IF(A100=A70+'Summary'!$B$10*12,I70,0)+IF(A100=A71+'Summary'!$B$10*12,I71,0)+IF(A100=A72+'Summary'!$B$10*12,I72,0)+IF(A100=A73+'Summary'!$B$10*12,I73,0)+IF(A100=A74+'Summary'!$B$10*12,I74,0)+IF(A100=A75+'Summary'!$B$10*12,I75,0)+IF(A100=A76+'Summary'!$B$10*12,I76,0)+IF(A100=A77+'Summary'!$B$10*12,I77,0)+IF(A100=A78+'Summary'!$B$10*12,I78,0)+IF(A100=A79+'Summary'!$B$10*12,I79,0)+IF(A100=A80+'Summary'!$B$10*12,I80,0)+IF(A100=A81+'Summary'!$B$10*12,I81,0)+IF(A100=A82+'Summary'!$B$10*12,I82,0)+IF(A100=A83+'Summary'!$B$10*12,I83,0)+IF(A100=A84+'Summary'!$B$10*12,I84,0)+IF(A100=A85+'Summary'!$B$10*12,I85,0)+IF(A100=A86+'Summary'!$B$10*12,I86,0)+IF(A100=A87+'Summary'!$B$10*12,I87,0)+IF(A100=A88+'Summary'!$B$10*12,I88,0)+IF(A100=A89+'Summary'!$B$10*12,I89,0)+IF(A100=A90+'Summary'!$B$10*12,I90,0)+IF(A100=A91+'Summary'!$B$10*12,I91,0)+IF(A100=A92+'Summary'!$B$10*12,I92,0)+IF(A100=A93+'Summary'!$B$10*12,I93,0)+IF(A100=A94+'Summary'!$B$10*12,I94,0)+IF(A100=A95+'Summary'!$B$10*12,I95,0)+IF(A100=A96+'Summary'!$B$10*12,I96,0)+IF(A100=A97+'Summary'!$B$10*12,I97,0)+IF(A100=A98+'Summary'!$B$10*12,I98,0)+IF(A100=A99+'Summary'!$B$10*12,I99,0)</x:f>
        <x:v>109.65245492278108</x:v>
      </x:c>
      <x:c r="H100" s="62" t="n">
        <x:f>E100+D100+F100+G100</x:f>
        <x:v>241.49484808472653</x:v>
      </x:c>
      <x:c r="I100" s="62" t="n">
        <x:f>IF(B100,IF(H100&gt;='Summary'!$B$12,H100,0),0)</x:f>
        <x:v>241.49484808472653</x:v>
      </x:c>
      <x:c r="J100" s="62" t="n">
        <x:f>H100-I100</x:f>
        <x:v>0</x:v>
      </x:c>
      <x:c r="K100" s="63" t="n">
        <x:f>J100+IF(A8+'Summary'!$B$10*12&gt;A100,I8,0)+IF(A9+'Summary'!$B$10*12&gt;A100,I9,0)+IF(A10+'Summary'!$B$10*12&gt;A100,I10,0)+IF(A11+'Summary'!$B$10*12&gt;A100,I11,0)+IF(A12+'Summary'!$B$10*12&gt;A100,I12,0)+IF(A13+'Summary'!$B$10*12&gt;A100,I13,0)+IF(A14+'Summary'!$B$10*12&gt;A100,I14,0)+IF(A15+'Summary'!$B$10*12&gt;A100,I15,0)+IF(A16+'Summary'!$B$10*12&gt;A100,I16,0)+IF(A17+'Summary'!$B$10*12&gt;A100,I17,0)+IF(A18+'Summary'!$B$10*12&gt;A100,I18,0)+IF(A19+'Summary'!$B$10*12&gt;A100,I19,0)+IF(A20+'Summary'!$B$10*12&gt;A100,I20,0)+IF(A21+'Summary'!$B$10*12&gt;A100,I21,0)+IF(A22+'Summary'!$B$10*12&gt;A100,I22,0)+IF(A23+'Summary'!$B$10*12&gt;A100,I23,0)+IF(A24+'Summary'!$B$10*12&gt;A100,I24,0)+IF(A25+'Summary'!$B$10*12&gt;A100,I25,0)+IF(A26+'Summary'!$B$10*12&gt;A100,I26,0)+IF(A27+'Summary'!$B$10*12&gt;A100,I27,0)+IF(A28+'Summary'!$B$10*12&gt;A100,I28,0)+IF(A29+'Summary'!$B$10*12&gt;A100,I29,0)+IF(A30+'Summary'!$B$10*12&gt;A100,I30,0)+IF(A31+'Summary'!$B$10*12&gt;A100,I31,0)+IF(A32+'Summary'!$B$10*12&gt;A100,I32,0)+IF(A33+'Summary'!$B$10*12&gt;A100,I33,0)+IF(A34+'Summary'!$B$10*12&gt;A100,I34,0)+IF(A35+'Summary'!$B$10*12&gt;A100,I35,0)+IF(A36+'Summary'!$B$10*12&gt;A100,I36,0)+IF(A37+'Summary'!$B$10*12&gt;A100,I37,0)+IF(A38+'Summary'!$B$10*12&gt;A100,I38,0)+IF(A39+'Summary'!$B$10*12&gt;A100,I39,0)+IF(A40+'Summary'!$B$10*12&gt;A100,I40,0)+IF(A41+'Summary'!$B$10*12&gt;A100,I41,0)+IF(A42+'Summary'!$B$10*12&gt;A100,I42,0)+IF(A43+'Summary'!$B$10*12&gt;A100,I43,0)+IF(A44+'Summary'!$B$10*12&gt;A100,I44,0)+IF(A45+'Summary'!$B$10*12&gt;A100,I45,0)+IF(A46+'Summary'!$B$10*12&gt;A100,I46,0)+IF(A47+'Summary'!$B$10*12&gt;A100,I47,0)+IF(A48+'Summary'!$B$10*12&gt;A100,I48,0)+IF(A49+'Summary'!$B$10*12&gt;A100,I49,0)+IF(A50+'Summary'!$B$10*12&gt;A100,I50,0)+IF(A51+'Summary'!$B$10*12&gt;A100,I51,0)+IF(A52+'Summary'!$B$10*12&gt;A100,I52,0)+IF(A53+'Summary'!$B$10*12&gt;A100,I53,0)+IF(A54+'Summary'!$B$10*12&gt;A100,I54,0)+IF(A55+'Summary'!$B$10*12&gt;A100,I55,0)+IF(A56+'Summary'!$B$10*12&gt;A100,I56,0)+IF(A57+'Summary'!$B$10*12&gt;A100,I57,0)+IF(A58+'Summary'!$B$10*12&gt;A100,I58,0)+IF(A59+'Summary'!$B$10*12&gt;A100,I59,0)+IF(A60+'Summary'!$B$10*12&gt;A100,I60,0)+IF(A61+'Summary'!$B$10*12&gt;A100,I61,0)+IF(A62+'Summary'!$B$10*12&gt;A100,I62,0)+IF(A63+'Summary'!$B$10*12&gt;A100,I63,0)+IF(A64+'Summary'!$B$10*12&gt;A100,I64,0)+IF(A65+'Summary'!$B$10*12&gt;A100,I65,0)+IF(A66+'Summary'!$B$10*12&gt;A100,I66,0)+IF(A67+'Summary'!$B$10*12&gt;A100,I67,0)+IF(A68+'Summary'!$B$10*12&gt;A100,I68,0)+IF(A69+'Summary'!$B$10*12&gt;A100,I69,0)+IF(A70+'Summary'!$B$10*12&gt;A100,I70,0)+IF(A71+'Summary'!$B$10*12&gt;A100,I71,0)+IF(A72+'Summary'!$B$10*12&gt;A100,I72,0)+IF(A73+'Summary'!$B$10*12&gt;A100,I73,0)+IF(A74+'Summary'!$B$10*12&gt;A100,I74,0)+IF(A75+'Summary'!$B$10*12&gt;A100,I75,0)+IF(A76+'Summary'!$B$10*12&gt;A100,I76,0)+IF(A77+'Summary'!$B$10*12&gt;A100,I77,0)+IF(A78+'Summary'!$B$10*12&gt;A100,I78,0)+IF(A79+'Summary'!$B$10*12&gt;A100,I79,0)+IF(A80+'Summary'!$B$10*12&gt;A100,I80,0)+IF(A81+'Summary'!$B$10*12&gt;A100,I81,0)+IF(A82+'Summary'!$B$10*12&gt;A100,I82,0)+IF(A83+'Summary'!$B$10*12&gt;A100,I83,0)+IF(A84+'Summary'!$B$10*12&gt;A100,I84,0)+IF(A85+'Summary'!$B$10*12&gt;A100,I85,0)+IF(A86+'Summary'!$B$10*12&gt;A100,I86,0)+IF(A87+'Summary'!$B$10*12&gt;A100,I87,0)+IF(A88+'Summary'!$B$10*12&gt;A100,I88,0)+IF(A89+'Summary'!$B$10*12&gt;A100,I89,0)+IF(A90+'Summary'!$B$10*12&gt;A100,I90,0)+IF(A91+'Summary'!$B$10*12&gt;A100,I91,0)+IF(A92+'Summary'!$B$10*12&gt;A100,I92,0)+IF(A93+'Summary'!$B$10*12&gt;A100,I93,0)+IF(A94+'Summary'!$B$10*12&gt;A100,I94,0)+IF(A95+'Summary'!$B$10*12&gt;A100,I95,0)+IF(A96+'Summary'!$B$10*12&gt;A100,I96,0)+IF(A97+'Summary'!$B$10*12&gt;A100,I97,0)+IF(A98+'Summary'!$B$10*12&gt;A100,I98,0)+IF(A99+'Summary'!$B$10*12&gt;A100,I99,0)+IF(A100+'Summary'!$B$10*12&gt;A100,I100,0)</x:f>
        <x:v>23851.506225340203</x:v>
      </x:c>
    </x:row>
    <x:row r="101">
      <x:c r="A101" s="55" t="n">
        <x:v>93</x:v>
      </x:c>
      <x:c r="B101" s="71" t="b">
        <x:f>A101&lt;='Summary'!$B$9*12</x:f>
        <x:v>1</x:v>
      </x:c>
      <x:c r="C101" s="62" t="n">
        <x:f>IF(A101=0,IF('Summary'!$B$6&gt;=5,'Summary'!$B$6,0),C100)+IF(A101&lt;'Summary'!$B$9*12,IF('Summary'!$B$7&gt;=5,'Summary'!$B$7,0),0)</x:f>
        <x:v>19400</x:v>
      </x:c>
      <x:c r="D101" s="62" t="n">
        <x:f>IF(A101=0,IF('Summary'!$B$6&gt;=5,'Summary'!$B$6,0),0)+IF(A101&lt;'Summary'!$B$9*12,IF('Summary'!$B$7&gt;=5,'Summary'!$B$7,0),0)</x:f>
        <x:v>100</x:v>
      </x:c>
      <x:c r="E101" s="62" t="n">
        <x:f>J100</x:f>
        <x:v>0</x:v>
      </x:c>
      <x:c r="F101" s="62" t="n">
        <x:f>(IF(AND(A101&gt;A8,A101&lt;=A8+'Summary'!$B$10*12,MOD(A101-A8,'Summary'!$B$11)=0),I8,0)+IF(AND(A101&gt;A9,A101&lt;=A9+'Summary'!$B$10*12,MOD(A101-A9,'Summary'!$B$11)=0),I9,0)+IF(AND(A101&gt;A10,A101&lt;=A10+'Summary'!$B$10*12,MOD(A101-A10,'Summary'!$B$11)=0),I10,0)+IF(AND(A101&gt;A11,A101&lt;=A11+'Summary'!$B$10*12,MOD(A101-A11,'Summary'!$B$11)=0),I11,0)+IF(AND(A101&gt;A12,A101&lt;=A12+'Summary'!$B$10*12,MOD(A101-A12,'Summary'!$B$11)=0),I12,0)+IF(AND(A101&gt;A13,A101&lt;=A13+'Summary'!$B$10*12,MOD(A101-A13,'Summary'!$B$11)=0),I13,0)+IF(AND(A101&gt;A14,A101&lt;=A14+'Summary'!$B$10*12,MOD(A101-A14,'Summary'!$B$11)=0),I14,0)+IF(AND(A101&gt;A15,A101&lt;=A15+'Summary'!$B$10*12,MOD(A101-A15,'Summary'!$B$11)=0),I15,0)+IF(AND(A101&gt;A16,A101&lt;=A16+'Summary'!$B$10*12,MOD(A101-A16,'Summary'!$B$11)=0),I16,0)+IF(AND(A101&gt;A17,A101&lt;=A17+'Summary'!$B$10*12,MOD(A101-A17,'Summary'!$B$11)=0),I17,0)+IF(AND(A101&gt;A18,A101&lt;=A18+'Summary'!$B$10*12,MOD(A101-A18,'Summary'!$B$11)=0),I18,0)+IF(AND(A101&gt;A19,A101&lt;=A19+'Summary'!$B$10*12,MOD(A101-A19,'Summary'!$B$11)=0),I19,0)+IF(AND(A101&gt;A20,A101&lt;=A20+'Summary'!$B$10*12,MOD(A101-A20,'Summary'!$B$11)=0),I20,0)+IF(AND(A101&gt;A21,A101&lt;=A21+'Summary'!$B$10*12,MOD(A101-A21,'Summary'!$B$11)=0),I21,0)+IF(AND(A101&gt;A22,A101&lt;=A22+'Summary'!$B$10*12,MOD(A101-A22,'Summary'!$B$11)=0),I22,0)+IF(AND(A101&gt;A23,A101&lt;=A23+'Summary'!$B$10*12,MOD(A101-A23,'Summary'!$B$11)=0),I23,0)+IF(AND(A101&gt;A24,A101&lt;=A24+'Summary'!$B$10*12,MOD(A101-A24,'Summary'!$B$11)=0),I24,0)+IF(AND(A101&gt;A25,A101&lt;=A25+'Summary'!$B$10*12,MOD(A101-A25,'Summary'!$B$11)=0),I25,0)+IF(AND(A101&gt;A26,A101&lt;=A26+'Summary'!$B$10*12,MOD(A101-A26,'Summary'!$B$11)=0),I26,0)+IF(AND(A101&gt;A27,A101&lt;=A27+'Summary'!$B$10*12,MOD(A101-A27,'Summary'!$B$11)=0),I27,0)+IF(AND(A101&gt;A28,A101&lt;=A28+'Summary'!$B$10*12,MOD(A101-A28,'Summary'!$B$11)=0),I28,0)+IF(AND(A101&gt;A29,A101&lt;=A29+'Summary'!$B$10*12,MOD(A101-A29,'Summary'!$B$11)=0),I29,0)+IF(AND(A101&gt;A30,A101&lt;=A30+'Summary'!$B$10*12,MOD(A101-A30,'Summary'!$B$11)=0),I30,0)+IF(AND(A101&gt;A31,A101&lt;=A31+'Summary'!$B$10*12,MOD(A101-A31,'Summary'!$B$11)=0),I31,0)+IF(AND(A101&gt;A32,A101&lt;=A32+'Summary'!$B$10*12,MOD(A101-A32,'Summary'!$B$11)=0),I32,0)+IF(AND(A101&gt;A33,A101&lt;=A33+'Summary'!$B$10*12,MOD(A101-A33,'Summary'!$B$11)=0),I33,0)+IF(AND(A101&gt;A34,A101&lt;=A34+'Summary'!$B$10*12,MOD(A101-A34,'Summary'!$B$11)=0),I34,0)+IF(AND(A101&gt;A35,A101&lt;=A35+'Summary'!$B$10*12,MOD(A101-A35,'Summary'!$B$11)=0),I35,0)+IF(AND(A101&gt;A36,A101&lt;=A36+'Summary'!$B$10*12,MOD(A101-A36,'Summary'!$B$11)=0),I36,0)+IF(AND(A101&gt;A37,A101&lt;=A37+'Summary'!$B$10*12,MOD(A101-A37,'Summary'!$B$11)=0),I37,0)+IF(AND(A101&gt;A38,A101&lt;=A38+'Summary'!$B$10*12,MOD(A101-A38,'Summary'!$B$11)=0),I38,0)+IF(AND(A101&gt;A39,A101&lt;=A39+'Summary'!$B$10*12,MOD(A101-A39,'Summary'!$B$11)=0),I39,0)+IF(AND(A101&gt;A40,A101&lt;=A40+'Summary'!$B$10*12,MOD(A101-A40,'Summary'!$B$11)=0),I40,0)+IF(AND(A101&gt;A41,A101&lt;=A41+'Summary'!$B$10*12,MOD(A101-A41,'Summary'!$B$11)=0),I41,0)+IF(AND(A101&gt;A42,A101&lt;=A42+'Summary'!$B$10*12,MOD(A101-A42,'Summary'!$B$11)=0),I42,0)+IF(AND(A101&gt;A43,A101&lt;=A43+'Summary'!$B$10*12,MOD(A101-A43,'Summary'!$B$11)=0),I43,0)+IF(AND(A101&gt;A44,A101&lt;=A44+'Summary'!$B$10*12,MOD(A101-A44,'Summary'!$B$11)=0),I44,0)+IF(AND(A101&gt;A45,A101&lt;=A45+'Summary'!$B$10*12,MOD(A101-A45,'Summary'!$B$11)=0),I45,0)+IF(AND(A101&gt;A46,A101&lt;=A46+'Summary'!$B$10*12,MOD(A101-A46,'Summary'!$B$11)=0),I46,0)+IF(AND(A101&gt;A47,A101&lt;=A47+'Summary'!$B$10*12,MOD(A101-A47,'Summary'!$B$11)=0),I47,0)+IF(AND(A101&gt;A48,A101&lt;=A48+'Summary'!$B$10*12,MOD(A101-A48,'Summary'!$B$11)=0),I48,0)+IF(AND(A101&gt;A49,A101&lt;=A49+'Summary'!$B$10*12,MOD(A101-A49,'Summary'!$B$11)=0),I49,0)+IF(AND(A101&gt;A50,A101&lt;=A50+'Summary'!$B$10*12,MOD(A101-A50,'Summary'!$B$11)=0),I50,0)+IF(AND(A101&gt;A51,A101&lt;=A51+'Summary'!$B$10*12,MOD(A101-A51,'Summary'!$B$11)=0),I51,0)+IF(AND(A101&gt;A52,A101&lt;=A52+'Summary'!$B$10*12,MOD(A101-A52,'Summary'!$B$11)=0),I52,0)+IF(AND(A101&gt;A53,A101&lt;=A53+'Summary'!$B$10*12,MOD(A101-A53,'Summary'!$B$11)=0),I53,0)+IF(AND(A101&gt;A54,A101&lt;=A54+'Summary'!$B$10*12,MOD(A101-A54,'Summary'!$B$11)=0),I54,0)+IF(AND(A101&gt;A55,A101&lt;=A55+'Summary'!$B$10*12,MOD(A101-A55,'Summary'!$B$11)=0),I55,0)+IF(AND(A101&gt;A56,A101&lt;=A56+'Summary'!$B$10*12,MOD(A101-A56,'Summary'!$B$11)=0),I56,0)+IF(AND(A101&gt;A57,A101&lt;=A57+'Summary'!$B$10*12,MOD(A101-A57,'Summary'!$B$11)=0),I57,0)+IF(AND(A101&gt;A58,A101&lt;=A58+'Summary'!$B$10*12,MOD(A101-A58,'Summary'!$B$11)=0),I58,0)+IF(AND(A101&gt;A59,A101&lt;=A59+'Summary'!$B$10*12,MOD(A101-A59,'Summary'!$B$11)=0),I59,0)+IF(AND(A101&gt;A60,A101&lt;=A60+'Summary'!$B$10*12,MOD(A101-A60,'Summary'!$B$11)=0),I60,0)+IF(AND(A101&gt;A61,A101&lt;=A61+'Summary'!$B$10*12,MOD(A101-A61,'Summary'!$B$11)=0),I61,0)+IF(AND(A101&gt;A62,A101&lt;=A62+'Summary'!$B$10*12,MOD(A101-A62,'Summary'!$B$11)=0),I62,0)+IF(AND(A101&gt;A63,A101&lt;=A63+'Summary'!$B$10*12,MOD(A101-A63,'Summary'!$B$11)=0),I63,0)+IF(AND(A101&gt;A64,A101&lt;=A64+'Summary'!$B$10*12,MOD(A101-A64,'Summary'!$B$11)=0),I64,0)+IF(AND(A101&gt;A65,A101&lt;=A65+'Summary'!$B$10*12,MOD(A101-A65,'Summary'!$B$11)=0),I65,0)+IF(AND(A101&gt;A66,A101&lt;=A66+'Summary'!$B$10*12,MOD(A101-A66,'Summary'!$B$11)=0),I66,0)+IF(AND(A101&gt;A67,A101&lt;=A67+'Summary'!$B$10*12,MOD(A101-A67,'Summary'!$B$11)=0),I67,0)+IF(AND(A101&gt;A68,A101&lt;=A68+'Summary'!$B$10*12,MOD(A101-A68,'Summary'!$B$11)=0),I68,0)+IF(AND(A101&gt;A69,A101&lt;=A69+'Summary'!$B$10*12,MOD(A101-A69,'Summary'!$B$11)=0),I69,0)+IF(AND(A101&gt;A70,A101&lt;=A70+'Summary'!$B$10*12,MOD(A101-A70,'Summary'!$B$11)=0),I70,0)+IF(AND(A101&gt;A71,A101&lt;=A71+'Summary'!$B$10*12,MOD(A101-A71,'Summary'!$B$11)=0),I71,0)+IF(AND(A101&gt;A72,A101&lt;=A72+'Summary'!$B$10*12,MOD(A101-A72,'Summary'!$B$11)=0),I72,0)+IF(AND(A101&gt;A73,A101&lt;=A73+'Summary'!$B$10*12,MOD(A101-A73,'Summary'!$B$11)=0),I73,0)+IF(AND(A101&gt;A74,A101&lt;=A74+'Summary'!$B$10*12,MOD(A101-A74,'Summary'!$B$11)=0),I74,0)+IF(AND(A101&gt;A75,A101&lt;=A75+'Summary'!$B$10*12,MOD(A101-A75,'Summary'!$B$11)=0),I75,0)+IF(AND(A101&gt;A76,A101&lt;=A76+'Summary'!$B$10*12,MOD(A101-A76,'Summary'!$B$11)=0),I76,0)+IF(AND(A101&gt;A77,A101&lt;=A77+'Summary'!$B$10*12,MOD(A101-A77,'Summary'!$B$11)=0),I77,0)+IF(AND(A101&gt;A78,A101&lt;=A78+'Summary'!$B$10*12,MOD(A101-A78,'Summary'!$B$11)=0),I78,0)+IF(AND(A101&gt;A79,A101&lt;=A79+'Summary'!$B$10*12,MOD(A101-A79,'Summary'!$B$11)=0),I79,0)+IF(AND(A101&gt;A80,A101&lt;=A80+'Summary'!$B$10*12,MOD(A101-A80,'Summary'!$B$11)=0),I80,0)+IF(AND(A101&gt;A81,A101&lt;=A81+'Summary'!$B$10*12,MOD(A101-A81,'Summary'!$B$11)=0),I81,0)+IF(AND(A101&gt;A82,A101&lt;=A82+'Summary'!$B$10*12,MOD(A101-A82,'Summary'!$B$11)=0),I82,0)+IF(AND(A101&gt;A83,A101&lt;=A83+'Summary'!$B$10*12,MOD(A101-A83,'Summary'!$B$11)=0),I83,0)+IF(AND(A101&gt;A84,A101&lt;=A84+'Summary'!$B$10*12,MOD(A101-A84,'Summary'!$B$11)=0),I84,0)+IF(AND(A101&gt;A85,A101&lt;=A85+'Summary'!$B$10*12,MOD(A101-A85,'Summary'!$B$11)=0),I85,0)+IF(AND(A101&gt;A86,A101&lt;=A86+'Summary'!$B$10*12,MOD(A101-A86,'Summary'!$B$11)=0),I86,0)+IF(AND(A101&gt;A87,A101&lt;=A87+'Summary'!$B$10*12,MOD(A101-A87,'Summary'!$B$11)=0),I87,0)+IF(AND(A101&gt;A88,A101&lt;=A88+'Summary'!$B$10*12,MOD(A101-A88,'Summary'!$B$11)=0),I88,0)+IF(AND(A101&gt;A89,A101&lt;=A89+'Summary'!$B$10*12,MOD(A101-A89,'Summary'!$B$11)=0),I89,0)+IF(AND(A101&gt;A90,A101&lt;=A90+'Summary'!$B$10*12,MOD(A101-A90,'Summary'!$B$11)=0),I90,0)+IF(AND(A101&gt;A91,A101&lt;=A91+'Summary'!$B$10*12,MOD(A101-A91,'Summary'!$B$11)=0),I91,0)+IF(AND(A101&gt;A92,A101&lt;=A92+'Summary'!$B$10*12,MOD(A101-A92,'Summary'!$B$11)=0),I92,0)+IF(AND(A101&gt;A93,A101&lt;=A93+'Summary'!$B$10*12,MOD(A101-A93,'Summary'!$B$11)=0),I93,0)+IF(AND(A101&gt;A94,A101&lt;=A94+'Summary'!$B$10*12,MOD(A101-A94,'Summary'!$B$11)=0),I94,0)+IF(AND(A101&gt;A95,A101&lt;=A95+'Summary'!$B$10*12,MOD(A101-A95,'Summary'!$B$11)=0),I95,0)+IF(AND(A101&gt;A96,A101&lt;=A96+'Summary'!$B$10*12,MOD(A101-A96,'Summary'!$B$11)=0),I96,0)+IF(AND(A101&gt;A97,A101&lt;=A97+'Summary'!$B$10*12,MOD(A101-A97,'Summary'!$B$11)=0),I97,0)+IF(AND(A101&gt;A98,A101&lt;=A98+'Summary'!$B$10*12,MOD(A101-A98,'Summary'!$B$11)=0),I98,0)+IF(AND(A101&gt;A99,A101&lt;=A99+'Summary'!$B$10*12,MOD(A101-A99,'Summary'!$B$11)=0),I99,0)+IF(AND(A101&gt;A100,A101&lt;=A100+'Summary'!$B$10*12,MOD(A101-A100,'Summary'!$B$11)=0),I100,0))*'Summary'!$B$8/2</x:f>
        <x:v>31.842393161945477</x:v>
      </x:c>
      <x:c r="G101" s="62" t="n">
        <x:f>IF(A101=A8+'Summary'!$B$10*12,I8,0)+IF(A101=A9+'Summary'!$B$10*12,I9,0)+IF(A101=A10+'Summary'!$B$10*12,I10,0)+IF(A101=A11+'Summary'!$B$10*12,I11,0)+IF(A101=A12+'Summary'!$B$10*12,I12,0)+IF(A101=A13+'Summary'!$B$10*12,I13,0)+IF(A101=A14+'Summary'!$B$10*12,I14,0)+IF(A101=A15+'Summary'!$B$10*12,I15,0)+IF(A101=A16+'Summary'!$B$10*12,I16,0)+IF(A101=A17+'Summary'!$B$10*12,I17,0)+IF(A101=A18+'Summary'!$B$10*12,I18,0)+IF(A101=A19+'Summary'!$B$10*12,I19,0)+IF(A101=A20+'Summary'!$B$10*12,I20,0)+IF(A101=A21+'Summary'!$B$10*12,I21,0)+IF(A101=A22+'Summary'!$B$10*12,I22,0)+IF(A101=A23+'Summary'!$B$10*12,I23,0)+IF(A101=A24+'Summary'!$B$10*12,I24,0)+IF(A101=A25+'Summary'!$B$10*12,I25,0)+IF(A101=A26+'Summary'!$B$10*12,I26,0)+IF(A101=A27+'Summary'!$B$10*12,I27,0)+IF(A101=A28+'Summary'!$B$10*12,I28,0)+IF(A101=A29+'Summary'!$B$10*12,I29,0)+IF(A101=A30+'Summary'!$B$10*12,I30,0)+IF(A101=A31+'Summary'!$B$10*12,I31,0)+IF(A101=A32+'Summary'!$B$10*12,I32,0)+IF(A101=A33+'Summary'!$B$10*12,I33,0)+IF(A101=A34+'Summary'!$B$10*12,I34,0)+IF(A101=A35+'Summary'!$B$10*12,I35,0)+IF(A101=A36+'Summary'!$B$10*12,I36,0)+IF(A101=A37+'Summary'!$B$10*12,I37,0)+IF(A101=A38+'Summary'!$B$10*12,I38,0)+IF(A101=A39+'Summary'!$B$10*12,I39,0)+IF(A101=A40+'Summary'!$B$10*12,I40,0)+IF(A101=A41+'Summary'!$B$10*12,I41,0)+IF(A101=A42+'Summary'!$B$10*12,I42,0)+IF(A101=A43+'Summary'!$B$10*12,I43,0)+IF(A101=A44+'Summary'!$B$10*12,I44,0)+IF(A101=A45+'Summary'!$B$10*12,I45,0)+IF(A101=A46+'Summary'!$B$10*12,I46,0)+IF(A101=A47+'Summary'!$B$10*12,I47,0)+IF(A101=A48+'Summary'!$B$10*12,I48,0)+IF(A101=A49+'Summary'!$B$10*12,I49,0)+IF(A101=A50+'Summary'!$B$10*12,I50,0)+IF(A101=A51+'Summary'!$B$10*12,I51,0)+IF(A101=A52+'Summary'!$B$10*12,I52,0)+IF(A101=A53+'Summary'!$B$10*12,I53,0)+IF(A101=A54+'Summary'!$B$10*12,I54,0)+IF(A101=A55+'Summary'!$B$10*12,I55,0)+IF(A101=A56+'Summary'!$B$10*12,I56,0)+IF(A101=A57+'Summary'!$B$10*12,I57,0)+IF(A101=A58+'Summary'!$B$10*12,I58,0)+IF(A101=A59+'Summary'!$B$10*12,I59,0)+IF(A101=A60+'Summary'!$B$10*12,I60,0)+IF(A101=A61+'Summary'!$B$10*12,I61,0)+IF(A101=A62+'Summary'!$B$10*12,I62,0)+IF(A101=A63+'Summary'!$B$10*12,I63,0)+IF(A101=A64+'Summary'!$B$10*12,I64,0)+IF(A101=A65+'Summary'!$B$10*12,I65,0)+IF(A101=A66+'Summary'!$B$10*12,I66,0)+IF(A101=A67+'Summary'!$B$10*12,I67,0)+IF(A101=A68+'Summary'!$B$10*12,I68,0)+IF(A101=A69+'Summary'!$B$10*12,I69,0)+IF(A101=A70+'Summary'!$B$10*12,I70,0)+IF(A101=A71+'Summary'!$B$10*12,I71,0)+IF(A101=A72+'Summary'!$B$10*12,I72,0)+IF(A101=A73+'Summary'!$B$10*12,I73,0)+IF(A101=A74+'Summary'!$B$10*12,I74,0)+IF(A101=A75+'Summary'!$B$10*12,I75,0)+IF(A101=A76+'Summary'!$B$10*12,I76,0)+IF(A101=A77+'Summary'!$B$10*12,I77,0)+IF(A101=A78+'Summary'!$B$10*12,I78,0)+IF(A101=A79+'Summary'!$B$10*12,I79,0)+IF(A101=A80+'Summary'!$B$10*12,I80,0)+IF(A101=A81+'Summary'!$B$10*12,I81,0)+IF(A101=A82+'Summary'!$B$10*12,I82,0)+IF(A101=A83+'Summary'!$B$10*12,I83,0)+IF(A101=A84+'Summary'!$B$10*12,I84,0)+IF(A101=A85+'Summary'!$B$10*12,I85,0)+IF(A101=A86+'Summary'!$B$10*12,I86,0)+IF(A101=A87+'Summary'!$B$10*12,I87,0)+IF(A101=A88+'Summary'!$B$10*12,I88,0)+IF(A101=A89+'Summary'!$B$10*12,I89,0)+IF(A101=A90+'Summary'!$B$10*12,I90,0)+IF(A101=A91+'Summary'!$B$10*12,I91,0)+IF(A101=A92+'Summary'!$B$10*12,I92,0)+IF(A101=A93+'Summary'!$B$10*12,I93,0)+IF(A101=A94+'Summary'!$B$10*12,I94,0)+IF(A101=A95+'Summary'!$B$10*12,I95,0)+IF(A101=A96+'Summary'!$B$10*12,I96,0)+IF(A101=A97+'Summary'!$B$10*12,I97,0)+IF(A101=A98+'Summary'!$B$10*12,I98,0)+IF(A101=A99+'Summary'!$B$10*12,I99,0)+IF(A101=A100+'Summary'!$B$10*12,I100,0)</x:f>
        <x:v>109.65245492278108</x:v>
      </x:c>
      <x:c r="H101" s="62" t="n">
        <x:f>E101+D101+F101+G101</x:f>
        <x:v>241.49484808472653</x:v>
      </x:c>
      <x:c r="I101" s="62" t="n">
        <x:f>IF(B101,IF(H101&gt;='Summary'!$B$12,H101,0),0)</x:f>
        <x:v>241.49484808472653</x:v>
      </x:c>
      <x:c r="J101" s="62" t="n">
        <x:f>H101-I101</x:f>
        <x:v>0</x:v>
      </x:c>
      <x:c r="K101" s="63" t="n">
        <x:f>J101+IF(A8+'Summary'!$B$10*12&gt;A101,I8,0)+IF(A9+'Summary'!$B$10*12&gt;A101,I9,0)+IF(A10+'Summary'!$B$10*12&gt;A101,I10,0)+IF(A11+'Summary'!$B$10*12&gt;A101,I11,0)+IF(A12+'Summary'!$B$10*12&gt;A101,I12,0)+IF(A13+'Summary'!$B$10*12&gt;A101,I13,0)+IF(A14+'Summary'!$B$10*12&gt;A101,I14,0)+IF(A15+'Summary'!$B$10*12&gt;A101,I15,0)+IF(A16+'Summary'!$B$10*12&gt;A101,I16,0)+IF(A17+'Summary'!$B$10*12&gt;A101,I17,0)+IF(A18+'Summary'!$B$10*12&gt;A101,I18,0)+IF(A19+'Summary'!$B$10*12&gt;A101,I19,0)+IF(A20+'Summary'!$B$10*12&gt;A101,I20,0)+IF(A21+'Summary'!$B$10*12&gt;A101,I21,0)+IF(A22+'Summary'!$B$10*12&gt;A101,I22,0)+IF(A23+'Summary'!$B$10*12&gt;A101,I23,0)+IF(A24+'Summary'!$B$10*12&gt;A101,I24,0)+IF(A25+'Summary'!$B$10*12&gt;A101,I25,0)+IF(A26+'Summary'!$B$10*12&gt;A101,I26,0)+IF(A27+'Summary'!$B$10*12&gt;A101,I27,0)+IF(A28+'Summary'!$B$10*12&gt;A101,I28,0)+IF(A29+'Summary'!$B$10*12&gt;A101,I29,0)+IF(A30+'Summary'!$B$10*12&gt;A101,I30,0)+IF(A31+'Summary'!$B$10*12&gt;A101,I31,0)+IF(A32+'Summary'!$B$10*12&gt;A101,I32,0)+IF(A33+'Summary'!$B$10*12&gt;A101,I33,0)+IF(A34+'Summary'!$B$10*12&gt;A101,I34,0)+IF(A35+'Summary'!$B$10*12&gt;A101,I35,0)+IF(A36+'Summary'!$B$10*12&gt;A101,I36,0)+IF(A37+'Summary'!$B$10*12&gt;A101,I37,0)+IF(A38+'Summary'!$B$10*12&gt;A101,I38,0)+IF(A39+'Summary'!$B$10*12&gt;A101,I39,0)+IF(A40+'Summary'!$B$10*12&gt;A101,I40,0)+IF(A41+'Summary'!$B$10*12&gt;A101,I41,0)+IF(A42+'Summary'!$B$10*12&gt;A101,I42,0)+IF(A43+'Summary'!$B$10*12&gt;A101,I43,0)+IF(A44+'Summary'!$B$10*12&gt;A101,I44,0)+IF(A45+'Summary'!$B$10*12&gt;A101,I45,0)+IF(A46+'Summary'!$B$10*12&gt;A101,I46,0)+IF(A47+'Summary'!$B$10*12&gt;A101,I47,0)+IF(A48+'Summary'!$B$10*12&gt;A101,I48,0)+IF(A49+'Summary'!$B$10*12&gt;A101,I49,0)+IF(A50+'Summary'!$B$10*12&gt;A101,I50,0)+IF(A51+'Summary'!$B$10*12&gt;A101,I51,0)+IF(A52+'Summary'!$B$10*12&gt;A101,I52,0)+IF(A53+'Summary'!$B$10*12&gt;A101,I53,0)+IF(A54+'Summary'!$B$10*12&gt;A101,I54,0)+IF(A55+'Summary'!$B$10*12&gt;A101,I55,0)+IF(A56+'Summary'!$B$10*12&gt;A101,I56,0)+IF(A57+'Summary'!$B$10*12&gt;A101,I57,0)+IF(A58+'Summary'!$B$10*12&gt;A101,I58,0)+IF(A59+'Summary'!$B$10*12&gt;A101,I59,0)+IF(A60+'Summary'!$B$10*12&gt;A101,I60,0)+IF(A61+'Summary'!$B$10*12&gt;A101,I61,0)+IF(A62+'Summary'!$B$10*12&gt;A101,I62,0)+IF(A63+'Summary'!$B$10*12&gt;A101,I63,0)+IF(A64+'Summary'!$B$10*12&gt;A101,I64,0)+IF(A65+'Summary'!$B$10*12&gt;A101,I65,0)+IF(A66+'Summary'!$B$10*12&gt;A101,I66,0)+IF(A67+'Summary'!$B$10*12&gt;A101,I67,0)+IF(A68+'Summary'!$B$10*12&gt;A101,I68,0)+IF(A69+'Summary'!$B$10*12&gt;A101,I69,0)+IF(A70+'Summary'!$B$10*12&gt;A101,I70,0)+IF(A71+'Summary'!$B$10*12&gt;A101,I71,0)+IF(A72+'Summary'!$B$10*12&gt;A101,I72,0)+IF(A73+'Summary'!$B$10*12&gt;A101,I73,0)+IF(A74+'Summary'!$B$10*12&gt;A101,I74,0)+IF(A75+'Summary'!$B$10*12&gt;A101,I75,0)+IF(A76+'Summary'!$B$10*12&gt;A101,I76,0)+IF(A77+'Summary'!$B$10*12&gt;A101,I77,0)+IF(A78+'Summary'!$B$10*12&gt;A101,I78,0)+IF(A79+'Summary'!$B$10*12&gt;A101,I79,0)+IF(A80+'Summary'!$B$10*12&gt;A101,I80,0)+IF(A81+'Summary'!$B$10*12&gt;A101,I81,0)+IF(A82+'Summary'!$B$10*12&gt;A101,I82,0)+IF(A83+'Summary'!$B$10*12&gt;A101,I83,0)+IF(A84+'Summary'!$B$10*12&gt;A101,I84,0)+IF(A85+'Summary'!$B$10*12&gt;A101,I85,0)+IF(A86+'Summary'!$B$10*12&gt;A101,I86,0)+IF(A87+'Summary'!$B$10*12&gt;A101,I87,0)+IF(A88+'Summary'!$B$10*12&gt;A101,I88,0)+IF(A89+'Summary'!$B$10*12&gt;A101,I89,0)+IF(A90+'Summary'!$B$10*12&gt;A101,I90,0)+IF(A91+'Summary'!$B$10*12&gt;A101,I91,0)+IF(A92+'Summary'!$B$10*12&gt;A101,I92,0)+IF(A93+'Summary'!$B$10*12&gt;A101,I93,0)+IF(A94+'Summary'!$B$10*12&gt;A101,I94,0)+IF(A95+'Summary'!$B$10*12&gt;A101,I95,0)+IF(A96+'Summary'!$B$10*12&gt;A101,I96,0)+IF(A97+'Summary'!$B$10*12&gt;A101,I97,0)+IF(A98+'Summary'!$B$10*12&gt;A101,I98,0)+IF(A99+'Summary'!$B$10*12&gt;A101,I99,0)+IF(A100+'Summary'!$B$10*12&gt;A101,I100,0)+IF(A101+'Summary'!$B$10*12&gt;A101,I101,0)</x:f>
        <x:v>23983.34861850215</x:v>
      </x:c>
    </x:row>
    <x:row r="102">
      <x:c r="A102" s="55" t="n">
        <x:v>94</x:v>
      </x:c>
      <x:c r="B102" s="71" t="b">
        <x:f>A102&lt;='Summary'!$B$9*12</x:f>
        <x:v>1</x:v>
      </x:c>
      <x:c r="C102" s="62" t="n">
        <x:f>IF(A102=0,IF('Summary'!$B$6&gt;=5,'Summary'!$B$6,0),C101)+IF(A102&lt;'Summary'!$B$9*12,IF('Summary'!$B$7&gt;=5,'Summary'!$B$7,0),0)</x:f>
        <x:v>19500</x:v>
      </x:c>
      <x:c r="D102" s="62" t="n">
        <x:f>IF(A102=0,IF('Summary'!$B$6&gt;=5,'Summary'!$B$6,0),0)+IF(A102&lt;'Summary'!$B$9*12,IF('Summary'!$B$7&gt;=5,'Summary'!$B$7,0),0)</x:f>
        <x:v>100</x:v>
      </x:c>
      <x:c r="E102" s="62" t="n">
        <x:f>J101</x:f>
        <x:v>0</x:v>
      </x:c>
      <x:c r="F102" s="62" t="n">
        <x:f>(IF(AND(A102&gt;A8,A102&lt;=A8+'Summary'!$B$10*12,MOD(A102-A8,'Summary'!$B$11)=0),I8,0)+IF(AND(A102&gt;A9,A102&lt;=A9+'Summary'!$B$10*12,MOD(A102-A9,'Summary'!$B$11)=0),I9,0)+IF(AND(A102&gt;A10,A102&lt;=A10+'Summary'!$B$10*12,MOD(A102-A10,'Summary'!$B$11)=0),I10,0)+IF(AND(A102&gt;A11,A102&lt;=A11+'Summary'!$B$10*12,MOD(A102-A11,'Summary'!$B$11)=0),I11,0)+IF(AND(A102&gt;A12,A102&lt;=A12+'Summary'!$B$10*12,MOD(A102-A12,'Summary'!$B$11)=0),I12,0)+IF(AND(A102&gt;A13,A102&lt;=A13+'Summary'!$B$10*12,MOD(A102-A13,'Summary'!$B$11)=0),I13,0)+IF(AND(A102&gt;A14,A102&lt;=A14+'Summary'!$B$10*12,MOD(A102-A14,'Summary'!$B$11)=0),I14,0)+IF(AND(A102&gt;A15,A102&lt;=A15+'Summary'!$B$10*12,MOD(A102-A15,'Summary'!$B$11)=0),I15,0)+IF(AND(A102&gt;A16,A102&lt;=A16+'Summary'!$B$10*12,MOD(A102-A16,'Summary'!$B$11)=0),I16,0)+IF(AND(A102&gt;A17,A102&lt;=A17+'Summary'!$B$10*12,MOD(A102-A17,'Summary'!$B$11)=0),I17,0)+IF(AND(A102&gt;A18,A102&lt;=A18+'Summary'!$B$10*12,MOD(A102-A18,'Summary'!$B$11)=0),I18,0)+IF(AND(A102&gt;A19,A102&lt;=A19+'Summary'!$B$10*12,MOD(A102-A19,'Summary'!$B$11)=0),I19,0)+IF(AND(A102&gt;A20,A102&lt;=A20+'Summary'!$B$10*12,MOD(A102-A20,'Summary'!$B$11)=0),I20,0)+IF(AND(A102&gt;A21,A102&lt;=A21+'Summary'!$B$10*12,MOD(A102-A21,'Summary'!$B$11)=0),I21,0)+IF(AND(A102&gt;A22,A102&lt;=A22+'Summary'!$B$10*12,MOD(A102-A22,'Summary'!$B$11)=0),I22,0)+IF(AND(A102&gt;A23,A102&lt;=A23+'Summary'!$B$10*12,MOD(A102-A23,'Summary'!$B$11)=0),I23,0)+IF(AND(A102&gt;A24,A102&lt;=A24+'Summary'!$B$10*12,MOD(A102-A24,'Summary'!$B$11)=0),I24,0)+IF(AND(A102&gt;A25,A102&lt;=A25+'Summary'!$B$10*12,MOD(A102-A25,'Summary'!$B$11)=0),I25,0)+IF(AND(A102&gt;A26,A102&lt;=A26+'Summary'!$B$10*12,MOD(A102-A26,'Summary'!$B$11)=0),I26,0)+IF(AND(A102&gt;A27,A102&lt;=A27+'Summary'!$B$10*12,MOD(A102-A27,'Summary'!$B$11)=0),I27,0)+IF(AND(A102&gt;A28,A102&lt;=A28+'Summary'!$B$10*12,MOD(A102-A28,'Summary'!$B$11)=0),I28,0)+IF(AND(A102&gt;A29,A102&lt;=A29+'Summary'!$B$10*12,MOD(A102-A29,'Summary'!$B$11)=0),I29,0)+IF(AND(A102&gt;A30,A102&lt;=A30+'Summary'!$B$10*12,MOD(A102-A30,'Summary'!$B$11)=0),I30,0)+IF(AND(A102&gt;A31,A102&lt;=A31+'Summary'!$B$10*12,MOD(A102-A31,'Summary'!$B$11)=0),I31,0)+IF(AND(A102&gt;A32,A102&lt;=A32+'Summary'!$B$10*12,MOD(A102-A32,'Summary'!$B$11)=0),I32,0)+IF(AND(A102&gt;A33,A102&lt;=A33+'Summary'!$B$10*12,MOD(A102-A33,'Summary'!$B$11)=0),I33,0)+IF(AND(A102&gt;A34,A102&lt;=A34+'Summary'!$B$10*12,MOD(A102-A34,'Summary'!$B$11)=0),I34,0)+IF(AND(A102&gt;A35,A102&lt;=A35+'Summary'!$B$10*12,MOD(A102-A35,'Summary'!$B$11)=0),I35,0)+IF(AND(A102&gt;A36,A102&lt;=A36+'Summary'!$B$10*12,MOD(A102-A36,'Summary'!$B$11)=0),I36,0)+IF(AND(A102&gt;A37,A102&lt;=A37+'Summary'!$B$10*12,MOD(A102-A37,'Summary'!$B$11)=0),I37,0)+IF(AND(A102&gt;A38,A102&lt;=A38+'Summary'!$B$10*12,MOD(A102-A38,'Summary'!$B$11)=0),I38,0)+IF(AND(A102&gt;A39,A102&lt;=A39+'Summary'!$B$10*12,MOD(A102-A39,'Summary'!$B$11)=0),I39,0)+IF(AND(A102&gt;A40,A102&lt;=A40+'Summary'!$B$10*12,MOD(A102-A40,'Summary'!$B$11)=0),I40,0)+IF(AND(A102&gt;A41,A102&lt;=A41+'Summary'!$B$10*12,MOD(A102-A41,'Summary'!$B$11)=0),I41,0)+IF(AND(A102&gt;A42,A102&lt;=A42+'Summary'!$B$10*12,MOD(A102-A42,'Summary'!$B$11)=0),I42,0)+IF(AND(A102&gt;A43,A102&lt;=A43+'Summary'!$B$10*12,MOD(A102-A43,'Summary'!$B$11)=0),I43,0)+IF(AND(A102&gt;A44,A102&lt;=A44+'Summary'!$B$10*12,MOD(A102-A44,'Summary'!$B$11)=0),I44,0)+IF(AND(A102&gt;A45,A102&lt;=A45+'Summary'!$B$10*12,MOD(A102-A45,'Summary'!$B$11)=0),I45,0)+IF(AND(A102&gt;A46,A102&lt;=A46+'Summary'!$B$10*12,MOD(A102-A46,'Summary'!$B$11)=0),I46,0)+IF(AND(A102&gt;A47,A102&lt;=A47+'Summary'!$B$10*12,MOD(A102-A47,'Summary'!$B$11)=0),I47,0)+IF(AND(A102&gt;A48,A102&lt;=A48+'Summary'!$B$10*12,MOD(A102-A48,'Summary'!$B$11)=0),I48,0)+IF(AND(A102&gt;A49,A102&lt;=A49+'Summary'!$B$10*12,MOD(A102-A49,'Summary'!$B$11)=0),I49,0)+IF(AND(A102&gt;A50,A102&lt;=A50+'Summary'!$B$10*12,MOD(A102-A50,'Summary'!$B$11)=0),I50,0)+IF(AND(A102&gt;A51,A102&lt;=A51+'Summary'!$B$10*12,MOD(A102-A51,'Summary'!$B$11)=0),I51,0)+IF(AND(A102&gt;A52,A102&lt;=A52+'Summary'!$B$10*12,MOD(A102-A52,'Summary'!$B$11)=0),I52,0)+IF(AND(A102&gt;A53,A102&lt;=A53+'Summary'!$B$10*12,MOD(A102-A53,'Summary'!$B$11)=0),I53,0)+IF(AND(A102&gt;A54,A102&lt;=A54+'Summary'!$B$10*12,MOD(A102-A54,'Summary'!$B$11)=0),I54,0)+IF(AND(A102&gt;A55,A102&lt;=A55+'Summary'!$B$10*12,MOD(A102-A55,'Summary'!$B$11)=0),I55,0)+IF(AND(A102&gt;A56,A102&lt;=A56+'Summary'!$B$10*12,MOD(A102-A56,'Summary'!$B$11)=0),I56,0)+IF(AND(A102&gt;A57,A102&lt;=A57+'Summary'!$B$10*12,MOD(A102-A57,'Summary'!$B$11)=0),I57,0)+IF(AND(A102&gt;A58,A102&lt;=A58+'Summary'!$B$10*12,MOD(A102-A58,'Summary'!$B$11)=0),I58,0)+IF(AND(A102&gt;A59,A102&lt;=A59+'Summary'!$B$10*12,MOD(A102-A59,'Summary'!$B$11)=0),I59,0)+IF(AND(A102&gt;A60,A102&lt;=A60+'Summary'!$B$10*12,MOD(A102-A60,'Summary'!$B$11)=0),I60,0)+IF(AND(A102&gt;A61,A102&lt;=A61+'Summary'!$B$10*12,MOD(A102-A61,'Summary'!$B$11)=0),I61,0)+IF(AND(A102&gt;A62,A102&lt;=A62+'Summary'!$B$10*12,MOD(A102-A62,'Summary'!$B$11)=0),I62,0)+IF(AND(A102&gt;A63,A102&lt;=A63+'Summary'!$B$10*12,MOD(A102-A63,'Summary'!$B$11)=0),I63,0)+IF(AND(A102&gt;A64,A102&lt;=A64+'Summary'!$B$10*12,MOD(A102-A64,'Summary'!$B$11)=0),I64,0)+IF(AND(A102&gt;A65,A102&lt;=A65+'Summary'!$B$10*12,MOD(A102-A65,'Summary'!$B$11)=0),I65,0)+IF(AND(A102&gt;A66,A102&lt;=A66+'Summary'!$B$10*12,MOD(A102-A66,'Summary'!$B$11)=0),I66,0)+IF(AND(A102&gt;A67,A102&lt;=A67+'Summary'!$B$10*12,MOD(A102-A67,'Summary'!$B$11)=0),I67,0)+IF(AND(A102&gt;A68,A102&lt;=A68+'Summary'!$B$10*12,MOD(A102-A68,'Summary'!$B$11)=0),I68,0)+IF(AND(A102&gt;A69,A102&lt;=A69+'Summary'!$B$10*12,MOD(A102-A69,'Summary'!$B$11)=0),I69,0)+IF(AND(A102&gt;A70,A102&lt;=A70+'Summary'!$B$10*12,MOD(A102-A70,'Summary'!$B$11)=0),I70,0)+IF(AND(A102&gt;A71,A102&lt;=A71+'Summary'!$B$10*12,MOD(A102-A71,'Summary'!$B$11)=0),I71,0)+IF(AND(A102&gt;A72,A102&lt;=A72+'Summary'!$B$10*12,MOD(A102-A72,'Summary'!$B$11)=0),I72,0)+IF(AND(A102&gt;A73,A102&lt;=A73+'Summary'!$B$10*12,MOD(A102-A73,'Summary'!$B$11)=0),I73,0)+IF(AND(A102&gt;A74,A102&lt;=A74+'Summary'!$B$10*12,MOD(A102-A74,'Summary'!$B$11)=0),I74,0)+IF(AND(A102&gt;A75,A102&lt;=A75+'Summary'!$B$10*12,MOD(A102-A75,'Summary'!$B$11)=0),I75,0)+IF(AND(A102&gt;A76,A102&lt;=A76+'Summary'!$B$10*12,MOD(A102-A76,'Summary'!$B$11)=0),I76,0)+IF(AND(A102&gt;A77,A102&lt;=A77+'Summary'!$B$10*12,MOD(A102-A77,'Summary'!$B$11)=0),I77,0)+IF(AND(A102&gt;A78,A102&lt;=A78+'Summary'!$B$10*12,MOD(A102-A78,'Summary'!$B$11)=0),I78,0)+IF(AND(A102&gt;A79,A102&lt;=A79+'Summary'!$B$10*12,MOD(A102-A79,'Summary'!$B$11)=0),I79,0)+IF(AND(A102&gt;A80,A102&lt;=A80+'Summary'!$B$10*12,MOD(A102-A80,'Summary'!$B$11)=0),I80,0)+IF(AND(A102&gt;A81,A102&lt;=A81+'Summary'!$B$10*12,MOD(A102-A81,'Summary'!$B$11)=0),I81,0)+IF(AND(A102&gt;A82,A102&lt;=A82+'Summary'!$B$10*12,MOD(A102-A82,'Summary'!$B$11)=0),I82,0)+IF(AND(A102&gt;A83,A102&lt;=A83+'Summary'!$B$10*12,MOD(A102-A83,'Summary'!$B$11)=0),I83,0)+IF(AND(A102&gt;A84,A102&lt;=A84+'Summary'!$B$10*12,MOD(A102-A84,'Summary'!$B$11)=0),I84,0)+IF(AND(A102&gt;A85,A102&lt;=A85+'Summary'!$B$10*12,MOD(A102-A85,'Summary'!$B$11)=0),I85,0)+IF(AND(A102&gt;A86,A102&lt;=A86+'Summary'!$B$10*12,MOD(A102-A86,'Summary'!$B$11)=0),I86,0)+IF(AND(A102&gt;A87,A102&lt;=A87+'Summary'!$B$10*12,MOD(A102-A87,'Summary'!$B$11)=0),I87,0)+IF(AND(A102&gt;A88,A102&lt;=A88+'Summary'!$B$10*12,MOD(A102-A88,'Summary'!$B$11)=0),I88,0)+IF(AND(A102&gt;A89,A102&lt;=A89+'Summary'!$B$10*12,MOD(A102-A89,'Summary'!$B$11)=0),I89,0)+IF(AND(A102&gt;A90,A102&lt;=A90+'Summary'!$B$10*12,MOD(A102-A90,'Summary'!$B$11)=0),I90,0)+IF(AND(A102&gt;A91,A102&lt;=A91+'Summary'!$B$10*12,MOD(A102-A91,'Summary'!$B$11)=0),I91,0)+IF(AND(A102&gt;A92,A102&lt;=A92+'Summary'!$B$10*12,MOD(A102-A92,'Summary'!$B$11)=0),I92,0)+IF(AND(A102&gt;A93,A102&lt;=A93+'Summary'!$B$10*12,MOD(A102-A93,'Summary'!$B$11)=0),I93,0)+IF(AND(A102&gt;A94,A102&lt;=A94+'Summary'!$B$10*12,MOD(A102-A94,'Summary'!$B$11)=0),I94,0)+IF(AND(A102&gt;A95,A102&lt;=A95+'Summary'!$B$10*12,MOD(A102-A95,'Summary'!$B$11)=0),I95,0)+IF(AND(A102&gt;A96,A102&lt;=A96+'Summary'!$B$10*12,MOD(A102-A96,'Summary'!$B$11)=0),I96,0)+IF(AND(A102&gt;A97,A102&lt;=A97+'Summary'!$B$10*12,MOD(A102-A97,'Summary'!$B$11)=0),I97,0)+IF(AND(A102&gt;A98,A102&lt;=A98+'Summary'!$B$10*12,MOD(A102-A98,'Summary'!$B$11)=0),I98,0)+IF(AND(A102&gt;A99,A102&lt;=A99+'Summary'!$B$10*12,MOD(A102-A99,'Summary'!$B$11)=0),I99,0)+IF(AND(A102&gt;A100,A102&lt;=A100+'Summary'!$B$10*12,MOD(A102-A100,'Summary'!$B$11)=0),I100,0)+IF(AND(A102&gt;A101,A102&lt;=A101+'Summary'!$B$10*12,MOD(A102-A101,'Summary'!$B$11)=0),I101,0))*'Summary'!$B$8/2</x:f>
        <x:v>31.842393161945477</x:v>
      </x:c>
      <x:c r="G102" s="62" t="n">
        <x:f>IF(A102=A8+'Summary'!$B$10*12,I8,0)+IF(A102=A9+'Summary'!$B$10*12,I9,0)+IF(A102=A10+'Summary'!$B$10*12,I10,0)+IF(A102=A11+'Summary'!$B$10*12,I11,0)+IF(A102=A12+'Summary'!$B$10*12,I12,0)+IF(A102=A13+'Summary'!$B$10*12,I13,0)+IF(A102=A14+'Summary'!$B$10*12,I14,0)+IF(A102=A15+'Summary'!$B$10*12,I15,0)+IF(A102=A16+'Summary'!$B$10*12,I16,0)+IF(A102=A17+'Summary'!$B$10*12,I17,0)+IF(A102=A18+'Summary'!$B$10*12,I18,0)+IF(A102=A19+'Summary'!$B$10*12,I19,0)+IF(A102=A20+'Summary'!$B$10*12,I20,0)+IF(A102=A21+'Summary'!$B$10*12,I21,0)+IF(A102=A22+'Summary'!$B$10*12,I22,0)+IF(A102=A23+'Summary'!$B$10*12,I23,0)+IF(A102=A24+'Summary'!$B$10*12,I24,0)+IF(A102=A25+'Summary'!$B$10*12,I25,0)+IF(A102=A26+'Summary'!$B$10*12,I26,0)+IF(A102=A27+'Summary'!$B$10*12,I27,0)+IF(A102=A28+'Summary'!$B$10*12,I28,0)+IF(A102=A29+'Summary'!$B$10*12,I29,0)+IF(A102=A30+'Summary'!$B$10*12,I30,0)+IF(A102=A31+'Summary'!$B$10*12,I31,0)+IF(A102=A32+'Summary'!$B$10*12,I32,0)+IF(A102=A33+'Summary'!$B$10*12,I33,0)+IF(A102=A34+'Summary'!$B$10*12,I34,0)+IF(A102=A35+'Summary'!$B$10*12,I35,0)+IF(A102=A36+'Summary'!$B$10*12,I36,0)+IF(A102=A37+'Summary'!$B$10*12,I37,0)+IF(A102=A38+'Summary'!$B$10*12,I38,0)+IF(A102=A39+'Summary'!$B$10*12,I39,0)+IF(A102=A40+'Summary'!$B$10*12,I40,0)+IF(A102=A41+'Summary'!$B$10*12,I41,0)+IF(A102=A42+'Summary'!$B$10*12,I42,0)+IF(A102=A43+'Summary'!$B$10*12,I43,0)+IF(A102=A44+'Summary'!$B$10*12,I44,0)+IF(A102=A45+'Summary'!$B$10*12,I45,0)+IF(A102=A46+'Summary'!$B$10*12,I46,0)+IF(A102=A47+'Summary'!$B$10*12,I47,0)+IF(A102=A48+'Summary'!$B$10*12,I48,0)+IF(A102=A49+'Summary'!$B$10*12,I49,0)+IF(A102=A50+'Summary'!$B$10*12,I50,0)+IF(A102=A51+'Summary'!$B$10*12,I51,0)+IF(A102=A52+'Summary'!$B$10*12,I52,0)+IF(A102=A53+'Summary'!$B$10*12,I53,0)+IF(A102=A54+'Summary'!$B$10*12,I54,0)+IF(A102=A55+'Summary'!$B$10*12,I55,0)+IF(A102=A56+'Summary'!$B$10*12,I56,0)+IF(A102=A57+'Summary'!$B$10*12,I57,0)+IF(A102=A58+'Summary'!$B$10*12,I58,0)+IF(A102=A59+'Summary'!$B$10*12,I59,0)+IF(A102=A60+'Summary'!$B$10*12,I60,0)+IF(A102=A61+'Summary'!$B$10*12,I61,0)+IF(A102=A62+'Summary'!$B$10*12,I62,0)+IF(A102=A63+'Summary'!$B$10*12,I63,0)+IF(A102=A64+'Summary'!$B$10*12,I64,0)+IF(A102=A65+'Summary'!$B$10*12,I65,0)+IF(A102=A66+'Summary'!$B$10*12,I66,0)+IF(A102=A67+'Summary'!$B$10*12,I67,0)+IF(A102=A68+'Summary'!$B$10*12,I68,0)+IF(A102=A69+'Summary'!$B$10*12,I69,0)+IF(A102=A70+'Summary'!$B$10*12,I70,0)+IF(A102=A71+'Summary'!$B$10*12,I71,0)+IF(A102=A72+'Summary'!$B$10*12,I72,0)+IF(A102=A73+'Summary'!$B$10*12,I73,0)+IF(A102=A74+'Summary'!$B$10*12,I74,0)+IF(A102=A75+'Summary'!$B$10*12,I75,0)+IF(A102=A76+'Summary'!$B$10*12,I76,0)+IF(A102=A77+'Summary'!$B$10*12,I77,0)+IF(A102=A78+'Summary'!$B$10*12,I78,0)+IF(A102=A79+'Summary'!$B$10*12,I79,0)+IF(A102=A80+'Summary'!$B$10*12,I80,0)+IF(A102=A81+'Summary'!$B$10*12,I81,0)+IF(A102=A82+'Summary'!$B$10*12,I82,0)+IF(A102=A83+'Summary'!$B$10*12,I83,0)+IF(A102=A84+'Summary'!$B$10*12,I84,0)+IF(A102=A85+'Summary'!$B$10*12,I85,0)+IF(A102=A86+'Summary'!$B$10*12,I86,0)+IF(A102=A87+'Summary'!$B$10*12,I87,0)+IF(A102=A88+'Summary'!$B$10*12,I88,0)+IF(A102=A89+'Summary'!$B$10*12,I89,0)+IF(A102=A90+'Summary'!$B$10*12,I90,0)+IF(A102=A91+'Summary'!$B$10*12,I91,0)+IF(A102=A92+'Summary'!$B$10*12,I92,0)+IF(A102=A93+'Summary'!$B$10*12,I93,0)+IF(A102=A94+'Summary'!$B$10*12,I94,0)+IF(A102=A95+'Summary'!$B$10*12,I95,0)+IF(A102=A96+'Summary'!$B$10*12,I96,0)+IF(A102=A97+'Summary'!$B$10*12,I97,0)+IF(A102=A98+'Summary'!$B$10*12,I98,0)+IF(A102=A99+'Summary'!$B$10*12,I99,0)+IF(A102=A100+'Summary'!$B$10*12,I100,0)+IF(A102=A101+'Summary'!$B$10*12,I101,0)</x:f>
        <x:v>109.65245492278108</x:v>
      </x:c>
      <x:c r="H102" s="62" t="n">
        <x:f>E102+D102+F102+G102</x:f>
        <x:v>241.49484808472653</x:v>
      </x:c>
      <x:c r="I102" s="62" t="n">
        <x:f>IF(B102,IF(H102&gt;='Summary'!$B$12,H102,0),0)</x:f>
        <x:v>241.49484808472653</x:v>
      </x:c>
      <x:c r="J102" s="62" t="n">
        <x:f>H102-I102</x:f>
        <x:v>0</x:v>
      </x:c>
      <x:c r="K102" s="63" t="n">
        <x:f>J102+IF(A8+'Summary'!$B$10*12&gt;A102,I8,0)+IF(A9+'Summary'!$B$10*12&gt;A102,I9,0)+IF(A10+'Summary'!$B$10*12&gt;A102,I10,0)+IF(A11+'Summary'!$B$10*12&gt;A102,I11,0)+IF(A12+'Summary'!$B$10*12&gt;A102,I12,0)+IF(A13+'Summary'!$B$10*12&gt;A102,I13,0)+IF(A14+'Summary'!$B$10*12&gt;A102,I14,0)+IF(A15+'Summary'!$B$10*12&gt;A102,I15,0)+IF(A16+'Summary'!$B$10*12&gt;A102,I16,0)+IF(A17+'Summary'!$B$10*12&gt;A102,I17,0)+IF(A18+'Summary'!$B$10*12&gt;A102,I18,0)+IF(A19+'Summary'!$B$10*12&gt;A102,I19,0)+IF(A20+'Summary'!$B$10*12&gt;A102,I20,0)+IF(A21+'Summary'!$B$10*12&gt;A102,I21,0)+IF(A22+'Summary'!$B$10*12&gt;A102,I22,0)+IF(A23+'Summary'!$B$10*12&gt;A102,I23,0)+IF(A24+'Summary'!$B$10*12&gt;A102,I24,0)+IF(A25+'Summary'!$B$10*12&gt;A102,I25,0)+IF(A26+'Summary'!$B$10*12&gt;A102,I26,0)+IF(A27+'Summary'!$B$10*12&gt;A102,I27,0)+IF(A28+'Summary'!$B$10*12&gt;A102,I28,0)+IF(A29+'Summary'!$B$10*12&gt;A102,I29,0)+IF(A30+'Summary'!$B$10*12&gt;A102,I30,0)+IF(A31+'Summary'!$B$10*12&gt;A102,I31,0)+IF(A32+'Summary'!$B$10*12&gt;A102,I32,0)+IF(A33+'Summary'!$B$10*12&gt;A102,I33,0)+IF(A34+'Summary'!$B$10*12&gt;A102,I34,0)+IF(A35+'Summary'!$B$10*12&gt;A102,I35,0)+IF(A36+'Summary'!$B$10*12&gt;A102,I36,0)+IF(A37+'Summary'!$B$10*12&gt;A102,I37,0)+IF(A38+'Summary'!$B$10*12&gt;A102,I38,0)+IF(A39+'Summary'!$B$10*12&gt;A102,I39,0)+IF(A40+'Summary'!$B$10*12&gt;A102,I40,0)+IF(A41+'Summary'!$B$10*12&gt;A102,I41,0)+IF(A42+'Summary'!$B$10*12&gt;A102,I42,0)+IF(A43+'Summary'!$B$10*12&gt;A102,I43,0)+IF(A44+'Summary'!$B$10*12&gt;A102,I44,0)+IF(A45+'Summary'!$B$10*12&gt;A102,I45,0)+IF(A46+'Summary'!$B$10*12&gt;A102,I46,0)+IF(A47+'Summary'!$B$10*12&gt;A102,I47,0)+IF(A48+'Summary'!$B$10*12&gt;A102,I48,0)+IF(A49+'Summary'!$B$10*12&gt;A102,I49,0)+IF(A50+'Summary'!$B$10*12&gt;A102,I50,0)+IF(A51+'Summary'!$B$10*12&gt;A102,I51,0)+IF(A52+'Summary'!$B$10*12&gt;A102,I52,0)+IF(A53+'Summary'!$B$10*12&gt;A102,I53,0)+IF(A54+'Summary'!$B$10*12&gt;A102,I54,0)+IF(A55+'Summary'!$B$10*12&gt;A102,I55,0)+IF(A56+'Summary'!$B$10*12&gt;A102,I56,0)+IF(A57+'Summary'!$B$10*12&gt;A102,I57,0)+IF(A58+'Summary'!$B$10*12&gt;A102,I58,0)+IF(A59+'Summary'!$B$10*12&gt;A102,I59,0)+IF(A60+'Summary'!$B$10*12&gt;A102,I60,0)+IF(A61+'Summary'!$B$10*12&gt;A102,I61,0)+IF(A62+'Summary'!$B$10*12&gt;A102,I62,0)+IF(A63+'Summary'!$B$10*12&gt;A102,I63,0)+IF(A64+'Summary'!$B$10*12&gt;A102,I64,0)+IF(A65+'Summary'!$B$10*12&gt;A102,I65,0)+IF(A66+'Summary'!$B$10*12&gt;A102,I66,0)+IF(A67+'Summary'!$B$10*12&gt;A102,I67,0)+IF(A68+'Summary'!$B$10*12&gt;A102,I68,0)+IF(A69+'Summary'!$B$10*12&gt;A102,I69,0)+IF(A70+'Summary'!$B$10*12&gt;A102,I70,0)+IF(A71+'Summary'!$B$10*12&gt;A102,I71,0)+IF(A72+'Summary'!$B$10*12&gt;A102,I72,0)+IF(A73+'Summary'!$B$10*12&gt;A102,I73,0)+IF(A74+'Summary'!$B$10*12&gt;A102,I74,0)+IF(A75+'Summary'!$B$10*12&gt;A102,I75,0)+IF(A76+'Summary'!$B$10*12&gt;A102,I76,0)+IF(A77+'Summary'!$B$10*12&gt;A102,I77,0)+IF(A78+'Summary'!$B$10*12&gt;A102,I78,0)+IF(A79+'Summary'!$B$10*12&gt;A102,I79,0)+IF(A80+'Summary'!$B$10*12&gt;A102,I80,0)+IF(A81+'Summary'!$B$10*12&gt;A102,I81,0)+IF(A82+'Summary'!$B$10*12&gt;A102,I82,0)+IF(A83+'Summary'!$B$10*12&gt;A102,I83,0)+IF(A84+'Summary'!$B$10*12&gt;A102,I84,0)+IF(A85+'Summary'!$B$10*12&gt;A102,I85,0)+IF(A86+'Summary'!$B$10*12&gt;A102,I86,0)+IF(A87+'Summary'!$B$10*12&gt;A102,I87,0)+IF(A88+'Summary'!$B$10*12&gt;A102,I88,0)+IF(A89+'Summary'!$B$10*12&gt;A102,I89,0)+IF(A90+'Summary'!$B$10*12&gt;A102,I90,0)+IF(A91+'Summary'!$B$10*12&gt;A102,I91,0)+IF(A92+'Summary'!$B$10*12&gt;A102,I92,0)+IF(A93+'Summary'!$B$10*12&gt;A102,I93,0)+IF(A94+'Summary'!$B$10*12&gt;A102,I94,0)+IF(A95+'Summary'!$B$10*12&gt;A102,I95,0)+IF(A96+'Summary'!$B$10*12&gt;A102,I96,0)+IF(A97+'Summary'!$B$10*12&gt;A102,I97,0)+IF(A98+'Summary'!$B$10*12&gt;A102,I98,0)+IF(A99+'Summary'!$B$10*12&gt;A102,I99,0)+IF(A100+'Summary'!$B$10*12&gt;A102,I100,0)+IF(A101+'Summary'!$B$10*12&gt;A102,I101,0)+IF(A102+'Summary'!$B$10*12&gt;A102,I102,0)</x:f>
        <x:v>24115.191011664094</x:v>
      </x:c>
    </x:row>
    <x:row r="103">
      <x:c r="A103" s="55" t="n">
        <x:v>95</x:v>
      </x:c>
      <x:c r="B103" s="71" t="b">
        <x:f>A103&lt;='Summary'!$B$9*12</x:f>
        <x:v>1</x:v>
      </x:c>
      <x:c r="C103" s="62" t="n">
        <x:f>IF(A103=0,IF('Summary'!$B$6&gt;=5,'Summary'!$B$6,0),C102)+IF(A103&lt;'Summary'!$B$9*12,IF('Summary'!$B$7&gt;=5,'Summary'!$B$7,0),0)</x:f>
        <x:v>19600</x:v>
      </x:c>
      <x:c r="D103" s="62" t="n">
        <x:f>IF(A103=0,IF('Summary'!$B$6&gt;=5,'Summary'!$B$6,0),0)+IF(A103&lt;'Summary'!$B$9*12,IF('Summary'!$B$7&gt;=5,'Summary'!$B$7,0),0)</x:f>
        <x:v>100</x:v>
      </x:c>
      <x:c r="E103" s="62" t="n">
        <x:f>J102</x:f>
        <x:v>0</x:v>
      </x:c>
      <x:c r="F103" s="62" t="n">
        <x:f>(IF(AND(A103&gt;A8,A103&lt;=A8+'Summary'!$B$10*12,MOD(A103-A8,'Summary'!$B$11)=0),I8,0)+IF(AND(A103&gt;A9,A103&lt;=A9+'Summary'!$B$10*12,MOD(A103-A9,'Summary'!$B$11)=0),I9,0)+IF(AND(A103&gt;A10,A103&lt;=A10+'Summary'!$B$10*12,MOD(A103-A10,'Summary'!$B$11)=0),I10,0)+IF(AND(A103&gt;A11,A103&lt;=A11+'Summary'!$B$10*12,MOD(A103-A11,'Summary'!$B$11)=0),I11,0)+IF(AND(A103&gt;A12,A103&lt;=A12+'Summary'!$B$10*12,MOD(A103-A12,'Summary'!$B$11)=0),I12,0)+IF(AND(A103&gt;A13,A103&lt;=A13+'Summary'!$B$10*12,MOD(A103-A13,'Summary'!$B$11)=0),I13,0)+IF(AND(A103&gt;A14,A103&lt;=A14+'Summary'!$B$10*12,MOD(A103-A14,'Summary'!$B$11)=0),I14,0)+IF(AND(A103&gt;A15,A103&lt;=A15+'Summary'!$B$10*12,MOD(A103-A15,'Summary'!$B$11)=0),I15,0)+IF(AND(A103&gt;A16,A103&lt;=A16+'Summary'!$B$10*12,MOD(A103-A16,'Summary'!$B$11)=0),I16,0)+IF(AND(A103&gt;A17,A103&lt;=A17+'Summary'!$B$10*12,MOD(A103-A17,'Summary'!$B$11)=0),I17,0)+IF(AND(A103&gt;A18,A103&lt;=A18+'Summary'!$B$10*12,MOD(A103-A18,'Summary'!$B$11)=0),I18,0)+IF(AND(A103&gt;A19,A103&lt;=A19+'Summary'!$B$10*12,MOD(A103-A19,'Summary'!$B$11)=0),I19,0)+IF(AND(A103&gt;A20,A103&lt;=A20+'Summary'!$B$10*12,MOD(A103-A20,'Summary'!$B$11)=0),I20,0)+IF(AND(A103&gt;A21,A103&lt;=A21+'Summary'!$B$10*12,MOD(A103-A21,'Summary'!$B$11)=0),I21,0)+IF(AND(A103&gt;A22,A103&lt;=A22+'Summary'!$B$10*12,MOD(A103-A22,'Summary'!$B$11)=0),I22,0)+IF(AND(A103&gt;A23,A103&lt;=A23+'Summary'!$B$10*12,MOD(A103-A23,'Summary'!$B$11)=0),I23,0)+IF(AND(A103&gt;A24,A103&lt;=A24+'Summary'!$B$10*12,MOD(A103-A24,'Summary'!$B$11)=0),I24,0)+IF(AND(A103&gt;A25,A103&lt;=A25+'Summary'!$B$10*12,MOD(A103-A25,'Summary'!$B$11)=0),I25,0)+IF(AND(A103&gt;A26,A103&lt;=A26+'Summary'!$B$10*12,MOD(A103-A26,'Summary'!$B$11)=0),I26,0)+IF(AND(A103&gt;A27,A103&lt;=A27+'Summary'!$B$10*12,MOD(A103-A27,'Summary'!$B$11)=0),I27,0)+IF(AND(A103&gt;A28,A103&lt;=A28+'Summary'!$B$10*12,MOD(A103-A28,'Summary'!$B$11)=0),I28,0)+IF(AND(A103&gt;A29,A103&lt;=A29+'Summary'!$B$10*12,MOD(A103-A29,'Summary'!$B$11)=0),I29,0)+IF(AND(A103&gt;A30,A103&lt;=A30+'Summary'!$B$10*12,MOD(A103-A30,'Summary'!$B$11)=0),I30,0)+IF(AND(A103&gt;A31,A103&lt;=A31+'Summary'!$B$10*12,MOD(A103-A31,'Summary'!$B$11)=0),I31,0)+IF(AND(A103&gt;A32,A103&lt;=A32+'Summary'!$B$10*12,MOD(A103-A32,'Summary'!$B$11)=0),I32,0)+IF(AND(A103&gt;A33,A103&lt;=A33+'Summary'!$B$10*12,MOD(A103-A33,'Summary'!$B$11)=0),I33,0)+IF(AND(A103&gt;A34,A103&lt;=A34+'Summary'!$B$10*12,MOD(A103-A34,'Summary'!$B$11)=0),I34,0)+IF(AND(A103&gt;A35,A103&lt;=A35+'Summary'!$B$10*12,MOD(A103-A35,'Summary'!$B$11)=0),I35,0)+IF(AND(A103&gt;A36,A103&lt;=A36+'Summary'!$B$10*12,MOD(A103-A36,'Summary'!$B$11)=0),I36,0)+IF(AND(A103&gt;A37,A103&lt;=A37+'Summary'!$B$10*12,MOD(A103-A37,'Summary'!$B$11)=0),I37,0)+IF(AND(A103&gt;A38,A103&lt;=A38+'Summary'!$B$10*12,MOD(A103-A38,'Summary'!$B$11)=0),I38,0)+IF(AND(A103&gt;A39,A103&lt;=A39+'Summary'!$B$10*12,MOD(A103-A39,'Summary'!$B$11)=0),I39,0)+IF(AND(A103&gt;A40,A103&lt;=A40+'Summary'!$B$10*12,MOD(A103-A40,'Summary'!$B$11)=0),I40,0)+IF(AND(A103&gt;A41,A103&lt;=A41+'Summary'!$B$10*12,MOD(A103-A41,'Summary'!$B$11)=0),I41,0)+IF(AND(A103&gt;A42,A103&lt;=A42+'Summary'!$B$10*12,MOD(A103-A42,'Summary'!$B$11)=0),I42,0)+IF(AND(A103&gt;A43,A103&lt;=A43+'Summary'!$B$10*12,MOD(A103-A43,'Summary'!$B$11)=0),I43,0)+IF(AND(A103&gt;A44,A103&lt;=A44+'Summary'!$B$10*12,MOD(A103-A44,'Summary'!$B$11)=0),I44,0)+IF(AND(A103&gt;A45,A103&lt;=A45+'Summary'!$B$10*12,MOD(A103-A45,'Summary'!$B$11)=0),I45,0)+IF(AND(A103&gt;A46,A103&lt;=A46+'Summary'!$B$10*12,MOD(A103-A46,'Summary'!$B$11)=0),I46,0)+IF(AND(A103&gt;A47,A103&lt;=A47+'Summary'!$B$10*12,MOD(A103-A47,'Summary'!$B$11)=0),I47,0)+IF(AND(A103&gt;A48,A103&lt;=A48+'Summary'!$B$10*12,MOD(A103-A48,'Summary'!$B$11)=0),I48,0)+IF(AND(A103&gt;A49,A103&lt;=A49+'Summary'!$B$10*12,MOD(A103-A49,'Summary'!$B$11)=0),I49,0)+IF(AND(A103&gt;A50,A103&lt;=A50+'Summary'!$B$10*12,MOD(A103-A50,'Summary'!$B$11)=0),I50,0)+IF(AND(A103&gt;A51,A103&lt;=A51+'Summary'!$B$10*12,MOD(A103-A51,'Summary'!$B$11)=0),I51,0)+IF(AND(A103&gt;A52,A103&lt;=A52+'Summary'!$B$10*12,MOD(A103-A52,'Summary'!$B$11)=0),I52,0)+IF(AND(A103&gt;A53,A103&lt;=A53+'Summary'!$B$10*12,MOD(A103-A53,'Summary'!$B$11)=0),I53,0)+IF(AND(A103&gt;A54,A103&lt;=A54+'Summary'!$B$10*12,MOD(A103-A54,'Summary'!$B$11)=0),I54,0)+IF(AND(A103&gt;A55,A103&lt;=A55+'Summary'!$B$10*12,MOD(A103-A55,'Summary'!$B$11)=0),I55,0)+IF(AND(A103&gt;A56,A103&lt;=A56+'Summary'!$B$10*12,MOD(A103-A56,'Summary'!$B$11)=0),I56,0)+IF(AND(A103&gt;A57,A103&lt;=A57+'Summary'!$B$10*12,MOD(A103-A57,'Summary'!$B$11)=0),I57,0)+IF(AND(A103&gt;A58,A103&lt;=A58+'Summary'!$B$10*12,MOD(A103-A58,'Summary'!$B$11)=0),I58,0)+IF(AND(A103&gt;A59,A103&lt;=A59+'Summary'!$B$10*12,MOD(A103-A59,'Summary'!$B$11)=0),I59,0)+IF(AND(A103&gt;A60,A103&lt;=A60+'Summary'!$B$10*12,MOD(A103-A60,'Summary'!$B$11)=0),I60,0)+IF(AND(A103&gt;A61,A103&lt;=A61+'Summary'!$B$10*12,MOD(A103-A61,'Summary'!$B$11)=0),I61,0)+IF(AND(A103&gt;A62,A103&lt;=A62+'Summary'!$B$10*12,MOD(A103-A62,'Summary'!$B$11)=0),I62,0)+IF(AND(A103&gt;A63,A103&lt;=A63+'Summary'!$B$10*12,MOD(A103-A63,'Summary'!$B$11)=0),I63,0)+IF(AND(A103&gt;A64,A103&lt;=A64+'Summary'!$B$10*12,MOD(A103-A64,'Summary'!$B$11)=0),I64,0)+IF(AND(A103&gt;A65,A103&lt;=A65+'Summary'!$B$10*12,MOD(A103-A65,'Summary'!$B$11)=0),I65,0)+IF(AND(A103&gt;A66,A103&lt;=A66+'Summary'!$B$10*12,MOD(A103-A66,'Summary'!$B$11)=0),I66,0)+IF(AND(A103&gt;A67,A103&lt;=A67+'Summary'!$B$10*12,MOD(A103-A67,'Summary'!$B$11)=0),I67,0)+IF(AND(A103&gt;A68,A103&lt;=A68+'Summary'!$B$10*12,MOD(A103-A68,'Summary'!$B$11)=0),I68,0)+IF(AND(A103&gt;A69,A103&lt;=A69+'Summary'!$B$10*12,MOD(A103-A69,'Summary'!$B$11)=0),I69,0)+IF(AND(A103&gt;A70,A103&lt;=A70+'Summary'!$B$10*12,MOD(A103-A70,'Summary'!$B$11)=0),I70,0)+IF(AND(A103&gt;A71,A103&lt;=A71+'Summary'!$B$10*12,MOD(A103-A71,'Summary'!$B$11)=0),I71,0)+IF(AND(A103&gt;A72,A103&lt;=A72+'Summary'!$B$10*12,MOD(A103-A72,'Summary'!$B$11)=0),I72,0)+IF(AND(A103&gt;A73,A103&lt;=A73+'Summary'!$B$10*12,MOD(A103-A73,'Summary'!$B$11)=0),I73,0)+IF(AND(A103&gt;A74,A103&lt;=A74+'Summary'!$B$10*12,MOD(A103-A74,'Summary'!$B$11)=0),I74,0)+IF(AND(A103&gt;A75,A103&lt;=A75+'Summary'!$B$10*12,MOD(A103-A75,'Summary'!$B$11)=0),I75,0)+IF(AND(A103&gt;A76,A103&lt;=A76+'Summary'!$B$10*12,MOD(A103-A76,'Summary'!$B$11)=0),I76,0)+IF(AND(A103&gt;A77,A103&lt;=A77+'Summary'!$B$10*12,MOD(A103-A77,'Summary'!$B$11)=0),I77,0)+IF(AND(A103&gt;A78,A103&lt;=A78+'Summary'!$B$10*12,MOD(A103-A78,'Summary'!$B$11)=0),I78,0)+IF(AND(A103&gt;A79,A103&lt;=A79+'Summary'!$B$10*12,MOD(A103-A79,'Summary'!$B$11)=0),I79,0)+IF(AND(A103&gt;A80,A103&lt;=A80+'Summary'!$B$10*12,MOD(A103-A80,'Summary'!$B$11)=0),I80,0)+IF(AND(A103&gt;A81,A103&lt;=A81+'Summary'!$B$10*12,MOD(A103-A81,'Summary'!$B$11)=0),I81,0)+IF(AND(A103&gt;A82,A103&lt;=A82+'Summary'!$B$10*12,MOD(A103-A82,'Summary'!$B$11)=0),I82,0)+IF(AND(A103&gt;A83,A103&lt;=A83+'Summary'!$B$10*12,MOD(A103-A83,'Summary'!$B$11)=0),I83,0)+IF(AND(A103&gt;A84,A103&lt;=A84+'Summary'!$B$10*12,MOD(A103-A84,'Summary'!$B$11)=0),I84,0)+IF(AND(A103&gt;A85,A103&lt;=A85+'Summary'!$B$10*12,MOD(A103-A85,'Summary'!$B$11)=0),I85,0)+IF(AND(A103&gt;A86,A103&lt;=A86+'Summary'!$B$10*12,MOD(A103-A86,'Summary'!$B$11)=0),I86,0)+IF(AND(A103&gt;A87,A103&lt;=A87+'Summary'!$B$10*12,MOD(A103-A87,'Summary'!$B$11)=0),I87,0)+IF(AND(A103&gt;A88,A103&lt;=A88+'Summary'!$B$10*12,MOD(A103-A88,'Summary'!$B$11)=0),I88,0)+IF(AND(A103&gt;A89,A103&lt;=A89+'Summary'!$B$10*12,MOD(A103-A89,'Summary'!$B$11)=0),I89,0)+IF(AND(A103&gt;A90,A103&lt;=A90+'Summary'!$B$10*12,MOD(A103-A90,'Summary'!$B$11)=0),I90,0)+IF(AND(A103&gt;A91,A103&lt;=A91+'Summary'!$B$10*12,MOD(A103-A91,'Summary'!$B$11)=0),I91,0)+IF(AND(A103&gt;A92,A103&lt;=A92+'Summary'!$B$10*12,MOD(A103-A92,'Summary'!$B$11)=0),I92,0)+IF(AND(A103&gt;A93,A103&lt;=A93+'Summary'!$B$10*12,MOD(A103-A93,'Summary'!$B$11)=0),I93,0)+IF(AND(A103&gt;A94,A103&lt;=A94+'Summary'!$B$10*12,MOD(A103-A94,'Summary'!$B$11)=0),I94,0)+IF(AND(A103&gt;A95,A103&lt;=A95+'Summary'!$B$10*12,MOD(A103-A95,'Summary'!$B$11)=0),I95,0)+IF(AND(A103&gt;A96,A103&lt;=A96+'Summary'!$B$10*12,MOD(A103-A96,'Summary'!$B$11)=0),I96,0)+IF(AND(A103&gt;A97,A103&lt;=A97+'Summary'!$B$10*12,MOD(A103-A97,'Summary'!$B$11)=0),I97,0)+IF(AND(A103&gt;A98,A103&lt;=A98+'Summary'!$B$10*12,MOD(A103-A98,'Summary'!$B$11)=0),I98,0)+IF(AND(A103&gt;A99,A103&lt;=A99+'Summary'!$B$10*12,MOD(A103-A99,'Summary'!$B$11)=0),I99,0)+IF(AND(A103&gt;A100,A103&lt;=A100+'Summary'!$B$10*12,MOD(A103-A100,'Summary'!$B$11)=0),I100,0)+IF(AND(A103&gt;A101,A103&lt;=A101+'Summary'!$B$10*12,MOD(A103-A101,'Summary'!$B$11)=0),I101,0)+IF(AND(A103&gt;A102,A103&lt;=A102+'Summary'!$B$10*12,MOD(A103-A102,'Summary'!$B$11)=0),I102,0))*'Summary'!$B$8/2</x:f>
        <x:v>31.842393161945477</x:v>
      </x:c>
      <x:c r="G103" s="62" t="n">
        <x:f>IF(A103=A8+'Summary'!$B$10*12,I8,0)+IF(A103=A9+'Summary'!$B$10*12,I9,0)+IF(A103=A10+'Summary'!$B$10*12,I10,0)+IF(A103=A11+'Summary'!$B$10*12,I11,0)+IF(A103=A12+'Summary'!$B$10*12,I12,0)+IF(A103=A13+'Summary'!$B$10*12,I13,0)+IF(A103=A14+'Summary'!$B$10*12,I14,0)+IF(A103=A15+'Summary'!$B$10*12,I15,0)+IF(A103=A16+'Summary'!$B$10*12,I16,0)+IF(A103=A17+'Summary'!$B$10*12,I17,0)+IF(A103=A18+'Summary'!$B$10*12,I18,0)+IF(A103=A19+'Summary'!$B$10*12,I19,0)+IF(A103=A20+'Summary'!$B$10*12,I20,0)+IF(A103=A21+'Summary'!$B$10*12,I21,0)+IF(A103=A22+'Summary'!$B$10*12,I22,0)+IF(A103=A23+'Summary'!$B$10*12,I23,0)+IF(A103=A24+'Summary'!$B$10*12,I24,0)+IF(A103=A25+'Summary'!$B$10*12,I25,0)+IF(A103=A26+'Summary'!$B$10*12,I26,0)+IF(A103=A27+'Summary'!$B$10*12,I27,0)+IF(A103=A28+'Summary'!$B$10*12,I28,0)+IF(A103=A29+'Summary'!$B$10*12,I29,0)+IF(A103=A30+'Summary'!$B$10*12,I30,0)+IF(A103=A31+'Summary'!$B$10*12,I31,0)+IF(A103=A32+'Summary'!$B$10*12,I32,0)+IF(A103=A33+'Summary'!$B$10*12,I33,0)+IF(A103=A34+'Summary'!$B$10*12,I34,0)+IF(A103=A35+'Summary'!$B$10*12,I35,0)+IF(A103=A36+'Summary'!$B$10*12,I36,0)+IF(A103=A37+'Summary'!$B$10*12,I37,0)+IF(A103=A38+'Summary'!$B$10*12,I38,0)+IF(A103=A39+'Summary'!$B$10*12,I39,0)+IF(A103=A40+'Summary'!$B$10*12,I40,0)+IF(A103=A41+'Summary'!$B$10*12,I41,0)+IF(A103=A42+'Summary'!$B$10*12,I42,0)+IF(A103=A43+'Summary'!$B$10*12,I43,0)+IF(A103=A44+'Summary'!$B$10*12,I44,0)+IF(A103=A45+'Summary'!$B$10*12,I45,0)+IF(A103=A46+'Summary'!$B$10*12,I46,0)+IF(A103=A47+'Summary'!$B$10*12,I47,0)+IF(A103=A48+'Summary'!$B$10*12,I48,0)+IF(A103=A49+'Summary'!$B$10*12,I49,0)+IF(A103=A50+'Summary'!$B$10*12,I50,0)+IF(A103=A51+'Summary'!$B$10*12,I51,0)+IF(A103=A52+'Summary'!$B$10*12,I52,0)+IF(A103=A53+'Summary'!$B$10*12,I53,0)+IF(A103=A54+'Summary'!$B$10*12,I54,0)+IF(A103=A55+'Summary'!$B$10*12,I55,0)+IF(A103=A56+'Summary'!$B$10*12,I56,0)+IF(A103=A57+'Summary'!$B$10*12,I57,0)+IF(A103=A58+'Summary'!$B$10*12,I58,0)+IF(A103=A59+'Summary'!$B$10*12,I59,0)+IF(A103=A60+'Summary'!$B$10*12,I60,0)+IF(A103=A61+'Summary'!$B$10*12,I61,0)+IF(A103=A62+'Summary'!$B$10*12,I62,0)+IF(A103=A63+'Summary'!$B$10*12,I63,0)+IF(A103=A64+'Summary'!$B$10*12,I64,0)+IF(A103=A65+'Summary'!$B$10*12,I65,0)+IF(A103=A66+'Summary'!$B$10*12,I66,0)+IF(A103=A67+'Summary'!$B$10*12,I67,0)+IF(A103=A68+'Summary'!$B$10*12,I68,0)+IF(A103=A69+'Summary'!$B$10*12,I69,0)+IF(A103=A70+'Summary'!$B$10*12,I70,0)+IF(A103=A71+'Summary'!$B$10*12,I71,0)+IF(A103=A72+'Summary'!$B$10*12,I72,0)+IF(A103=A73+'Summary'!$B$10*12,I73,0)+IF(A103=A74+'Summary'!$B$10*12,I74,0)+IF(A103=A75+'Summary'!$B$10*12,I75,0)+IF(A103=A76+'Summary'!$B$10*12,I76,0)+IF(A103=A77+'Summary'!$B$10*12,I77,0)+IF(A103=A78+'Summary'!$B$10*12,I78,0)+IF(A103=A79+'Summary'!$B$10*12,I79,0)+IF(A103=A80+'Summary'!$B$10*12,I80,0)+IF(A103=A81+'Summary'!$B$10*12,I81,0)+IF(A103=A82+'Summary'!$B$10*12,I82,0)+IF(A103=A83+'Summary'!$B$10*12,I83,0)+IF(A103=A84+'Summary'!$B$10*12,I84,0)+IF(A103=A85+'Summary'!$B$10*12,I85,0)+IF(A103=A86+'Summary'!$B$10*12,I86,0)+IF(A103=A87+'Summary'!$B$10*12,I87,0)+IF(A103=A88+'Summary'!$B$10*12,I88,0)+IF(A103=A89+'Summary'!$B$10*12,I89,0)+IF(A103=A90+'Summary'!$B$10*12,I90,0)+IF(A103=A91+'Summary'!$B$10*12,I91,0)+IF(A103=A92+'Summary'!$B$10*12,I92,0)+IF(A103=A93+'Summary'!$B$10*12,I93,0)+IF(A103=A94+'Summary'!$B$10*12,I94,0)+IF(A103=A95+'Summary'!$B$10*12,I95,0)+IF(A103=A96+'Summary'!$B$10*12,I96,0)+IF(A103=A97+'Summary'!$B$10*12,I97,0)+IF(A103=A98+'Summary'!$B$10*12,I98,0)+IF(A103=A99+'Summary'!$B$10*12,I99,0)+IF(A103=A100+'Summary'!$B$10*12,I100,0)+IF(A103=A101+'Summary'!$B$10*12,I101,0)+IF(A103=A102+'Summary'!$B$10*12,I102,0)</x:f>
        <x:v>109.65245492278108</x:v>
      </x:c>
      <x:c r="H103" s="62" t="n">
        <x:f>E103+D103+F103+G103</x:f>
        <x:v>241.49484808472653</x:v>
      </x:c>
      <x:c r="I103" s="62" t="n">
        <x:f>IF(B103,IF(H103&gt;='Summary'!$B$12,H103,0),0)</x:f>
        <x:v>241.49484808472653</x:v>
      </x:c>
      <x:c r="J103" s="62" t="n">
        <x:f>H103-I103</x:f>
        <x:v>0</x:v>
      </x:c>
      <x:c r="K103" s="63" t="n">
        <x:f>J103+IF(A8+'Summary'!$B$10*12&gt;A103,I8,0)+IF(A9+'Summary'!$B$10*12&gt;A103,I9,0)+IF(A10+'Summary'!$B$10*12&gt;A103,I10,0)+IF(A11+'Summary'!$B$10*12&gt;A103,I11,0)+IF(A12+'Summary'!$B$10*12&gt;A103,I12,0)+IF(A13+'Summary'!$B$10*12&gt;A103,I13,0)+IF(A14+'Summary'!$B$10*12&gt;A103,I14,0)+IF(A15+'Summary'!$B$10*12&gt;A103,I15,0)+IF(A16+'Summary'!$B$10*12&gt;A103,I16,0)+IF(A17+'Summary'!$B$10*12&gt;A103,I17,0)+IF(A18+'Summary'!$B$10*12&gt;A103,I18,0)+IF(A19+'Summary'!$B$10*12&gt;A103,I19,0)+IF(A20+'Summary'!$B$10*12&gt;A103,I20,0)+IF(A21+'Summary'!$B$10*12&gt;A103,I21,0)+IF(A22+'Summary'!$B$10*12&gt;A103,I22,0)+IF(A23+'Summary'!$B$10*12&gt;A103,I23,0)+IF(A24+'Summary'!$B$10*12&gt;A103,I24,0)+IF(A25+'Summary'!$B$10*12&gt;A103,I25,0)+IF(A26+'Summary'!$B$10*12&gt;A103,I26,0)+IF(A27+'Summary'!$B$10*12&gt;A103,I27,0)+IF(A28+'Summary'!$B$10*12&gt;A103,I28,0)+IF(A29+'Summary'!$B$10*12&gt;A103,I29,0)+IF(A30+'Summary'!$B$10*12&gt;A103,I30,0)+IF(A31+'Summary'!$B$10*12&gt;A103,I31,0)+IF(A32+'Summary'!$B$10*12&gt;A103,I32,0)+IF(A33+'Summary'!$B$10*12&gt;A103,I33,0)+IF(A34+'Summary'!$B$10*12&gt;A103,I34,0)+IF(A35+'Summary'!$B$10*12&gt;A103,I35,0)+IF(A36+'Summary'!$B$10*12&gt;A103,I36,0)+IF(A37+'Summary'!$B$10*12&gt;A103,I37,0)+IF(A38+'Summary'!$B$10*12&gt;A103,I38,0)+IF(A39+'Summary'!$B$10*12&gt;A103,I39,0)+IF(A40+'Summary'!$B$10*12&gt;A103,I40,0)+IF(A41+'Summary'!$B$10*12&gt;A103,I41,0)+IF(A42+'Summary'!$B$10*12&gt;A103,I42,0)+IF(A43+'Summary'!$B$10*12&gt;A103,I43,0)+IF(A44+'Summary'!$B$10*12&gt;A103,I44,0)+IF(A45+'Summary'!$B$10*12&gt;A103,I45,0)+IF(A46+'Summary'!$B$10*12&gt;A103,I46,0)+IF(A47+'Summary'!$B$10*12&gt;A103,I47,0)+IF(A48+'Summary'!$B$10*12&gt;A103,I48,0)+IF(A49+'Summary'!$B$10*12&gt;A103,I49,0)+IF(A50+'Summary'!$B$10*12&gt;A103,I50,0)+IF(A51+'Summary'!$B$10*12&gt;A103,I51,0)+IF(A52+'Summary'!$B$10*12&gt;A103,I52,0)+IF(A53+'Summary'!$B$10*12&gt;A103,I53,0)+IF(A54+'Summary'!$B$10*12&gt;A103,I54,0)+IF(A55+'Summary'!$B$10*12&gt;A103,I55,0)+IF(A56+'Summary'!$B$10*12&gt;A103,I56,0)+IF(A57+'Summary'!$B$10*12&gt;A103,I57,0)+IF(A58+'Summary'!$B$10*12&gt;A103,I58,0)+IF(A59+'Summary'!$B$10*12&gt;A103,I59,0)+IF(A60+'Summary'!$B$10*12&gt;A103,I60,0)+IF(A61+'Summary'!$B$10*12&gt;A103,I61,0)+IF(A62+'Summary'!$B$10*12&gt;A103,I62,0)+IF(A63+'Summary'!$B$10*12&gt;A103,I63,0)+IF(A64+'Summary'!$B$10*12&gt;A103,I64,0)+IF(A65+'Summary'!$B$10*12&gt;A103,I65,0)+IF(A66+'Summary'!$B$10*12&gt;A103,I66,0)+IF(A67+'Summary'!$B$10*12&gt;A103,I67,0)+IF(A68+'Summary'!$B$10*12&gt;A103,I68,0)+IF(A69+'Summary'!$B$10*12&gt;A103,I69,0)+IF(A70+'Summary'!$B$10*12&gt;A103,I70,0)+IF(A71+'Summary'!$B$10*12&gt;A103,I71,0)+IF(A72+'Summary'!$B$10*12&gt;A103,I72,0)+IF(A73+'Summary'!$B$10*12&gt;A103,I73,0)+IF(A74+'Summary'!$B$10*12&gt;A103,I74,0)+IF(A75+'Summary'!$B$10*12&gt;A103,I75,0)+IF(A76+'Summary'!$B$10*12&gt;A103,I76,0)+IF(A77+'Summary'!$B$10*12&gt;A103,I77,0)+IF(A78+'Summary'!$B$10*12&gt;A103,I78,0)+IF(A79+'Summary'!$B$10*12&gt;A103,I79,0)+IF(A80+'Summary'!$B$10*12&gt;A103,I80,0)+IF(A81+'Summary'!$B$10*12&gt;A103,I81,0)+IF(A82+'Summary'!$B$10*12&gt;A103,I82,0)+IF(A83+'Summary'!$B$10*12&gt;A103,I83,0)+IF(A84+'Summary'!$B$10*12&gt;A103,I84,0)+IF(A85+'Summary'!$B$10*12&gt;A103,I85,0)+IF(A86+'Summary'!$B$10*12&gt;A103,I86,0)+IF(A87+'Summary'!$B$10*12&gt;A103,I87,0)+IF(A88+'Summary'!$B$10*12&gt;A103,I88,0)+IF(A89+'Summary'!$B$10*12&gt;A103,I89,0)+IF(A90+'Summary'!$B$10*12&gt;A103,I90,0)+IF(A91+'Summary'!$B$10*12&gt;A103,I91,0)+IF(A92+'Summary'!$B$10*12&gt;A103,I92,0)+IF(A93+'Summary'!$B$10*12&gt;A103,I93,0)+IF(A94+'Summary'!$B$10*12&gt;A103,I94,0)+IF(A95+'Summary'!$B$10*12&gt;A103,I95,0)+IF(A96+'Summary'!$B$10*12&gt;A103,I96,0)+IF(A97+'Summary'!$B$10*12&gt;A103,I97,0)+IF(A98+'Summary'!$B$10*12&gt;A103,I98,0)+IF(A99+'Summary'!$B$10*12&gt;A103,I99,0)+IF(A100+'Summary'!$B$10*12&gt;A103,I100,0)+IF(A101+'Summary'!$B$10*12&gt;A103,I101,0)+IF(A102+'Summary'!$B$10*12&gt;A103,I102,0)+IF(A103+'Summary'!$B$10*12&gt;A103,I103,0)</x:f>
        <x:v>24247.03340482604</x:v>
      </x:c>
    </x:row>
    <x:row r="104">
      <x:c r="A104" s="55" t="n">
        <x:v>96</x:v>
      </x:c>
      <x:c r="B104" s="71" t="b">
        <x:f>A104&lt;='Summary'!$B$9*12</x:f>
        <x:v>1</x:v>
      </x:c>
      <x:c r="C104" s="62" t="n">
        <x:f>IF(A104=0,IF('Summary'!$B$6&gt;=5,'Summary'!$B$6,0),C103)+IF(A104&lt;'Summary'!$B$9*12,IF('Summary'!$B$7&gt;=5,'Summary'!$B$7,0),0)</x:f>
        <x:v>19700</x:v>
      </x:c>
      <x:c r="D104" s="62" t="n">
        <x:f>IF(A104=0,IF('Summary'!$B$6&gt;=5,'Summary'!$B$6,0),0)+IF(A104&lt;'Summary'!$B$9*12,IF('Summary'!$B$7&gt;=5,'Summary'!$B$7,0),0)</x:f>
        <x:v>100</x:v>
      </x:c>
      <x:c r="E104" s="62" t="n">
        <x:f>J103</x:f>
        <x:v>0</x:v>
      </x:c>
      <x:c r="F104" s="62" t="n">
        <x:f>(IF(AND(A104&gt;A8,A104&lt;=A8+'Summary'!$B$10*12,MOD(A104-A8,'Summary'!$B$11)=0),I8,0)+IF(AND(A104&gt;A9,A104&lt;=A9+'Summary'!$B$10*12,MOD(A104-A9,'Summary'!$B$11)=0),I9,0)+IF(AND(A104&gt;A10,A104&lt;=A10+'Summary'!$B$10*12,MOD(A104-A10,'Summary'!$B$11)=0),I10,0)+IF(AND(A104&gt;A11,A104&lt;=A11+'Summary'!$B$10*12,MOD(A104-A11,'Summary'!$B$11)=0),I11,0)+IF(AND(A104&gt;A12,A104&lt;=A12+'Summary'!$B$10*12,MOD(A104-A12,'Summary'!$B$11)=0),I12,0)+IF(AND(A104&gt;A13,A104&lt;=A13+'Summary'!$B$10*12,MOD(A104-A13,'Summary'!$B$11)=0),I13,0)+IF(AND(A104&gt;A14,A104&lt;=A14+'Summary'!$B$10*12,MOD(A104-A14,'Summary'!$B$11)=0),I14,0)+IF(AND(A104&gt;A15,A104&lt;=A15+'Summary'!$B$10*12,MOD(A104-A15,'Summary'!$B$11)=0),I15,0)+IF(AND(A104&gt;A16,A104&lt;=A16+'Summary'!$B$10*12,MOD(A104-A16,'Summary'!$B$11)=0),I16,0)+IF(AND(A104&gt;A17,A104&lt;=A17+'Summary'!$B$10*12,MOD(A104-A17,'Summary'!$B$11)=0),I17,0)+IF(AND(A104&gt;A18,A104&lt;=A18+'Summary'!$B$10*12,MOD(A104-A18,'Summary'!$B$11)=0),I18,0)+IF(AND(A104&gt;A19,A104&lt;=A19+'Summary'!$B$10*12,MOD(A104-A19,'Summary'!$B$11)=0),I19,0)+IF(AND(A104&gt;A20,A104&lt;=A20+'Summary'!$B$10*12,MOD(A104-A20,'Summary'!$B$11)=0),I20,0)+IF(AND(A104&gt;A21,A104&lt;=A21+'Summary'!$B$10*12,MOD(A104-A21,'Summary'!$B$11)=0),I21,0)+IF(AND(A104&gt;A22,A104&lt;=A22+'Summary'!$B$10*12,MOD(A104-A22,'Summary'!$B$11)=0),I22,0)+IF(AND(A104&gt;A23,A104&lt;=A23+'Summary'!$B$10*12,MOD(A104-A23,'Summary'!$B$11)=0),I23,0)+IF(AND(A104&gt;A24,A104&lt;=A24+'Summary'!$B$10*12,MOD(A104-A24,'Summary'!$B$11)=0),I24,0)+IF(AND(A104&gt;A25,A104&lt;=A25+'Summary'!$B$10*12,MOD(A104-A25,'Summary'!$B$11)=0),I25,0)+IF(AND(A104&gt;A26,A104&lt;=A26+'Summary'!$B$10*12,MOD(A104-A26,'Summary'!$B$11)=0),I26,0)+IF(AND(A104&gt;A27,A104&lt;=A27+'Summary'!$B$10*12,MOD(A104-A27,'Summary'!$B$11)=0),I27,0)+IF(AND(A104&gt;A28,A104&lt;=A28+'Summary'!$B$10*12,MOD(A104-A28,'Summary'!$B$11)=0),I28,0)+IF(AND(A104&gt;A29,A104&lt;=A29+'Summary'!$B$10*12,MOD(A104-A29,'Summary'!$B$11)=0),I29,0)+IF(AND(A104&gt;A30,A104&lt;=A30+'Summary'!$B$10*12,MOD(A104-A30,'Summary'!$B$11)=0),I30,0)+IF(AND(A104&gt;A31,A104&lt;=A31+'Summary'!$B$10*12,MOD(A104-A31,'Summary'!$B$11)=0),I31,0)+IF(AND(A104&gt;A32,A104&lt;=A32+'Summary'!$B$10*12,MOD(A104-A32,'Summary'!$B$11)=0),I32,0)+IF(AND(A104&gt;A33,A104&lt;=A33+'Summary'!$B$10*12,MOD(A104-A33,'Summary'!$B$11)=0),I33,0)+IF(AND(A104&gt;A34,A104&lt;=A34+'Summary'!$B$10*12,MOD(A104-A34,'Summary'!$B$11)=0),I34,0)+IF(AND(A104&gt;A35,A104&lt;=A35+'Summary'!$B$10*12,MOD(A104-A35,'Summary'!$B$11)=0),I35,0)+IF(AND(A104&gt;A36,A104&lt;=A36+'Summary'!$B$10*12,MOD(A104-A36,'Summary'!$B$11)=0),I36,0)+IF(AND(A104&gt;A37,A104&lt;=A37+'Summary'!$B$10*12,MOD(A104-A37,'Summary'!$B$11)=0),I37,0)+IF(AND(A104&gt;A38,A104&lt;=A38+'Summary'!$B$10*12,MOD(A104-A38,'Summary'!$B$11)=0),I38,0)+IF(AND(A104&gt;A39,A104&lt;=A39+'Summary'!$B$10*12,MOD(A104-A39,'Summary'!$B$11)=0),I39,0)+IF(AND(A104&gt;A40,A104&lt;=A40+'Summary'!$B$10*12,MOD(A104-A40,'Summary'!$B$11)=0),I40,0)+IF(AND(A104&gt;A41,A104&lt;=A41+'Summary'!$B$10*12,MOD(A104-A41,'Summary'!$B$11)=0),I41,0)+IF(AND(A104&gt;A42,A104&lt;=A42+'Summary'!$B$10*12,MOD(A104-A42,'Summary'!$B$11)=0),I42,0)+IF(AND(A104&gt;A43,A104&lt;=A43+'Summary'!$B$10*12,MOD(A104-A43,'Summary'!$B$11)=0),I43,0)+IF(AND(A104&gt;A44,A104&lt;=A44+'Summary'!$B$10*12,MOD(A104-A44,'Summary'!$B$11)=0),I44,0)+IF(AND(A104&gt;A45,A104&lt;=A45+'Summary'!$B$10*12,MOD(A104-A45,'Summary'!$B$11)=0),I45,0)+IF(AND(A104&gt;A46,A104&lt;=A46+'Summary'!$B$10*12,MOD(A104-A46,'Summary'!$B$11)=0),I46,0)+IF(AND(A104&gt;A47,A104&lt;=A47+'Summary'!$B$10*12,MOD(A104-A47,'Summary'!$B$11)=0),I47,0)+IF(AND(A104&gt;A48,A104&lt;=A48+'Summary'!$B$10*12,MOD(A104-A48,'Summary'!$B$11)=0),I48,0)+IF(AND(A104&gt;A49,A104&lt;=A49+'Summary'!$B$10*12,MOD(A104-A49,'Summary'!$B$11)=0),I49,0)+IF(AND(A104&gt;A50,A104&lt;=A50+'Summary'!$B$10*12,MOD(A104-A50,'Summary'!$B$11)=0),I50,0)+IF(AND(A104&gt;A51,A104&lt;=A51+'Summary'!$B$10*12,MOD(A104-A51,'Summary'!$B$11)=0),I51,0)+IF(AND(A104&gt;A52,A104&lt;=A52+'Summary'!$B$10*12,MOD(A104-A52,'Summary'!$B$11)=0),I52,0)+IF(AND(A104&gt;A53,A104&lt;=A53+'Summary'!$B$10*12,MOD(A104-A53,'Summary'!$B$11)=0),I53,0)+IF(AND(A104&gt;A54,A104&lt;=A54+'Summary'!$B$10*12,MOD(A104-A54,'Summary'!$B$11)=0),I54,0)+IF(AND(A104&gt;A55,A104&lt;=A55+'Summary'!$B$10*12,MOD(A104-A55,'Summary'!$B$11)=0),I55,0)+IF(AND(A104&gt;A56,A104&lt;=A56+'Summary'!$B$10*12,MOD(A104-A56,'Summary'!$B$11)=0),I56,0)+IF(AND(A104&gt;A57,A104&lt;=A57+'Summary'!$B$10*12,MOD(A104-A57,'Summary'!$B$11)=0),I57,0)+IF(AND(A104&gt;A58,A104&lt;=A58+'Summary'!$B$10*12,MOD(A104-A58,'Summary'!$B$11)=0),I58,0)+IF(AND(A104&gt;A59,A104&lt;=A59+'Summary'!$B$10*12,MOD(A104-A59,'Summary'!$B$11)=0),I59,0)+IF(AND(A104&gt;A60,A104&lt;=A60+'Summary'!$B$10*12,MOD(A104-A60,'Summary'!$B$11)=0),I60,0)+IF(AND(A104&gt;A61,A104&lt;=A61+'Summary'!$B$10*12,MOD(A104-A61,'Summary'!$B$11)=0),I61,0)+IF(AND(A104&gt;A62,A104&lt;=A62+'Summary'!$B$10*12,MOD(A104-A62,'Summary'!$B$11)=0),I62,0)+IF(AND(A104&gt;A63,A104&lt;=A63+'Summary'!$B$10*12,MOD(A104-A63,'Summary'!$B$11)=0),I63,0)+IF(AND(A104&gt;A64,A104&lt;=A64+'Summary'!$B$10*12,MOD(A104-A64,'Summary'!$B$11)=0),I64,0)+IF(AND(A104&gt;A65,A104&lt;=A65+'Summary'!$B$10*12,MOD(A104-A65,'Summary'!$B$11)=0),I65,0)+IF(AND(A104&gt;A66,A104&lt;=A66+'Summary'!$B$10*12,MOD(A104-A66,'Summary'!$B$11)=0),I66,0)+IF(AND(A104&gt;A67,A104&lt;=A67+'Summary'!$B$10*12,MOD(A104-A67,'Summary'!$B$11)=0),I67,0)+IF(AND(A104&gt;A68,A104&lt;=A68+'Summary'!$B$10*12,MOD(A104-A68,'Summary'!$B$11)=0),I68,0)+IF(AND(A104&gt;A69,A104&lt;=A69+'Summary'!$B$10*12,MOD(A104-A69,'Summary'!$B$11)=0),I69,0)+IF(AND(A104&gt;A70,A104&lt;=A70+'Summary'!$B$10*12,MOD(A104-A70,'Summary'!$B$11)=0),I70,0)+IF(AND(A104&gt;A71,A104&lt;=A71+'Summary'!$B$10*12,MOD(A104-A71,'Summary'!$B$11)=0),I71,0)+IF(AND(A104&gt;A72,A104&lt;=A72+'Summary'!$B$10*12,MOD(A104-A72,'Summary'!$B$11)=0),I72,0)+IF(AND(A104&gt;A73,A104&lt;=A73+'Summary'!$B$10*12,MOD(A104-A73,'Summary'!$B$11)=0),I73,0)+IF(AND(A104&gt;A74,A104&lt;=A74+'Summary'!$B$10*12,MOD(A104-A74,'Summary'!$B$11)=0),I74,0)+IF(AND(A104&gt;A75,A104&lt;=A75+'Summary'!$B$10*12,MOD(A104-A75,'Summary'!$B$11)=0),I75,0)+IF(AND(A104&gt;A76,A104&lt;=A76+'Summary'!$B$10*12,MOD(A104-A76,'Summary'!$B$11)=0),I76,0)+IF(AND(A104&gt;A77,A104&lt;=A77+'Summary'!$B$10*12,MOD(A104-A77,'Summary'!$B$11)=0),I77,0)+IF(AND(A104&gt;A78,A104&lt;=A78+'Summary'!$B$10*12,MOD(A104-A78,'Summary'!$B$11)=0),I78,0)+IF(AND(A104&gt;A79,A104&lt;=A79+'Summary'!$B$10*12,MOD(A104-A79,'Summary'!$B$11)=0),I79,0)+IF(AND(A104&gt;A80,A104&lt;=A80+'Summary'!$B$10*12,MOD(A104-A80,'Summary'!$B$11)=0),I80,0)+IF(AND(A104&gt;A81,A104&lt;=A81+'Summary'!$B$10*12,MOD(A104-A81,'Summary'!$B$11)=0),I81,0)+IF(AND(A104&gt;A82,A104&lt;=A82+'Summary'!$B$10*12,MOD(A104-A82,'Summary'!$B$11)=0),I82,0)+IF(AND(A104&gt;A83,A104&lt;=A83+'Summary'!$B$10*12,MOD(A104-A83,'Summary'!$B$11)=0),I83,0)+IF(AND(A104&gt;A84,A104&lt;=A84+'Summary'!$B$10*12,MOD(A104-A84,'Summary'!$B$11)=0),I84,0)+IF(AND(A104&gt;A85,A104&lt;=A85+'Summary'!$B$10*12,MOD(A104-A85,'Summary'!$B$11)=0),I85,0)+IF(AND(A104&gt;A86,A104&lt;=A86+'Summary'!$B$10*12,MOD(A104-A86,'Summary'!$B$11)=0),I86,0)+IF(AND(A104&gt;A87,A104&lt;=A87+'Summary'!$B$10*12,MOD(A104-A87,'Summary'!$B$11)=0),I87,0)+IF(AND(A104&gt;A88,A104&lt;=A88+'Summary'!$B$10*12,MOD(A104-A88,'Summary'!$B$11)=0),I88,0)+IF(AND(A104&gt;A89,A104&lt;=A89+'Summary'!$B$10*12,MOD(A104-A89,'Summary'!$B$11)=0),I89,0)+IF(AND(A104&gt;A90,A104&lt;=A90+'Summary'!$B$10*12,MOD(A104-A90,'Summary'!$B$11)=0),I90,0)+IF(AND(A104&gt;A91,A104&lt;=A91+'Summary'!$B$10*12,MOD(A104-A91,'Summary'!$B$11)=0),I91,0)+IF(AND(A104&gt;A92,A104&lt;=A92+'Summary'!$B$10*12,MOD(A104-A92,'Summary'!$B$11)=0),I92,0)+IF(AND(A104&gt;A93,A104&lt;=A93+'Summary'!$B$10*12,MOD(A104-A93,'Summary'!$B$11)=0),I93,0)+IF(AND(A104&gt;A94,A104&lt;=A94+'Summary'!$B$10*12,MOD(A104-A94,'Summary'!$B$11)=0),I94,0)+IF(AND(A104&gt;A95,A104&lt;=A95+'Summary'!$B$10*12,MOD(A104-A95,'Summary'!$B$11)=0),I95,0)+IF(AND(A104&gt;A96,A104&lt;=A96+'Summary'!$B$10*12,MOD(A104-A96,'Summary'!$B$11)=0),I96,0)+IF(AND(A104&gt;A97,A104&lt;=A97+'Summary'!$B$10*12,MOD(A104-A97,'Summary'!$B$11)=0),I97,0)+IF(AND(A104&gt;A98,A104&lt;=A98+'Summary'!$B$10*12,MOD(A104-A98,'Summary'!$B$11)=0),I98,0)+IF(AND(A104&gt;A99,A104&lt;=A99+'Summary'!$B$10*12,MOD(A104-A99,'Summary'!$B$11)=0),I99,0)+IF(AND(A104&gt;A100,A104&lt;=A100+'Summary'!$B$10*12,MOD(A104-A100,'Summary'!$B$11)=0),I100,0)+IF(AND(A104&gt;A101,A104&lt;=A101+'Summary'!$B$10*12,MOD(A104-A101,'Summary'!$B$11)=0),I101,0)+IF(AND(A104&gt;A102,A104&lt;=A102+'Summary'!$B$10*12,MOD(A104-A102,'Summary'!$B$11)=0),I102,0)+IF(AND(A104&gt;A103,A104&lt;=A103+'Summary'!$B$10*12,MOD(A104-A103,'Summary'!$B$11)=0),I103,0))*'Summary'!$B$8/2</x:f>
        <x:v>279.52151295597616</x:v>
      </x:c>
      <x:c r="G104" s="62" t="n">
        <x:f>IF(A104=A8+'Summary'!$B$10*12,I8,0)+IF(A104=A9+'Summary'!$B$10*12,I9,0)+IF(A104=A10+'Summary'!$B$10*12,I10,0)+IF(A104=A11+'Summary'!$B$10*12,I11,0)+IF(A104=A12+'Summary'!$B$10*12,I12,0)+IF(A104=A13+'Summary'!$B$10*12,I13,0)+IF(A104=A14+'Summary'!$B$10*12,I14,0)+IF(A104=A15+'Summary'!$B$10*12,I15,0)+IF(A104=A16+'Summary'!$B$10*12,I16,0)+IF(A104=A17+'Summary'!$B$10*12,I17,0)+IF(A104=A18+'Summary'!$B$10*12,I18,0)+IF(A104=A19+'Summary'!$B$10*12,I19,0)+IF(A104=A20+'Summary'!$B$10*12,I20,0)+IF(A104=A21+'Summary'!$B$10*12,I21,0)+IF(A104=A22+'Summary'!$B$10*12,I22,0)+IF(A104=A23+'Summary'!$B$10*12,I23,0)+IF(A104=A24+'Summary'!$B$10*12,I24,0)+IF(A104=A25+'Summary'!$B$10*12,I25,0)+IF(A104=A26+'Summary'!$B$10*12,I26,0)+IF(A104=A27+'Summary'!$B$10*12,I27,0)+IF(A104=A28+'Summary'!$B$10*12,I28,0)+IF(A104=A29+'Summary'!$B$10*12,I29,0)+IF(A104=A30+'Summary'!$B$10*12,I30,0)+IF(A104=A31+'Summary'!$B$10*12,I31,0)+IF(A104=A32+'Summary'!$B$10*12,I32,0)+IF(A104=A33+'Summary'!$B$10*12,I33,0)+IF(A104=A34+'Summary'!$B$10*12,I34,0)+IF(A104=A35+'Summary'!$B$10*12,I35,0)+IF(A104=A36+'Summary'!$B$10*12,I36,0)+IF(A104=A37+'Summary'!$B$10*12,I37,0)+IF(A104=A38+'Summary'!$B$10*12,I38,0)+IF(A104=A39+'Summary'!$B$10*12,I39,0)+IF(A104=A40+'Summary'!$B$10*12,I40,0)+IF(A104=A41+'Summary'!$B$10*12,I41,0)+IF(A104=A42+'Summary'!$B$10*12,I42,0)+IF(A104=A43+'Summary'!$B$10*12,I43,0)+IF(A104=A44+'Summary'!$B$10*12,I44,0)+IF(A104=A45+'Summary'!$B$10*12,I45,0)+IF(A104=A46+'Summary'!$B$10*12,I46,0)+IF(A104=A47+'Summary'!$B$10*12,I47,0)+IF(A104=A48+'Summary'!$B$10*12,I48,0)+IF(A104=A49+'Summary'!$B$10*12,I49,0)+IF(A104=A50+'Summary'!$B$10*12,I50,0)+IF(A104=A51+'Summary'!$B$10*12,I51,0)+IF(A104=A52+'Summary'!$B$10*12,I52,0)+IF(A104=A53+'Summary'!$B$10*12,I53,0)+IF(A104=A54+'Summary'!$B$10*12,I54,0)+IF(A104=A55+'Summary'!$B$10*12,I55,0)+IF(A104=A56+'Summary'!$B$10*12,I56,0)+IF(A104=A57+'Summary'!$B$10*12,I57,0)+IF(A104=A58+'Summary'!$B$10*12,I58,0)+IF(A104=A59+'Summary'!$B$10*12,I59,0)+IF(A104=A60+'Summary'!$B$10*12,I60,0)+IF(A104=A61+'Summary'!$B$10*12,I61,0)+IF(A104=A62+'Summary'!$B$10*12,I62,0)+IF(A104=A63+'Summary'!$B$10*12,I63,0)+IF(A104=A64+'Summary'!$B$10*12,I64,0)+IF(A104=A65+'Summary'!$B$10*12,I65,0)+IF(A104=A66+'Summary'!$B$10*12,I66,0)+IF(A104=A67+'Summary'!$B$10*12,I67,0)+IF(A104=A68+'Summary'!$B$10*12,I68,0)+IF(A104=A69+'Summary'!$B$10*12,I69,0)+IF(A104=A70+'Summary'!$B$10*12,I70,0)+IF(A104=A71+'Summary'!$B$10*12,I71,0)+IF(A104=A72+'Summary'!$B$10*12,I72,0)+IF(A104=A73+'Summary'!$B$10*12,I73,0)+IF(A104=A74+'Summary'!$B$10*12,I74,0)+IF(A104=A75+'Summary'!$B$10*12,I75,0)+IF(A104=A76+'Summary'!$B$10*12,I76,0)+IF(A104=A77+'Summary'!$B$10*12,I77,0)+IF(A104=A78+'Summary'!$B$10*12,I78,0)+IF(A104=A79+'Summary'!$B$10*12,I79,0)+IF(A104=A80+'Summary'!$B$10*12,I80,0)+IF(A104=A81+'Summary'!$B$10*12,I81,0)+IF(A104=A82+'Summary'!$B$10*12,I82,0)+IF(A104=A83+'Summary'!$B$10*12,I83,0)+IF(A104=A84+'Summary'!$B$10*12,I84,0)+IF(A104=A85+'Summary'!$B$10*12,I85,0)+IF(A104=A86+'Summary'!$B$10*12,I86,0)+IF(A104=A87+'Summary'!$B$10*12,I87,0)+IF(A104=A88+'Summary'!$B$10*12,I88,0)+IF(A104=A89+'Summary'!$B$10*12,I89,0)+IF(A104=A90+'Summary'!$B$10*12,I90,0)+IF(A104=A91+'Summary'!$B$10*12,I91,0)+IF(A104=A92+'Summary'!$B$10*12,I92,0)+IF(A104=A93+'Summary'!$B$10*12,I93,0)+IF(A104=A94+'Summary'!$B$10*12,I94,0)+IF(A104=A95+'Summary'!$B$10*12,I95,0)+IF(A104=A96+'Summary'!$B$10*12,I96,0)+IF(A104=A97+'Summary'!$B$10*12,I97,0)+IF(A104=A98+'Summary'!$B$10*12,I98,0)+IF(A104=A99+'Summary'!$B$10*12,I99,0)+IF(A104=A100+'Summary'!$B$10*12,I100,0)+IF(A104=A101+'Summary'!$B$10*12,I101,0)+IF(A104=A102+'Summary'!$B$10*12,I102,0)+IF(A104=A103+'Summary'!$B$10*12,I103,0)</x:f>
        <x:v>315.64555674071767</x:v>
      </x:c>
      <x:c r="H104" s="62" t="n">
        <x:f>E104+D104+F104+G104</x:f>
        <x:v>695.1670696966938</x:v>
      </x:c>
      <x:c r="I104" s="62" t="n">
        <x:f>IF(B104,IF(H104&gt;='Summary'!$B$12,H104,0),0)</x:f>
        <x:v>695.1670696966938</x:v>
      </x:c>
      <x:c r="J104" s="62" t="n">
        <x:f>H104-I104</x:f>
        <x:v>0</x:v>
      </x:c>
      <x:c r="K104" s="63" t="n">
        <x:f>J104+IF(A8+'Summary'!$B$10*12&gt;A104,I8,0)+IF(A9+'Summary'!$B$10*12&gt;A104,I9,0)+IF(A10+'Summary'!$B$10*12&gt;A104,I10,0)+IF(A11+'Summary'!$B$10*12&gt;A104,I11,0)+IF(A12+'Summary'!$B$10*12&gt;A104,I12,0)+IF(A13+'Summary'!$B$10*12&gt;A104,I13,0)+IF(A14+'Summary'!$B$10*12&gt;A104,I14,0)+IF(A15+'Summary'!$B$10*12&gt;A104,I15,0)+IF(A16+'Summary'!$B$10*12&gt;A104,I16,0)+IF(A17+'Summary'!$B$10*12&gt;A104,I17,0)+IF(A18+'Summary'!$B$10*12&gt;A104,I18,0)+IF(A19+'Summary'!$B$10*12&gt;A104,I19,0)+IF(A20+'Summary'!$B$10*12&gt;A104,I20,0)+IF(A21+'Summary'!$B$10*12&gt;A104,I21,0)+IF(A22+'Summary'!$B$10*12&gt;A104,I22,0)+IF(A23+'Summary'!$B$10*12&gt;A104,I23,0)+IF(A24+'Summary'!$B$10*12&gt;A104,I24,0)+IF(A25+'Summary'!$B$10*12&gt;A104,I25,0)+IF(A26+'Summary'!$B$10*12&gt;A104,I26,0)+IF(A27+'Summary'!$B$10*12&gt;A104,I27,0)+IF(A28+'Summary'!$B$10*12&gt;A104,I28,0)+IF(A29+'Summary'!$B$10*12&gt;A104,I29,0)+IF(A30+'Summary'!$B$10*12&gt;A104,I30,0)+IF(A31+'Summary'!$B$10*12&gt;A104,I31,0)+IF(A32+'Summary'!$B$10*12&gt;A104,I32,0)+IF(A33+'Summary'!$B$10*12&gt;A104,I33,0)+IF(A34+'Summary'!$B$10*12&gt;A104,I34,0)+IF(A35+'Summary'!$B$10*12&gt;A104,I35,0)+IF(A36+'Summary'!$B$10*12&gt;A104,I36,0)+IF(A37+'Summary'!$B$10*12&gt;A104,I37,0)+IF(A38+'Summary'!$B$10*12&gt;A104,I38,0)+IF(A39+'Summary'!$B$10*12&gt;A104,I39,0)+IF(A40+'Summary'!$B$10*12&gt;A104,I40,0)+IF(A41+'Summary'!$B$10*12&gt;A104,I41,0)+IF(A42+'Summary'!$B$10*12&gt;A104,I42,0)+IF(A43+'Summary'!$B$10*12&gt;A104,I43,0)+IF(A44+'Summary'!$B$10*12&gt;A104,I44,0)+IF(A45+'Summary'!$B$10*12&gt;A104,I45,0)+IF(A46+'Summary'!$B$10*12&gt;A104,I46,0)+IF(A47+'Summary'!$B$10*12&gt;A104,I47,0)+IF(A48+'Summary'!$B$10*12&gt;A104,I48,0)+IF(A49+'Summary'!$B$10*12&gt;A104,I49,0)+IF(A50+'Summary'!$B$10*12&gt;A104,I50,0)+IF(A51+'Summary'!$B$10*12&gt;A104,I51,0)+IF(A52+'Summary'!$B$10*12&gt;A104,I52,0)+IF(A53+'Summary'!$B$10*12&gt;A104,I53,0)+IF(A54+'Summary'!$B$10*12&gt;A104,I54,0)+IF(A55+'Summary'!$B$10*12&gt;A104,I55,0)+IF(A56+'Summary'!$B$10*12&gt;A104,I56,0)+IF(A57+'Summary'!$B$10*12&gt;A104,I57,0)+IF(A58+'Summary'!$B$10*12&gt;A104,I58,0)+IF(A59+'Summary'!$B$10*12&gt;A104,I59,0)+IF(A60+'Summary'!$B$10*12&gt;A104,I60,0)+IF(A61+'Summary'!$B$10*12&gt;A104,I61,0)+IF(A62+'Summary'!$B$10*12&gt;A104,I62,0)+IF(A63+'Summary'!$B$10*12&gt;A104,I63,0)+IF(A64+'Summary'!$B$10*12&gt;A104,I64,0)+IF(A65+'Summary'!$B$10*12&gt;A104,I65,0)+IF(A66+'Summary'!$B$10*12&gt;A104,I66,0)+IF(A67+'Summary'!$B$10*12&gt;A104,I67,0)+IF(A68+'Summary'!$B$10*12&gt;A104,I68,0)+IF(A69+'Summary'!$B$10*12&gt;A104,I69,0)+IF(A70+'Summary'!$B$10*12&gt;A104,I70,0)+IF(A71+'Summary'!$B$10*12&gt;A104,I71,0)+IF(A72+'Summary'!$B$10*12&gt;A104,I72,0)+IF(A73+'Summary'!$B$10*12&gt;A104,I73,0)+IF(A74+'Summary'!$B$10*12&gt;A104,I74,0)+IF(A75+'Summary'!$B$10*12&gt;A104,I75,0)+IF(A76+'Summary'!$B$10*12&gt;A104,I76,0)+IF(A77+'Summary'!$B$10*12&gt;A104,I77,0)+IF(A78+'Summary'!$B$10*12&gt;A104,I78,0)+IF(A79+'Summary'!$B$10*12&gt;A104,I79,0)+IF(A80+'Summary'!$B$10*12&gt;A104,I80,0)+IF(A81+'Summary'!$B$10*12&gt;A104,I81,0)+IF(A82+'Summary'!$B$10*12&gt;A104,I82,0)+IF(A83+'Summary'!$B$10*12&gt;A104,I83,0)+IF(A84+'Summary'!$B$10*12&gt;A104,I84,0)+IF(A85+'Summary'!$B$10*12&gt;A104,I85,0)+IF(A86+'Summary'!$B$10*12&gt;A104,I86,0)+IF(A87+'Summary'!$B$10*12&gt;A104,I87,0)+IF(A88+'Summary'!$B$10*12&gt;A104,I88,0)+IF(A89+'Summary'!$B$10*12&gt;A104,I89,0)+IF(A90+'Summary'!$B$10*12&gt;A104,I90,0)+IF(A91+'Summary'!$B$10*12&gt;A104,I91,0)+IF(A92+'Summary'!$B$10*12&gt;A104,I92,0)+IF(A93+'Summary'!$B$10*12&gt;A104,I93,0)+IF(A94+'Summary'!$B$10*12&gt;A104,I94,0)+IF(A95+'Summary'!$B$10*12&gt;A104,I95,0)+IF(A96+'Summary'!$B$10*12&gt;A104,I96,0)+IF(A97+'Summary'!$B$10*12&gt;A104,I97,0)+IF(A98+'Summary'!$B$10*12&gt;A104,I98,0)+IF(A99+'Summary'!$B$10*12&gt;A104,I99,0)+IF(A100+'Summary'!$B$10*12&gt;A104,I100,0)+IF(A101+'Summary'!$B$10*12&gt;A104,I101,0)+IF(A102+'Summary'!$B$10*12&gt;A104,I102,0)+IF(A103+'Summary'!$B$10*12&gt;A104,I103,0)+IF(A104+'Summary'!$B$10*12&gt;A104,I104,0)</x:f>
        <x:v>24626.554917782018</x:v>
      </x:c>
    </x:row>
    <x:row r="105">
      <x:c r="A105" s="55" t="n">
        <x:v>97</x:v>
      </x:c>
      <x:c r="B105" s="71" t="b">
        <x:f>A105&lt;='Summary'!$B$9*12</x:f>
        <x:v>1</x:v>
      </x:c>
      <x:c r="C105" s="62" t="n">
        <x:f>IF(A105=0,IF('Summary'!$B$6&gt;=5,'Summary'!$B$6,0),C104)+IF(A105&lt;'Summary'!$B$9*12,IF('Summary'!$B$7&gt;=5,'Summary'!$B$7,0),0)</x:f>
        <x:v>19800</x:v>
      </x:c>
      <x:c r="D105" s="62" t="n">
        <x:f>IF(A105=0,IF('Summary'!$B$6&gt;=5,'Summary'!$B$6,0),0)+IF(A105&lt;'Summary'!$B$9*12,IF('Summary'!$B$7&gt;=5,'Summary'!$B$7,0),0)</x:f>
        <x:v>100</x:v>
      </x:c>
      <x:c r="E105" s="62" t="n">
        <x:f>J104</x:f>
        <x:v>0</x:v>
      </x:c>
      <x:c r="F105" s="62" t="n">
        <x:f>(IF(AND(A105&gt;A8,A105&lt;=A8+'Summary'!$B$10*12,MOD(A105-A8,'Summary'!$B$11)=0),I8,0)+IF(AND(A105&gt;A9,A105&lt;=A9+'Summary'!$B$10*12,MOD(A105-A9,'Summary'!$B$11)=0),I9,0)+IF(AND(A105&gt;A10,A105&lt;=A10+'Summary'!$B$10*12,MOD(A105-A10,'Summary'!$B$11)=0),I10,0)+IF(AND(A105&gt;A11,A105&lt;=A11+'Summary'!$B$10*12,MOD(A105-A11,'Summary'!$B$11)=0),I11,0)+IF(AND(A105&gt;A12,A105&lt;=A12+'Summary'!$B$10*12,MOD(A105-A12,'Summary'!$B$11)=0),I12,0)+IF(AND(A105&gt;A13,A105&lt;=A13+'Summary'!$B$10*12,MOD(A105-A13,'Summary'!$B$11)=0),I13,0)+IF(AND(A105&gt;A14,A105&lt;=A14+'Summary'!$B$10*12,MOD(A105-A14,'Summary'!$B$11)=0),I14,0)+IF(AND(A105&gt;A15,A105&lt;=A15+'Summary'!$B$10*12,MOD(A105-A15,'Summary'!$B$11)=0),I15,0)+IF(AND(A105&gt;A16,A105&lt;=A16+'Summary'!$B$10*12,MOD(A105-A16,'Summary'!$B$11)=0),I16,0)+IF(AND(A105&gt;A17,A105&lt;=A17+'Summary'!$B$10*12,MOD(A105-A17,'Summary'!$B$11)=0),I17,0)+IF(AND(A105&gt;A18,A105&lt;=A18+'Summary'!$B$10*12,MOD(A105-A18,'Summary'!$B$11)=0),I18,0)+IF(AND(A105&gt;A19,A105&lt;=A19+'Summary'!$B$10*12,MOD(A105-A19,'Summary'!$B$11)=0),I19,0)+IF(AND(A105&gt;A20,A105&lt;=A20+'Summary'!$B$10*12,MOD(A105-A20,'Summary'!$B$11)=0),I20,0)+IF(AND(A105&gt;A21,A105&lt;=A21+'Summary'!$B$10*12,MOD(A105-A21,'Summary'!$B$11)=0),I21,0)+IF(AND(A105&gt;A22,A105&lt;=A22+'Summary'!$B$10*12,MOD(A105-A22,'Summary'!$B$11)=0),I22,0)+IF(AND(A105&gt;A23,A105&lt;=A23+'Summary'!$B$10*12,MOD(A105-A23,'Summary'!$B$11)=0),I23,0)+IF(AND(A105&gt;A24,A105&lt;=A24+'Summary'!$B$10*12,MOD(A105-A24,'Summary'!$B$11)=0),I24,0)+IF(AND(A105&gt;A25,A105&lt;=A25+'Summary'!$B$10*12,MOD(A105-A25,'Summary'!$B$11)=0),I25,0)+IF(AND(A105&gt;A26,A105&lt;=A26+'Summary'!$B$10*12,MOD(A105-A26,'Summary'!$B$11)=0),I26,0)+IF(AND(A105&gt;A27,A105&lt;=A27+'Summary'!$B$10*12,MOD(A105-A27,'Summary'!$B$11)=0),I27,0)+IF(AND(A105&gt;A28,A105&lt;=A28+'Summary'!$B$10*12,MOD(A105-A28,'Summary'!$B$11)=0),I28,0)+IF(AND(A105&gt;A29,A105&lt;=A29+'Summary'!$B$10*12,MOD(A105-A29,'Summary'!$B$11)=0),I29,0)+IF(AND(A105&gt;A30,A105&lt;=A30+'Summary'!$B$10*12,MOD(A105-A30,'Summary'!$B$11)=0),I30,0)+IF(AND(A105&gt;A31,A105&lt;=A31+'Summary'!$B$10*12,MOD(A105-A31,'Summary'!$B$11)=0),I31,0)+IF(AND(A105&gt;A32,A105&lt;=A32+'Summary'!$B$10*12,MOD(A105-A32,'Summary'!$B$11)=0),I32,0)+IF(AND(A105&gt;A33,A105&lt;=A33+'Summary'!$B$10*12,MOD(A105-A33,'Summary'!$B$11)=0),I33,0)+IF(AND(A105&gt;A34,A105&lt;=A34+'Summary'!$B$10*12,MOD(A105-A34,'Summary'!$B$11)=0),I34,0)+IF(AND(A105&gt;A35,A105&lt;=A35+'Summary'!$B$10*12,MOD(A105-A35,'Summary'!$B$11)=0),I35,0)+IF(AND(A105&gt;A36,A105&lt;=A36+'Summary'!$B$10*12,MOD(A105-A36,'Summary'!$B$11)=0),I36,0)+IF(AND(A105&gt;A37,A105&lt;=A37+'Summary'!$B$10*12,MOD(A105-A37,'Summary'!$B$11)=0),I37,0)+IF(AND(A105&gt;A38,A105&lt;=A38+'Summary'!$B$10*12,MOD(A105-A38,'Summary'!$B$11)=0),I38,0)+IF(AND(A105&gt;A39,A105&lt;=A39+'Summary'!$B$10*12,MOD(A105-A39,'Summary'!$B$11)=0),I39,0)+IF(AND(A105&gt;A40,A105&lt;=A40+'Summary'!$B$10*12,MOD(A105-A40,'Summary'!$B$11)=0),I40,0)+IF(AND(A105&gt;A41,A105&lt;=A41+'Summary'!$B$10*12,MOD(A105-A41,'Summary'!$B$11)=0),I41,0)+IF(AND(A105&gt;A42,A105&lt;=A42+'Summary'!$B$10*12,MOD(A105-A42,'Summary'!$B$11)=0),I42,0)+IF(AND(A105&gt;A43,A105&lt;=A43+'Summary'!$B$10*12,MOD(A105-A43,'Summary'!$B$11)=0),I43,0)+IF(AND(A105&gt;A44,A105&lt;=A44+'Summary'!$B$10*12,MOD(A105-A44,'Summary'!$B$11)=0),I44,0)+IF(AND(A105&gt;A45,A105&lt;=A45+'Summary'!$B$10*12,MOD(A105-A45,'Summary'!$B$11)=0),I45,0)+IF(AND(A105&gt;A46,A105&lt;=A46+'Summary'!$B$10*12,MOD(A105-A46,'Summary'!$B$11)=0),I46,0)+IF(AND(A105&gt;A47,A105&lt;=A47+'Summary'!$B$10*12,MOD(A105-A47,'Summary'!$B$11)=0),I47,0)+IF(AND(A105&gt;A48,A105&lt;=A48+'Summary'!$B$10*12,MOD(A105-A48,'Summary'!$B$11)=0),I48,0)+IF(AND(A105&gt;A49,A105&lt;=A49+'Summary'!$B$10*12,MOD(A105-A49,'Summary'!$B$11)=0),I49,0)+IF(AND(A105&gt;A50,A105&lt;=A50+'Summary'!$B$10*12,MOD(A105-A50,'Summary'!$B$11)=0),I50,0)+IF(AND(A105&gt;A51,A105&lt;=A51+'Summary'!$B$10*12,MOD(A105-A51,'Summary'!$B$11)=0),I51,0)+IF(AND(A105&gt;A52,A105&lt;=A52+'Summary'!$B$10*12,MOD(A105-A52,'Summary'!$B$11)=0),I52,0)+IF(AND(A105&gt;A53,A105&lt;=A53+'Summary'!$B$10*12,MOD(A105-A53,'Summary'!$B$11)=0),I53,0)+IF(AND(A105&gt;A54,A105&lt;=A54+'Summary'!$B$10*12,MOD(A105-A54,'Summary'!$B$11)=0),I54,0)+IF(AND(A105&gt;A55,A105&lt;=A55+'Summary'!$B$10*12,MOD(A105-A55,'Summary'!$B$11)=0),I55,0)+IF(AND(A105&gt;A56,A105&lt;=A56+'Summary'!$B$10*12,MOD(A105-A56,'Summary'!$B$11)=0),I56,0)+IF(AND(A105&gt;A57,A105&lt;=A57+'Summary'!$B$10*12,MOD(A105-A57,'Summary'!$B$11)=0),I57,0)+IF(AND(A105&gt;A58,A105&lt;=A58+'Summary'!$B$10*12,MOD(A105-A58,'Summary'!$B$11)=0),I58,0)+IF(AND(A105&gt;A59,A105&lt;=A59+'Summary'!$B$10*12,MOD(A105-A59,'Summary'!$B$11)=0),I59,0)+IF(AND(A105&gt;A60,A105&lt;=A60+'Summary'!$B$10*12,MOD(A105-A60,'Summary'!$B$11)=0),I60,0)+IF(AND(A105&gt;A61,A105&lt;=A61+'Summary'!$B$10*12,MOD(A105-A61,'Summary'!$B$11)=0),I61,0)+IF(AND(A105&gt;A62,A105&lt;=A62+'Summary'!$B$10*12,MOD(A105-A62,'Summary'!$B$11)=0),I62,0)+IF(AND(A105&gt;A63,A105&lt;=A63+'Summary'!$B$10*12,MOD(A105-A63,'Summary'!$B$11)=0),I63,0)+IF(AND(A105&gt;A64,A105&lt;=A64+'Summary'!$B$10*12,MOD(A105-A64,'Summary'!$B$11)=0),I64,0)+IF(AND(A105&gt;A65,A105&lt;=A65+'Summary'!$B$10*12,MOD(A105-A65,'Summary'!$B$11)=0),I65,0)+IF(AND(A105&gt;A66,A105&lt;=A66+'Summary'!$B$10*12,MOD(A105-A66,'Summary'!$B$11)=0),I66,0)+IF(AND(A105&gt;A67,A105&lt;=A67+'Summary'!$B$10*12,MOD(A105-A67,'Summary'!$B$11)=0),I67,0)+IF(AND(A105&gt;A68,A105&lt;=A68+'Summary'!$B$10*12,MOD(A105-A68,'Summary'!$B$11)=0),I68,0)+IF(AND(A105&gt;A69,A105&lt;=A69+'Summary'!$B$10*12,MOD(A105-A69,'Summary'!$B$11)=0),I69,0)+IF(AND(A105&gt;A70,A105&lt;=A70+'Summary'!$B$10*12,MOD(A105-A70,'Summary'!$B$11)=0),I70,0)+IF(AND(A105&gt;A71,A105&lt;=A71+'Summary'!$B$10*12,MOD(A105-A71,'Summary'!$B$11)=0),I71,0)+IF(AND(A105&gt;A72,A105&lt;=A72+'Summary'!$B$10*12,MOD(A105-A72,'Summary'!$B$11)=0),I72,0)+IF(AND(A105&gt;A73,A105&lt;=A73+'Summary'!$B$10*12,MOD(A105-A73,'Summary'!$B$11)=0),I73,0)+IF(AND(A105&gt;A74,A105&lt;=A74+'Summary'!$B$10*12,MOD(A105-A74,'Summary'!$B$11)=0),I74,0)+IF(AND(A105&gt;A75,A105&lt;=A75+'Summary'!$B$10*12,MOD(A105-A75,'Summary'!$B$11)=0),I75,0)+IF(AND(A105&gt;A76,A105&lt;=A76+'Summary'!$B$10*12,MOD(A105-A76,'Summary'!$B$11)=0),I76,0)+IF(AND(A105&gt;A77,A105&lt;=A77+'Summary'!$B$10*12,MOD(A105-A77,'Summary'!$B$11)=0),I77,0)+IF(AND(A105&gt;A78,A105&lt;=A78+'Summary'!$B$10*12,MOD(A105-A78,'Summary'!$B$11)=0),I78,0)+IF(AND(A105&gt;A79,A105&lt;=A79+'Summary'!$B$10*12,MOD(A105-A79,'Summary'!$B$11)=0),I79,0)+IF(AND(A105&gt;A80,A105&lt;=A80+'Summary'!$B$10*12,MOD(A105-A80,'Summary'!$B$11)=0),I80,0)+IF(AND(A105&gt;A81,A105&lt;=A81+'Summary'!$B$10*12,MOD(A105-A81,'Summary'!$B$11)=0),I81,0)+IF(AND(A105&gt;A82,A105&lt;=A82+'Summary'!$B$10*12,MOD(A105-A82,'Summary'!$B$11)=0),I82,0)+IF(AND(A105&gt;A83,A105&lt;=A83+'Summary'!$B$10*12,MOD(A105-A83,'Summary'!$B$11)=0),I83,0)+IF(AND(A105&gt;A84,A105&lt;=A84+'Summary'!$B$10*12,MOD(A105-A84,'Summary'!$B$11)=0),I84,0)+IF(AND(A105&gt;A85,A105&lt;=A85+'Summary'!$B$10*12,MOD(A105-A85,'Summary'!$B$11)=0),I85,0)+IF(AND(A105&gt;A86,A105&lt;=A86+'Summary'!$B$10*12,MOD(A105-A86,'Summary'!$B$11)=0),I86,0)+IF(AND(A105&gt;A87,A105&lt;=A87+'Summary'!$B$10*12,MOD(A105-A87,'Summary'!$B$11)=0),I87,0)+IF(AND(A105&gt;A88,A105&lt;=A88+'Summary'!$B$10*12,MOD(A105-A88,'Summary'!$B$11)=0),I88,0)+IF(AND(A105&gt;A89,A105&lt;=A89+'Summary'!$B$10*12,MOD(A105-A89,'Summary'!$B$11)=0),I89,0)+IF(AND(A105&gt;A90,A105&lt;=A90+'Summary'!$B$10*12,MOD(A105-A90,'Summary'!$B$11)=0),I90,0)+IF(AND(A105&gt;A91,A105&lt;=A91+'Summary'!$B$10*12,MOD(A105-A91,'Summary'!$B$11)=0),I91,0)+IF(AND(A105&gt;A92,A105&lt;=A92+'Summary'!$B$10*12,MOD(A105-A92,'Summary'!$B$11)=0),I92,0)+IF(AND(A105&gt;A93,A105&lt;=A93+'Summary'!$B$10*12,MOD(A105-A93,'Summary'!$B$11)=0),I93,0)+IF(AND(A105&gt;A94,A105&lt;=A94+'Summary'!$B$10*12,MOD(A105-A94,'Summary'!$B$11)=0),I94,0)+IF(AND(A105&gt;A95,A105&lt;=A95+'Summary'!$B$10*12,MOD(A105-A95,'Summary'!$B$11)=0),I95,0)+IF(AND(A105&gt;A96,A105&lt;=A96+'Summary'!$B$10*12,MOD(A105-A96,'Summary'!$B$11)=0),I96,0)+IF(AND(A105&gt;A97,A105&lt;=A97+'Summary'!$B$10*12,MOD(A105-A97,'Summary'!$B$11)=0),I97,0)+IF(AND(A105&gt;A98,A105&lt;=A98+'Summary'!$B$10*12,MOD(A105-A98,'Summary'!$B$11)=0),I98,0)+IF(AND(A105&gt;A99,A105&lt;=A99+'Summary'!$B$10*12,MOD(A105-A99,'Summary'!$B$11)=0),I99,0)+IF(AND(A105&gt;A100,A105&lt;=A100+'Summary'!$B$10*12,MOD(A105-A100,'Summary'!$B$11)=0),I100,0)+IF(AND(A105&gt;A101,A105&lt;=A101+'Summary'!$B$10*12,MOD(A105-A101,'Summary'!$B$11)=0),I101,0)+IF(AND(A105&gt;A102,A105&lt;=A102+'Summary'!$B$10*12,MOD(A105-A102,'Summary'!$B$11)=0),I102,0)+IF(AND(A105&gt;A103,A105&lt;=A103+'Summary'!$B$10*12,MOD(A105-A103,'Summary'!$B$11)=0),I103,0)+IF(AND(A105&gt;A104,A105&lt;=A104+'Summary'!$B$10*12,MOD(A105-A104,'Summary'!$B$11)=0),I104,0))*'Summary'!$B$8/2</x:f>
        <x:v>34.29466167475766</x:v>
      </x:c>
      <x:c r="G105" s="62" t="n">
        <x:f>IF(A105=A8+'Summary'!$B$10*12,I8,0)+IF(A105=A9+'Summary'!$B$10*12,I9,0)+IF(A105=A10+'Summary'!$B$10*12,I10,0)+IF(A105=A11+'Summary'!$B$10*12,I11,0)+IF(A105=A12+'Summary'!$B$10*12,I12,0)+IF(A105=A13+'Summary'!$B$10*12,I13,0)+IF(A105=A14+'Summary'!$B$10*12,I14,0)+IF(A105=A15+'Summary'!$B$10*12,I15,0)+IF(A105=A16+'Summary'!$B$10*12,I16,0)+IF(A105=A17+'Summary'!$B$10*12,I17,0)+IF(A105=A18+'Summary'!$B$10*12,I18,0)+IF(A105=A19+'Summary'!$B$10*12,I19,0)+IF(A105=A20+'Summary'!$B$10*12,I20,0)+IF(A105=A21+'Summary'!$B$10*12,I21,0)+IF(A105=A22+'Summary'!$B$10*12,I22,0)+IF(A105=A23+'Summary'!$B$10*12,I23,0)+IF(A105=A24+'Summary'!$B$10*12,I24,0)+IF(A105=A25+'Summary'!$B$10*12,I25,0)+IF(A105=A26+'Summary'!$B$10*12,I26,0)+IF(A105=A27+'Summary'!$B$10*12,I27,0)+IF(A105=A28+'Summary'!$B$10*12,I28,0)+IF(A105=A29+'Summary'!$B$10*12,I29,0)+IF(A105=A30+'Summary'!$B$10*12,I30,0)+IF(A105=A31+'Summary'!$B$10*12,I31,0)+IF(A105=A32+'Summary'!$B$10*12,I32,0)+IF(A105=A33+'Summary'!$B$10*12,I33,0)+IF(A105=A34+'Summary'!$B$10*12,I34,0)+IF(A105=A35+'Summary'!$B$10*12,I35,0)+IF(A105=A36+'Summary'!$B$10*12,I36,0)+IF(A105=A37+'Summary'!$B$10*12,I37,0)+IF(A105=A38+'Summary'!$B$10*12,I38,0)+IF(A105=A39+'Summary'!$B$10*12,I39,0)+IF(A105=A40+'Summary'!$B$10*12,I40,0)+IF(A105=A41+'Summary'!$B$10*12,I41,0)+IF(A105=A42+'Summary'!$B$10*12,I42,0)+IF(A105=A43+'Summary'!$B$10*12,I43,0)+IF(A105=A44+'Summary'!$B$10*12,I44,0)+IF(A105=A45+'Summary'!$B$10*12,I45,0)+IF(A105=A46+'Summary'!$B$10*12,I46,0)+IF(A105=A47+'Summary'!$B$10*12,I47,0)+IF(A105=A48+'Summary'!$B$10*12,I48,0)+IF(A105=A49+'Summary'!$B$10*12,I49,0)+IF(A105=A50+'Summary'!$B$10*12,I50,0)+IF(A105=A51+'Summary'!$B$10*12,I51,0)+IF(A105=A52+'Summary'!$B$10*12,I52,0)+IF(A105=A53+'Summary'!$B$10*12,I53,0)+IF(A105=A54+'Summary'!$B$10*12,I54,0)+IF(A105=A55+'Summary'!$B$10*12,I55,0)+IF(A105=A56+'Summary'!$B$10*12,I56,0)+IF(A105=A57+'Summary'!$B$10*12,I57,0)+IF(A105=A58+'Summary'!$B$10*12,I58,0)+IF(A105=A59+'Summary'!$B$10*12,I59,0)+IF(A105=A60+'Summary'!$B$10*12,I60,0)+IF(A105=A61+'Summary'!$B$10*12,I61,0)+IF(A105=A62+'Summary'!$B$10*12,I62,0)+IF(A105=A63+'Summary'!$B$10*12,I63,0)+IF(A105=A64+'Summary'!$B$10*12,I64,0)+IF(A105=A65+'Summary'!$B$10*12,I65,0)+IF(A105=A66+'Summary'!$B$10*12,I66,0)+IF(A105=A67+'Summary'!$B$10*12,I67,0)+IF(A105=A68+'Summary'!$B$10*12,I68,0)+IF(A105=A69+'Summary'!$B$10*12,I69,0)+IF(A105=A70+'Summary'!$B$10*12,I70,0)+IF(A105=A71+'Summary'!$B$10*12,I71,0)+IF(A105=A72+'Summary'!$B$10*12,I72,0)+IF(A105=A73+'Summary'!$B$10*12,I73,0)+IF(A105=A74+'Summary'!$B$10*12,I74,0)+IF(A105=A75+'Summary'!$B$10*12,I75,0)+IF(A105=A76+'Summary'!$B$10*12,I76,0)+IF(A105=A77+'Summary'!$B$10*12,I77,0)+IF(A105=A78+'Summary'!$B$10*12,I78,0)+IF(A105=A79+'Summary'!$B$10*12,I79,0)+IF(A105=A80+'Summary'!$B$10*12,I80,0)+IF(A105=A81+'Summary'!$B$10*12,I81,0)+IF(A105=A82+'Summary'!$B$10*12,I82,0)+IF(A105=A83+'Summary'!$B$10*12,I83,0)+IF(A105=A84+'Summary'!$B$10*12,I84,0)+IF(A105=A85+'Summary'!$B$10*12,I85,0)+IF(A105=A86+'Summary'!$B$10*12,I86,0)+IF(A105=A87+'Summary'!$B$10*12,I87,0)+IF(A105=A88+'Summary'!$B$10*12,I88,0)+IF(A105=A89+'Summary'!$B$10*12,I89,0)+IF(A105=A90+'Summary'!$B$10*12,I90,0)+IF(A105=A91+'Summary'!$B$10*12,I91,0)+IF(A105=A92+'Summary'!$B$10*12,I92,0)+IF(A105=A93+'Summary'!$B$10*12,I93,0)+IF(A105=A94+'Summary'!$B$10*12,I94,0)+IF(A105=A95+'Summary'!$B$10*12,I95,0)+IF(A105=A96+'Summary'!$B$10*12,I96,0)+IF(A105=A97+'Summary'!$B$10*12,I97,0)+IF(A105=A98+'Summary'!$B$10*12,I98,0)+IF(A105=A99+'Summary'!$B$10*12,I99,0)+IF(A105=A100+'Summary'!$B$10*12,I100,0)+IF(A105=A101+'Summary'!$B$10*12,I101,0)+IF(A105=A102+'Summary'!$B$10*12,I102,0)+IF(A105=A103+'Summary'!$B$10*12,I103,0)+IF(A105=A104+'Summary'!$B$10*12,I104,0)</x:f>
        <x:v>111.69199058434481</x:v>
      </x:c>
      <x:c r="H105" s="62" t="n">
        <x:f>E105+D105+F105+G105</x:f>
        <x:v>245.98665225910247</x:v>
      </x:c>
      <x:c r="I105" s="62" t="n">
        <x:f>IF(B105,IF(H105&gt;='Summary'!$B$12,H105,0),0)</x:f>
        <x:v>245.98665225910247</x:v>
      </x:c>
      <x:c r="J105" s="62" t="n">
        <x:f>H105-I105</x:f>
        <x:v>0</x:v>
      </x:c>
      <x:c r="K105" s="63" t="n">
        <x:f>J105+IF(A8+'Summary'!$B$10*12&gt;A105,I8,0)+IF(A9+'Summary'!$B$10*12&gt;A105,I9,0)+IF(A10+'Summary'!$B$10*12&gt;A105,I10,0)+IF(A11+'Summary'!$B$10*12&gt;A105,I11,0)+IF(A12+'Summary'!$B$10*12&gt;A105,I12,0)+IF(A13+'Summary'!$B$10*12&gt;A105,I13,0)+IF(A14+'Summary'!$B$10*12&gt;A105,I14,0)+IF(A15+'Summary'!$B$10*12&gt;A105,I15,0)+IF(A16+'Summary'!$B$10*12&gt;A105,I16,0)+IF(A17+'Summary'!$B$10*12&gt;A105,I17,0)+IF(A18+'Summary'!$B$10*12&gt;A105,I18,0)+IF(A19+'Summary'!$B$10*12&gt;A105,I19,0)+IF(A20+'Summary'!$B$10*12&gt;A105,I20,0)+IF(A21+'Summary'!$B$10*12&gt;A105,I21,0)+IF(A22+'Summary'!$B$10*12&gt;A105,I22,0)+IF(A23+'Summary'!$B$10*12&gt;A105,I23,0)+IF(A24+'Summary'!$B$10*12&gt;A105,I24,0)+IF(A25+'Summary'!$B$10*12&gt;A105,I25,0)+IF(A26+'Summary'!$B$10*12&gt;A105,I26,0)+IF(A27+'Summary'!$B$10*12&gt;A105,I27,0)+IF(A28+'Summary'!$B$10*12&gt;A105,I28,0)+IF(A29+'Summary'!$B$10*12&gt;A105,I29,0)+IF(A30+'Summary'!$B$10*12&gt;A105,I30,0)+IF(A31+'Summary'!$B$10*12&gt;A105,I31,0)+IF(A32+'Summary'!$B$10*12&gt;A105,I32,0)+IF(A33+'Summary'!$B$10*12&gt;A105,I33,0)+IF(A34+'Summary'!$B$10*12&gt;A105,I34,0)+IF(A35+'Summary'!$B$10*12&gt;A105,I35,0)+IF(A36+'Summary'!$B$10*12&gt;A105,I36,0)+IF(A37+'Summary'!$B$10*12&gt;A105,I37,0)+IF(A38+'Summary'!$B$10*12&gt;A105,I38,0)+IF(A39+'Summary'!$B$10*12&gt;A105,I39,0)+IF(A40+'Summary'!$B$10*12&gt;A105,I40,0)+IF(A41+'Summary'!$B$10*12&gt;A105,I41,0)+IF(A42+'Summary'!$B$10*12&gt;A105,I42,0)+IF(A43+'Summary'!$B$10*12&gt;A105,I43,0)+IF(A44+'Summary'!$B$10*12&gt;A105,I44,0)+IF(A45+'Summary'!$B$10*12&gt;A105,I45,0)+IF(A46+'Summary'!$B$10*12&gt;A105,I46,0)+IF(A47+'Summary'!$B$10*12&gt;A105,I47,0)+IF(A48+'Summary'!$B$10*12&gt;A105,I48,0)+IF(A49+'Summary'!$B$10*12&gt;A105,I49,0)+IF(A50+'Summary'!$B$10*12&gt;A105,I50,0)+IF(A51+'Summary'!$B$10*12&gt;A105,I51,0)+IF(A52+'Summary'!$B$10*12&gt;A105,I52,0)+IF(A53+'Summary'!$B$10*12&gt;A105,I53,0)+IF(A54+'Summary'!$B$10*12&gt;A105,I54,0)+IF(A55+'Summary'!$B$10*12&gt;A105,I55,0)+IF(A56+'Summary'!$B$10*12&gt;A105,I56,0)+IF(A57+'Summary'!$B$10*12&gt;A105,I57,0)+IF(A58+'Summary'!$B$10*12&gt;A105,I58,0)+IF(A59+'Summary'!$B$10*12&gt;A105,I59,0)+IF(A60+'Summary'!$B$10*12&gt;A105,I60,0)+IF(A61+'Summary'!$B$10*12&gt;A105,I61,0)+IF(A62+'Summary'!$B$10*12&gt;A105,I62,0)+IF(A63+'Summary'!$B$10*12&gt;A105,I63,0)+IF(A64+'Summary'!$B$10*12&gt;A105,I64,0)+IF(A65+'Summary'!$B$10*12&gt;A105,I65,0)+IF(A66+'Summary'!$B$10*12&gt;A105,I66,0)+IF(A67+'Summary'!$B$10*12&gt;A105,I67,0)+IF(A68+'Summary'!$B$10*12&gt;A105,I68,0)+IF(A69+'Summary'!$B$10*12&gt;A105,I69,0)+IF(A70+'Summary'!$B$10*12&gt;A105,I70,0)+IF(A71+'Summary'!$B$10*12&gt;A105,I71,0)+IF(A72+'Summary'!$B$10*12&gt;A105,I72,0)+IF(A73+'Summary'!$B$10*12&gt;A105,I73,0)+IF(A74+'Summary'!$B$10*12&gt;A105,I74,0)+IF(A75+'Summary'!$B$10*12&gt;A105,I75,0)+IF(A76+'Summary'!$B$10*12&gt;A105,I76,0)+IF(A77+'Summary'!$B$10*12&gt;A105,I77,0)+IF(A78+'Summary'!$B$10*12&gt;A105,I78,0)+IF(A79+'Summary'!$B$10*12&gt;A105,I79,0)+IF(A80+'Summary'!$B$10*12&gt;A105,I80,0)+IF(A81+'Summary'!$B$10*12&gt;A105,I81,0)+IF(A82+'Summary'!$B$10*12&gt;A105,I82,0)+IF(A83+'Summary'!$B$10*12&gt;A105,I83,0)+IF(A84+'Summary'!$B$10*12&gt;A105,I84,0)+IF(A85+'Summary'!$B$10*12&gt;A105,I85,0)+IF(A86+'Summary'!$B$10*12&gt;A105,I86,0)+IF(A87+'Summary'!$B$10*12&gt;A105,I87,0)+IF(A88+'Summary'!$B$10*12&gt;A105,I88,0)+IF(A89+'Summary'!$B$10*12&gt;A105,I89,0)+IF(A90+'Summary'!$B$10*12&gt;A105,I90,0)+IF(A91+'Summary'!$B$10*12&gt;A105,I91,0)+IF(A92+'Summary'!$B$10*12&gt;A105,I92,0)+IF(A93+'Summary'!$B$10*12&gt;A105,I93,0)+IF(A94+'Summary'!$B$10*12&gt;A105,I94,0)+IF(A95+'Summary'!$B$10*12&gt;A105,I95,0)+IF(A96+'Summary'!$B$10*12&gt;A105,I96,0)+IF(A97+'Summary'!$B$10*12&gt;A105,I97,0)+IF(A98+'Summary'!$B$10*12&gt;A105,I98,0)+IF(A99+'Summary'!$B$10*12&gt;A105,I99,0)+IF(A100+'Summary'!$B$10*12&gt;A105,I100,0)+IF(A101+'Summary'!$B$10*12&gt;A105,I101,0)+IF(A102+'Summary'!$B$10*12&gt;A105,I102,0)+IF(A103+'Summary'!$B$10*12&gt;A105,I103,0)+IF(A104+'Summary'!$B$10*12&gt;A105,I104,0)+IF(A105+'Summary'!$B$10*12&gt;A105,I105,0)</x:f>
        <x:v>24760.849579456775</x:v>
      </x:c>
    </x:row>
    <x:row r="106">
      <x:c r="A106" s="55" t="n">
        <x:v>98</x:v>
      </x:c>
      <x:c r="B106" s="71" t="b">
        <x:f>A106&lt;='Summary'!$B$9*12</x:f>
        <x:v>1</x:v>
      </x:c>
      <x:c r="C106" s="62" t="n">
        <x:f>IF(A106=0,IF('Summary'!$B$6&gt;=5,'Summary'!$B$6,0),C105)+IF(A106&lt;'Summary'!$B$9*12,IF('Summary'!$B$7&gt;=5,'Summary'!$B$7,0),0)</x:f>
        <x:v>19900</x:v>
      </x:c>
      <x:c r="D106" s="62" t="n">
        <x:f>IF(A106=0,IF('Summary'!$B$6&gt;=5,'Summary'!$B$6,0),0)+IF(A106&lt;'Summary'!$B$9*12,IF('Summary'!$B$7&gt;=5,'Summary'!$B$7,0),0)</x:f>
        <x:v>100</x:v>
      </x:c>
      <x:c r="E106" s="62" t="n">
        <x:f>J105</x:f>
        <x:v>0</x:v>
      </x:c>
      <x:c r="F106" s="62" t="n">
        <x:f>(IF(AND(A106&gt;A8,A106&lt;=A8+'Summary'!$B$10*12,MOD(A106-A8,'Summary'!$B$11)=0),I8,0)+IF(AND(A106&gt;A9,A106&lt;=A9+'Summary'!$B$10*12,MOD(A106-A9,'Summary'!$B$11)=0),I9,0)+IF(AND(A106&gt;A10,A106&lt;=A10+'Summary'!$B$10*12,MOD(A106-A10,'Summary'!$B$11)=0),I10,0)+IF(AND(A106&gt;A11,A106&lt;=A11+'Summary'!$B$10*12,MOD(A106-A11,'Summary'!$B$11)=0),I11,0)+IF(AND(A106&gt;A12,A106&lt;=A12+'Summary'!$B$10*12,MOD(A106-A12,'Summary'!$B$11)=0),I12,0)+IF(AND(A106&gt;A13,A106&lt;=A13+'Summary'!$B$10*12,MOD(A106-A13,'Summary'!$B$11)=0),I13,0)+IF(AND(A106&gt;A14,A106&lt;=A14+'Summary'!$B$10*12,MOD(A106-A14,'Summary'!$B$11)=0),I14,0)+IF(AND(A106&gt;A15,A106&lt;=A15+'Summary'!$B$10*12,MOD(A106-A15,'Summary'!$B$11)=0),I15,0)+IF(AND(A106&gt;A16,A106&lt;=A16+'Summary'!$B$10*12,MOD(A106-A16,'Summary'!$B$11)=0),I16,0)+IF(AND(A106&gt;A17,A106&lt;=A17+'Summary'!$B$10*12,MOD(A106-A17,'Summary'!$B$11)=0),I17,0)+IF(AND(A106&gt;A18,A106&lt;=A18+'Summary'!$B$10*12,MOD(A106-A18,'Summary'!$B$11)=0),I18,0)+IF(AND(A106&gt;A19,A106&lt;=A19+'Summary'!$B$10*12,MOD(A106-A19,'Summary'!$B$11)=0),I19,0)+IF(AND(A106&gt;A20,A106&lt;=A20+'Summary'!$B$10*12,MOD(A106-A20,'Summary'!$B$11)=0),I20,0)+IF(AND(A106&gt;A21,A106&lt;=A21+'Summary'!$B$10*12,MOD(A106-A21,'Summary'!$B$11)=0),I21,0)+IF(AND(A106&gt;A22,A106&lt;=A22+'Summary'!$B$10*12,MOD(A106-A22,'Summary'!$B$11)=0),I22,0)+IF(AND(A106&gt;A23,A106&lt;=A23+'Summary'!$B$10*12,MOD(A106-A23,'Summary'!$B$11)=0),I23,0)+IF(AND(A106&gt;A24,A106&lt;=A24+'Summary'!$B$10*12,MOD(A106-A24,'Summary'!$B$11)=0),I24,0)+IF(AND(A106&gt;A25,A106&lt;=A25+'Summary'!$B$10*12,MOD(A106-A25,'Summary'!$B$11)=0),I25,0)+IF(AND(A106&gt;A26,A106&lt;=A26+'Summary'!$B$10*12,MOD(A106-A26,'Summary'!$B$11)=0),I26,0)+IF(AND(A106&gt;A27,A106&lt;=A27+'Summary'!$B$10*12,MOD(A106-A27,'Summary'!$B$11)=0),I27,0)+IF(AND(A106&gt;A28,A106&lt;=A28+'Summary'!$B$10*12,MOD(A106-A28,'Summary'!$B$11)=0),I28,0)+IF(AND(A106&gt;A29,A106&lt;=A29+'Summary'!$B$10*12,MOD(A106-A29,'Summary'!$B$11)=0),I29,0)+IF(AND(A106&gt;A30,A106&lt;=A30+'Summary'!$B$10*12,MOD(A106-A30,'Summary'!$B$11)=0),I30,0)+IF(AND(A106&gt;A31,A106&lt;=A31+'Summary'!$B$10*12,MOD(A106-A31,'Summary'!$B$11)=0),I31,0)+IF(AND(A106&gt;A32,A106&lt;=A32+'Summary'!$B$10*12,MOD(A106-A32,'Summary'!$B$11)=0),I32,0)+IF(AND(A106&gt;A33,A106&lt;=A33+'Summary'!$B$10*12,MOD(A106-A33,'Summary'!$B$11)=0),I33,0)+IF(AND(A106&gt;A34,A106&lt;=A34+'Summary'!$B$10*12,MOD(A106-A34,'Summary'!$B$11)=0),I34,0)+IF(AND(A106&gt;A35,A106&lt;=A35+'Summary'!$B$10*12,MOD(A106-A35,'Summary'!$B$11)=0),I35,0)+IF(AND(A106&gt;A36,A106&lt;=A36+'Summary'!$B$10*12,MOD(A106-A36,'Summary'!$B$11)=0),I36,0)+IF(AND(A106&gt;A37,A106&lt;=A37+'Summary'!$B$10*12,MOD(A106-A37,'Summary'!$B$11)=0),I37,0)+IF(AND(A106&gt;A38,A106&lt;=A38+'Summary'!$B$10*12,MOD(A106-A38,'Summary'!$B$11)=0),I38,0)+IF(AND(A106&gt;A39,A106&lt;=A39+'Summary'!$B$10*12,MOD(A106-A39,'Summary'!$B$11)=0),I39,0)+IF(AND(A106&gt;A40,A106&lt;=A40+'Summary'!$B$10*12,MOD(A106-A40,'Summary'!$B$11)=0),I40,0)+IF(AND(A106&gt;A41,A106&lt;=A41+'Summary'!$B$10*12,MOD(A106-A41,'Summary'!$B$11)=0),I41,0)+IF(AND(A106&gt;A42,A106&lt;=A42+'Summary'!$B$10*12,MOD(A106-A42,'Summary'!$B$11)=0),I42,0)+IF(AND(A106&gt;A43,A106&lt;=A43+'Summary'!$B$10*12,MOD(A106-A43,'Summary'!$B$11)=0),I43,0)+IF(AND(A106&gt;A44,A106&lt;=A44+'Summary'!$B$10*12,MOD(A106-A44,'Summary'!$B$11)=0),I44,0)+IF(AND(A106&gt;A45,A106&lt;=A45+'Summary'!$B$10*12,MOD(A106-A45,'Summary'!$B$11)=0),I45,0)+IF(AND(A106&gt;A46,A106&lt;=A46+'Summary'!$B$10*12,MOD(A106-A46,'Summary'!$B$11)=0),I46,0)+IF(AND(A106&gt;A47,A106&lt;=A47+'Summary'!$B$10*12,MOD(A106-A47,'Summary'!$B$11)=0),I47,0)+IF(AND(A106&gt;A48,A106&lt;=A48+'Summary'!$B$10*12,MOD(A106-A48,'Summary'!$B$11)=0),I48,0)+IF(AND(A106&gt;A49,A106&lt;=A49+'Summary'!$B$10*12,MOD(A106-A49,'Summary'!$B$11)=0),I49,0)+IF(AND(A106&gt;A50,A106&lt;=A50+'Summary'!$B$10*12,MOD(A106-A50,'Summary'!$B$11)=0),I50,0)+IF(AND(A106&gt;A51,A106&lt;=A51+'Summary'!$B$10*12,MOD(A106-A51,'Summary'!$B$11)=0),I51,0)+IF(AND(A106&gt;A52,A106&lt;=A52+'Summary'!$B$10*12,MOD(A106-A52,'Summary'!$B$11)=0),I52,0)+IF(AND(A106&gt;A53,A106&lt;=A53+'Summary'!$B$10*12,MOD(A106-A53,'Summary'!$B$11)=0),I53,0)+IF(AND(A106&gt;A54,A106&lt;=A54+'Summary'!$B$10*12,MOD(A106-A54,'Summary'!$B$11)=0),I54,0)+IF(AND(A106&gt;A55,A106&lt;=A55+'Summary'!$B$10*12,MOD(A106-A55,'Summary'!$B$11)=0),I55,0)+IF(AND(A106&gt;A56,A106&lt;=A56+'Summary'!$B$10*12,MOD(A106-A56,'Summary'!$B$11)=0),I56,0)+IF(AND(A106&gt;A57,A106&lt;=A57+'Summary'!$B$10*12,MOD(A106-A57,'Summary'!$B$11)=0),I57,0)+IF(AND(A106&gt;A58,A106&lt;=A58+'Summary'!$B$10*12,MOD(A106-A58,'Summary'!$B$11)=0),I58,0)+IF(AND(A106&gt;A59,A106&lt;=A59+'Summary'!$B$10*12,MOD(A106-A59,'Summary'!$B$11)=0),I59,0)+IF(AND(A106&gt;A60,A106&lt;=A60+'Summary'!$B$10*12,MOD(A106-A60,'Summary'!$B$11)=0),I60,0)+IF(AND(A106&gt;A61,A106&lt;=A61+'Summary'!$B$10*12,MOD(A106-A61,'Summary'!$B$11)=0),I61,0)+IF(AND(A106&gt;A62,A106&lt;=A62+'Summary'!$B$10*12,MOD(A106-A62,'Summary'!$B$11)=0),I62,0)+IF(AND(A106&gt;A63,A106&lt;=A63+'Summary'!$B$10*12,MOD(A106-A63,'Summary'!$B$11)=0),I63,0)+IF(AND(A106&gt;A64,A106&lt;=A64+'Summary'!$B$10*12,MOD(A106-A64,'Summary'!$B$11)=0),I64,0)+IF(AND(A106&gt;A65,A106&lt;=A65+'Summary'!$B$10*12,MOD(A106-A65,'Summary'!$B$11)=0),I65,0)+IF(AND(A106&gt;A66,A106&lt;=A66+'Summary'!$B$10*12,MOD(A106-A66,'Summary'!$B$11)=0),I66,0)+IF(AND(A106&gt;A67,A106&lt;=A67+'Summary'!$B$10*12,MOD(A106-A67,'Summary'!$B$11)=0),I67,0)+IF(AND(A106&gt;A68,A106&lt;=A68+'Summary'!$B$10*12,MOD(A106-A68,'Summary'!$B$11)=0),I68,0)+IF(AND(A106&gt;A69,A106&lt;=A69+'Summary'!$B$10*12,MOD(A106-A69,'Summary'!$B$11)=0),I69,0)+IF(AND(A106&gt;A70,A106&lt;=A70+'Summary'!$B$10*12,MOD(A106-A70,'Summary'!$B$11)=0),I70,0)+IF(AND(A106&gt;A71,A106&lt;=A71+'Summary'!$B$10*12,MOD(A106-A71,'Summary'!$B$11)=0),I71,0)+IF(AND(A106&gt;A72,A106&lt;=A72+'Summary'!$B$10*12,MOD(A106-A72,'Summary'!$B$11)=0),I72,0)+IF(AND(A106&gt;A73,A106&lt;=A73+'Summary'!$B$10*12,MOD(A106-A73,'Summary'!$B$11)=0),I73,0)+IF(AND(A106&gt;A74,A106&lt;=A74+'Summary'!$B$10*12,MOD(A106-A74,'Summary'!$B$11)=0),I74,0)+IF(AND(A106&gt;A75,A106&lt;=A75+'Summary'!$B$10*12,MOD(A106-A75,'Summary'!$B$11)=0),I75,0)+IF(AND(A106&gt;A76,A106&lt;=A76+'Summary'!$B$10*12,MOD(A106-A76,'Summary'!$B$11)=0),I76,0)+IF(AND(A106&gt;A77,A106&lt;=A77+'Summary'!$B$10*12,MOD(A106-A77,'Summary'!$B$11)=0),I77,0)+IF(AND(A106&gt;A78,A106&lt;=A78+'Summary'!$B$10*12,MOD(A106-A78,'Summary'!$B$11)=0),I78,0)+IF(AND(A106&gt;A79,A106&lt;=A79+'Summary'!$B$10*12,MOD(A106-A79,'Summary'!$B$11)=0),I79,0)+IF(AND(A106&gt;A80,A106&lt;=A80+'Summary'!$B$10*12,MOD(A106-A80,'Summary'!$B$11)=0),I80,0)+IF(AND(A106&gt;A81,A106&lt;=A81+'Summary'!$B$10*12,MOD(A106-A81,'Summary'!$B$11)=0),I81,0)+IF(AND(A106&gt;A82,A106&lt;=A82+'Summary'!$B$10*12,MOD(A106-A82,'Summary'!$B$11)=0),I82,0)+IF(AND(A106&gt;A83,A106&lt;=A83+'Summary'!$B$10*12,MOD(A106-A83,'Summary'!$B$11)=0),I83,0)+IF(AND(A106&gt;A84,A106&lt;=A84+'Summary'!$B$10*12,MOD(A106-A84,'Summary'!$B$11)=0),I84,0)+IF(AND(A106&gt;A85,A106&lt;=A85+'Summary'!$B$10*12,MOD(A106-A85,'Summary'!$B$11)=0),I85,0)+IF(AND(A106&gt;A86,A106&lt;=A86+'Summary'!$B$10*12,MOD(A106-A86,'Summary'!$B$11)=0),I86,0)+IF(AND(A106&gt;A87,A106&lt;=A87+'Summary'!$B$10*12,MOD(A106-A87,'Summary'!$B$11)=0),I87,0)+IF(AND(A106&gt;A88,A106&lt;=A88+'Summary'!$B$10*12,MOD(A106-A88,'Summary'!$B$11)=0),I88,0)+IF(AND(A106&gt;A89,A106&lt;=A89+'Summary'!$B$10*12,MOD(A106-A89,'Summary'!$B$11)=0),I89,0)+IF(AND(A106&gt;A90,A106&lt;=A90+'Summary'!$B$10*12,MOD(A106-A90,'Summary'!$B$11)=0),I90,0)+IF(AND(A106&gt;A91,A106&lt;=A91+'Summary'!$B$10*12,MOD(A106-A91,'Summary'!$B$11)=0),I91,0)+IF(AND(A106&gt;A92,A106&lt;=A92+'Summary'!$B$10*12,MOD(A106-A92,'Summary'!$B$11)=0),I92,0)+IF(AND(A106&gt;A93,A106&lt;=A93+'Summary'!$B$10*12,MOD(A106-A93,'Summary'!$B$11)=0),I93,0)+IF(AND(A106&gt;A94,A106&lt;=A94+'Summary'!$B$10*12,MOD(A106-A94,'Summary'!$B$11)=0),I94,0)+IF(AND(A106&gt;A95,A106&lt;=A95+'Summary'!$B$10*12,MOD(A106-A95,'Summary'!$B$11)=0),I95,0)+IF(AND(A106&gt;A96,A106&lt;=A96+'Summary'!$B$10*12,MOD(A106-A96,'Summary'!$B$11)=0),I96,0)+IF(AND(A106&gt;A97,A106&lt;=A97+'Summary'!$B$10*12,MOD(A106-A97,'Summary'!$B$11)=0),I97,0)+IF(AND(A106&gt;A98,A106&lt;=A98+'Summary'!$B$10*12,MOD(A106-A98,'Summary'!$B$11)=0),I98,0)+IF(AND(A106&gt;A99,A106&lt;=A99+'Summary'!$B$10*12,MOD(A106-A99,'Summary'!$B$11)=0),I99,0)+IF(AND(A106&gt;A100,A106&lt;=A100+'Summary'!$B$10*12,MOD(A106-A100,'Summary'!$B$11)=0),I100,0)+IF(AND(A106&gt;A101,A106&lt;=A101+'Summary'!$B$10*12,MOD(A106-A101,'Summary'!$B$11)=0),I101,0)+IF(AND(A106&gt;A102,A106&lt;=A102+'Summary'!$B$10*12,MOD(A106-A102,'Summary'!$B$11)=0),I102,0)+IF(AND(A106&gt;A103,A106&lt;=A103+'Summary'!$B$10*12,MOD(A106-A103,'Summary'!$B$11)=0),I103,0)+IF(AND(A106&gt;A104,A106&lt;=A104+'Summary'!$B$10*12,MOD(A106-A104,'Summary'!$B$11)=0),I104,0)+IF(AND(A106&gt;A105,A106&lt;=A105+'Summary'!$B$10*12,MOD(A106-A105,'Summary'!$B$11)=0),I105,0))*'Summary'!$B$8/2</x:f>
        <x:v>34.29466167475766</x:v>
      </x:c>
      <x:c r="G106" s="62" t="n">
        <x:f>IF(A106=A8+'Summary'!$B$10*12,I8,0)+IF(A106=A9+'Summary'!$B$10*12,I9,0)+IF(A106=A10+'Summary'!$B$10*12,I10,0)+IF(A106=A11+'Summary'!$B$10*12,I11,0)+IF(A106=A12+'Summary'!$B$10*12,I12,0)+IF(A106=A13+'Summary'!$B$10*12,I13,0)+IF(A106=A14+'Summary'!$B$10*12,I14,0)+IF(A106=A15+'Summary'!$B$10*12,I15,0)+IF(A106=A16+'Summary'!$B$10*12,I16,0)+IF(A106=A17+'Summary'!$B$10*12,I17,0)+IF(A106=A18+'Summary'!$B$10*12,I18,0)+IF(A106=A19+'Summary'!$B$10*12,I19,0)+IF(A106=A20+'Summary'!$B$10*12,I20,0)+IF(A106=A21+'Summary'!$B$10*12,I21,0)+IF(A106=A22+'Summary'!$B$10*12,I22,0)+IF(A106=A23+'Summary'!$B$10*12,I23,0)+IF(A106=A24+'Summary'!$B$10*12,I24,0)+IF(A106=A25+'Summary'!$B$10*12,I25,0)+IF(A106=A26+'Summary'!$B$10*12,I26,0)+IF(A106=A27+'Summary'!$B$10*12,I27,0)+IF(A106=A28+'Summary'!$B$10*12,I28,0)+IF(A106=A29+'Summary'!$B$10*12,I29,0)+IF(A106=A30+'Summary'!$B$10*12,I30,0)+IF(A106=A31+'Summary'!$B$10*12,I31,0)+IF(A106=A32+'Summary'!$B$10*12,I32,0)+IF(A106=A33+'Summary'!$B$10*12,I33,0)+IF(A106=A34+'Summary'!$B$10*12,I34,0)+IF(A106=A35+'Summary'!$B$10*12,I35,0)+IF(A106=A36+'Summary'!$B$10*12,I36,0)+IF(A106=A37+'Summary'!$B$10*12,I37,0)+IF(A106=A38+'Summary'!$B$10*12,I38,0)+IF(A106=A39+'Summary'!$B$10*12,I39,0)+IF(A106=A40+'Summary'!$B$10*12,I40,0)+IF(A106=A41+'Summary'!$B$10*12,I41,0)+IF(A106=A42+'Summary'!$B$10*12,I42,0)+IF(A106=A43+'Summary'!$B$10*12,I43,0)+IF(A106=A44+'Summary'!$B$10*12,I44,0)+IF(A106=A45+'Summary'!$B$10*12,I45,0)+IF(A106=A46+'Summary'!$B$10*12,I46,0)+IF(A106=A47+'Summary'!$B$10*12,I47,0)+IF(A106=A48+'Summary'!$B$10*12,I48,0)+IF(A106=A49+'Summary'!$B$10*12,I49,0)+IF(A106=A50+'Summary'!$B$10*12,I50,0)+IF(A106=A51+'Summary'!$B$10*12,I51,0)+IF(A106=A52+'Summary'!$B$10*12,I52,0)+IF(A106=A53+'Summary'!$B$10*12,I53,0)+IF(A106=A54+'Summary'!$B$10*12,I54,0)+IF(A106=A55+'Summary'!$B$10*12,I55,0)+IF(A106=A56+'Summary'!$B$10*12,I56,0)+IF(A106=A57+'Summary'!$B$10*12,I57,0)+IF(A106=A58+'Summary'!$B$10*12,I58,0)+IF(A106=A59+'Summary'!$B$10*12,I59,0)+IF(A106=A60+'Summary'!$B$10*12,I60,0)+IF(A106=A61+'Summary'!$B$10*12,I61,0)+IF(A106=A62+'Summary'!$B$10*12,I62,0)+IF(A106=A63+'Summary'!$B$10*12,I63,0)+IF(A106=A64+'Summary'!$B$10*12,I64,0)+IF(A106=A65+'Summary'!$B$10*12,I65,0)+IF(A106=A66+'Summary'!$B$10*12,I66,0)+IF(A106=A67+'Summary'!$B$10*12,I67,0)+IF(A106=A68+'Summary'!$B$10*12,I68,0)+IF(A106=A69+'Summary'!$B$10*12,I69,0)+IF(A106=A70+'Summary'!$B$10*12,I70,0)+IF(A106=A71+'Summary'!$B$10*12,I71,0)+IF(A106=A72+'Summary'!$B$10*12,I72,0)+IF(A106=A73+'Summary'!$B$10*12,I73,0)+IF(A106=A74+'Summary'!$B$10*12,I74,0)+IF(A106=A75+'Summary'!$B$10*12,I75,0)+IF(A106=A76+'Summary'!$B$10*12,I76,0)+IF(A106=A77+'Summary'!$B$10*12,I77,0)+IF(A106=A78+'Summary'!$B$10*12,I78,0)+IF(A106=A79+'Summary'!$B$10*12,I79,0)+IF(A106=A80+'Summary'!$B$10*12,I80,0)+IF(A106=A81+'Summary'!$B$10*12,I81,0)+IF(A106=A82+'Summary'!$B$10*12,I82,0)+IF(A106=A83+'Summary'!$B$10*12,I83,0)+IF(A106=A84+'Summary'!$B$10*12,I84,0)+IF(A106=A85+'Summary'!$B$10*12,I85,0)+IF(A106=A86+'Summary'!$B$10*12,I86,0)+IF(A106=A87+'Summary'!$B$10*12,I87,0)+IF(A106=A88+'Summary'!$B$10*12,I88,0)+IF(A106=A89+'Summary'!$B$10*12,I89,0)+IF(A106=A90+'Summary'!$B$10*12,I90,0)+IF(A106=A91+'Summary'!$B$10*12,I91,0)+IF(A106=A92+'Summary'!$B$10*12,I92,0)+IF(A106=A93+'Summary'!$B$10*12,I93,0)+IF(A106=A94+'Summary'!$B$10*12,I94,0)+IF(A106=A95+'Summary'!$B$10*12,I95,0)+IF(A106=A96+'Summary'!$B$10*12,I96,0)+IF(A106=A97+'Summary'!$B$10*12,I97,0)+IF(A106=A98+'Summary'!$B$10*12,I98,0)+IF(A106=A99+'Summary'!$B$10*12,I99,0)+IF(A106=A100+'Summary'!$B$10*12,I100,0)+IF(A106=A101+'Summary'!$B$10*12,I101,0)+IF(A106=A102+'Summary'!$B$10*12,I102,0)+IF(A106=A103+'Summary'!$B$10*12,I103,0)+IF(A106=A104+'Summary'!$B$10*12,I104,0)+IF(A106=A105+'Summary'!$B$10*12,I105,0)</x:f>
        <x:v>111.69199058434481</x:v>
      </x:c>
      <x:c r="H106" s="62" t="n">
        <x:f>E106+D106+F106+G106</x:f>
        <x:v>245.98665225910247</x:v>
      </x:c>
      <x:c r="I106" s="62" t="n">
        <x:f>IF(B106,IF(H106&gt;='Summary'!$B$12,H106,0),0)</x:f>
        <x:v>245.98665225910247</x:v>
      </x:c>
      <x:c r="J106" s="62" t="n">
        <x:f>H106-I106</x:f>
        <x:v>0</x:v>
      </x:c>
      <x:c r="K106" s="63" t="n">
        <x:f>J106+IF(A8+'Summary'!$B$10*12&gt;A106,I8,0)+IF(A9+'Summary'!$B$10*12&gt;A106,I9,0)+IF(A10+'Summary'!$B$10*12&gt;A106,I10,0)+IF(A11+'Summary'!$B$10*12&gt;A106,I11,0)+IF(A12+'Summary'!$B$10*12&gt;A106,I12,0)+IF(A13+'Summary'!$B$10*12&gt;A106,I13,0)+IF(A14+'Summary'!$B$10*12&gt;A106,I14,0)+IF(A15+'Summary'!$B$10*12&gt;A106,I15,0)+IF(A16+'Summary'!$B$10*12&gt;A106,I16,0)+IF(A17+'Summary'!$B$10*12&gt;A106,I17,0)+IF(A18+'Summary'!$B$10*12&gt;A106,I18,0)+IF(A19+'Summary'!$B$10*12&gt;A106,I19,0)+IF(A20+'Summary'!$B$10*12&gt;A106,I20,0)+IF(A21+'Summary'!$B$10*12&gt;A106,I21,0)+IF(A22+'Summary'!$B$10*12&gt;A106,I22,0)+IF(A23+'Summary'!$B$10*12&gt;A106,I23,0)+IF(A24+'Summary'!$B$10*12&gt;A106,I24,0)+IF(A25+'Summary'!$B$10*12&gt;A106,I25,0)+IF(A26+'Summary'!$B$10*12&gt;A106,I26,0)+IF(A27+'Summary'!$B$10*12&gt;A106,I27,0)+IF(A28+'Summary'!$B$10*12&gt;A106,I28,0)+IF(A29+'Summary'!$B$10*12&gt;A106,I29,0)+IF(A30+'Summary'!$B$10*12&gt;A106,I30,0)+IF(A31+'Summary'!$B$10*12&gt;A106,I31,0)+IF(A32+'Summary'!$B$10*12&gt;A106,I32,0)+IF(A33+'Summary'!$B$10*12&gt;A106,I33,0)+IF(A34+'Summary'!$B$10*12&gt;A106,I34,0)+IF(A35+'Summary'!$B$10*12&gt;A106,I35,0)+IF(A36+'Summary'!$B$10*12&gt;A106,I36,0)+IF(A37+'Summary'!$B$10*12&gt;A106,I37,0)+IF(A38+'Summary'!$B$10*12&gt;A106,I38,0)+IF(A39+'Summary'!$B$10*12&gt;A106,I39,0)+IF(A40+'Summary'!$B$10*12&gt;A106,I40,0)+IF(A41+'Summary'!$B$10*12&gt;A106,I41,0)+IF(A42+'Summary'!$B$10*12&gt;A106,I42,0)+IF(A43+'Summary'!$B$10*12&gt;A106,I43,0)+IF(A44+'Summary'!$B$10*12&gt;A106,I44,0)+IF(A45+'Summary'!$B$10*12&gt;A106,I45,0)+IF(A46+'Summary'!$B$10*12&gt;A106,I46,0)+IF(A47+'Summary'!$B$10*12&gt;A106,I47,0)+IF(A48+'Summary'!$B$10*12&gt;A106,I48,0)+IF(A49+'Summary'!$B$10*12&gt;A106,I49,0)+IF(A50+'Summary'!$B$10*12&gt;A106,I50,0)+IF(A51+'Summary'!$B$10*12&gt;A106,I51,0)+IF(A52+'Summary'!$B$10*12&gt;A106,I52,0)+IF(A53+'Summary'!$B$10*12&gt;A106,I53,0)+IF(A54+'Summary'!$B$10*12&gt;A106,I54,0)+IF(A55+'Summary'!$B$10*12&gt;A106,I55,0)+IF(A56+'Summary'!$B$10*12&gt;A106,I56,0)+IF(A57+'Summary'!$B$10*12&gt;A106,I57,0)+IF(A58+'Summary'!$B$10*12&gt;A106,I58,0)+IF(A59+'Summary'!$B$10*12&gt;A106,I59,0)+IF(A60+'Summary'!$B$10*12&gt;A106,I60,0)+IF(A61+'Summary'!$B$10*12&gt;A106,I61,0)+IF(A62+'Summary'!$B$10*12&gt;A106,I62,0)+IF(A63+'Summary'!$B$10*12&gt;A106,I63,0)+IF(A64+'Summary'!$B$10*12&gt;A106,I64,0)+IF(A65+'Summary'!$B$10*12&gt;A106,I65,0)+IF(A66+'Summary'!$B$10*12&gt;A106,I66,0)+IF(A67+'Summary'!$B$10*12&gt;A106,I67,0)+IF(A68+'Summary'!$B$10*12&gt;A106,I68,0)+IF(A69+'Summary'!$B$10*12&gt;A106,I69,0)+IF(A70+'Summary'!$B$10*12&gt;A106,I70,0)+IF(A71+'Summary'!$B$10*12&gt;A106,I71,0)+IF(A72+'Summary'!$B$10*12&gt;A106,I72,0)+IF(A73+'Summary'!$B$10*12&gt;A106,I73,0)+IF(A74+'Summary'!$B$10*12&gt;A106,I74,0)+IF(A75+'Summary'!$B$10*12&gt;A106,I75,0)+IF(A76+'Summary'!$B$10*12&gt;A106,I76,0)+IF(A77+'Summary'!$B$10*12&gt;A106,I77,0)+IF(A78+'Summary'!$B$10*12&gt;A106,I78,0)+IF(A79+'Summary'!$B$10*12&gt;A106,I79,0)+IF(A80+'Summary'!$B$10*12&gt;A106,I80,0)+IF(A81+'Summary'!$B$10*12&gt;A106,I81,0)+IF(A82+'Summary'!$B$10*12&gt;A106,I82,0)+IF(A83+'Summary'!$B$10*12&gt;A106,I83,0)+IF(A84+'Summary'!$B$10*12&gt;A106,I84,0)+IF(A85+'Summary'!$B$10*12&gt;A106,I85,0)+IF(A86+'Summary'!$B$10*12&gt;A106,I86,0)+IF(A87+'Summary'!$B$10*12&gt;A106,I87,0)+IF(A88+'Summary'!$B$10*12&gt;A106,I88,0)+IF(A89+'Summary'!$B$10*12&gt;A106,I89,0)+IF(A90+'Summary'!$B$10*12&gt;A106,I90,0)+IF(A91+'Summary'!$B$10*12&gt;A106,I91,0)+IF(A92+'Summary'!$B$10*12&gt;A106,I92,0)+IF(A93+'Summary'!$B$10*12&gt;A106,I93,0)+IF(A94+'Summary'!$B$10*12&gt;A106,I94,0)+IF(A95+'Summary'!$B$10*12&gt;A106,I95,0)+IF(A96+'Summary'!$B$10*12&gt;A106,I96,0)+IF(A97+'Summary'!$B$10*12&gt;A106,I97,0)+IF(A98+'Summary'!$B$10*12&gt;A106,I98,0)+IF(A99+'Summary'!$B$10*12&gt;A106,I99,0)+IF(A100+'Summary'!$B$10*12&gt;A106,I100,0)+IF(A101+'Summary'!$B$10*12&gt;A106,I101,0)+IF(A102+'Summary'!$B$10*12&gt;A106,I102,0)+IF(A103+'Summary'!$B$10*12&gt;A106,I103,0)+IF(A104+'Summary'!$B$10*12&gt;A106,I104,0)+IF(A105+'Summary'!$B$10*12&gt;A106,I105,0)+IF(A106+'Summary'!$B$10*12&gt;A106,I106,0)</x:f>
        <x:v>24895.144241131533</x:v>
      </x:c>
    </x:row>
    <x:row r="107">
      <x:c r="A107" s="55" t="n">
        <x:v>99</x:v>
      </x:c>
      <x:c r="B107" s="71" t="b">
        <x:f>A107&lt;='Summary'!$B$9*12</x:f>
        <x:v>1</x:v>
      </x:c>
      <x:c r="C107" s="62" t="n">
        <x:f>IF(A107=0,IF('Summary'!$B$6&gt;=5,'Summary'!$B$6,0),C106)+IF(A107&lt;'Summary'!$B$9*12,IF('Summary'!$B$7&gt;=5,'Summary'!$B$7,0),0)</x:f>
        <x:v>20000</x:v>
      </x:c>
      <x:c r="D107" s="62" t="n">
        <x:f>IF(A107=0,IF('Summary'!$B$6&gt;=5,'Summary'!$B$6,0),0)+IF(A107&lt;'Summary'!$B$9*12,IF('Summary'!$B$7&gt;=5,'Summary'!$B$7,0),0)</x:f>
        <x:v>100</x:v>
      </x:c>
      <x:c r="E107" s="62" t="n">
        <x:f>J106</x:f>
        <x:v>0</x:v>
      </x:c>
      <x:c r="F107" s="62" t="n">
        <x:f>(IF(AND(A107&gt;A8,A107&lt;=A8+'Summary'!$B$10*12,MOD(A107-A8,'Summary'!$B$11)=0),I8,0)+IF(AND(A107&gt;A9,A107&lt;=A9+'Summary'!$B$10*12,MOD(A107-A9,'Summary'!$B$11)=0),I9,0)+IF(AND(A107&gt;A10,A107&lt;=A10+'Summary'!$B$10*12,MOD(A107-A10,'Summary'!$B$11)=0),I10,0)+IF(AND(A107&gt;A11,A107&lt;=A11+'Summary'!$B$10*12,MOD(A107-A11,'Summary'!$B$11)=0),I11,0)+IF(AND(A107&gt;A12,A107&lt;=A12+'Summary'!$B$10*12,MOD(A107-A12,'Summary'!$B$11)=0),I12,0)+IF(AND(A107&gt;A13,A107&lt;=A13+'Summary'!$B$10*12,MOD(A107-A13,'Summary'!$B$11)=0),I13,0)+IF(AND(A107&gt;A14,A107&lt;=A14+'Summary'!$B$10*12,MOD(A107-A14,'Summary'!$B$11)=0),I14,0)+IF(AND(A107&gt;A15,A107&lt;=A15+'Summary'!$B$10*12,MOD(A107-A15,'Summary'!$B$11)=0),I15,0)+IF(AND(A107&gt;A16,A107&lt;=A16+'Summary'!$B$10*12,MOD(A107-A16,'Summary'!$B$11)=0),I16,0)+IF(AND(A107&gt;A17,A107&lt;=A17+'Summary'!$B$10*12,MOD(A107-A17,'Summary'!$B$11)=0),I17,0)+IF(AND(A107&gt;A18,A107&lt;=A18+'Summary'!$B$10*12,MOD(A107-A18,'Summary'!$B$11)=0),I18,0)+IF(AND(A107&gt;A19,A107&lt;=A19+'Summary'!$B$10*12,MOD(A107-A19,'Summary'!$B$11)=0),I19,0)+IF(AND(A107&gt;A20,A107&lt;=A20+'Summary'!$B$10*12,MOD(A107-A20,'Summary'!$B$11)=0),I20,0)+IF(AND(A107&gt;A21,A107&lt;=A21+'Summary'!$B$10*12,MOD(A107-A21,'Summary'!$B$11)=0),I21,0)+IF(AND(A107&gt;A22,A107&lt;=A22+'Summary'!$B$10*12,MOD(A107-A22,'Summary'!$B$11)=0),I22,0)+IF(AND(A107&gt;A23,A107&lt;=A23+'Summary'!$B$10*12,MOD(A107-A23,'Summary'!$B$11)=0),I23,0)+IF(AND(A107&gt;A24,A107&lt;=A24+'Summary'!$B$10*12,MOD(A107-A24,'Summary'!$B$11)=0),I24,0)+IF(AND(A107&gt;A25,A107&lt;=A25+'Summary'!$B$10*12,MOD(A107-A25,'Summary'!$B$11)=0),I25,0)+IF(AND(A107&gt;A26,A107&lt;=A26+'Summary'!$B$10*12,MOD(A107-A26,'Summary'!$B$11)=0),I26,0)+IF(AND(A107&gt;A27,A107&lt;=A27+'Summary'!$B$10*12,MOD(A107-A27,'Summary'!$B$11)=0),I27,0)+IF(AND(A107&gt;A28,A107&lt;=A28+'Summary'!$B$10*12,MOD(A107-A28,'Summary'!$B$11)=0),I28,0)+IF(AND(A107&gt;A29,A107&lt;=A29+'Summary'!$B$10*12,MOD(A107-A29,'Summary'!$B$11)=0),I29,0)+IF(AND(A107&gt;A30,A107&lt;=A30+'Summary'!$B$10*12,MOD(A107-A30,'Summary'!$B$11)=0),I30,0)+IF(AND(A107&gt;A31,A107&lt;=A31+'Summary'!$B$10*12,MOD(A107-A31,'Summary'!$B$11)=0),I31,0)+IF(AND(A107&gt;A32,A107&lt;=A32+'Summary'!$B$10*12,MOD(A107-A32,'Summary'!$B$11)=0),I32,0)+IF(AND(A107&gt;A33,A107&lt;=A33+'Summary'!$B$10*12,MOD(A107-A33,'Summary'!$B$11)=0),I33,0)+IF(AND(A107&gt;A34,A107&lt;=A34+'Summary'!$B$10*12,MOD(A107-A34,'Summary'!$B$11)=0),I34,0)+IF(AND(A107&gt;A35,A107&lt;=A35+'Summary'!$B$10*12,MOD(A107-A35,'Summary'!$B$11)=0),I35,0)+IF(AND(A107&gt;A36,A107&lt;=A36+'Summary'!$B$10*12,MOD(A107-A36,'Summary'!$B$11)=0),I36,0)+IF(AND(A107&gt;A37,A107&lt;=A37+'Summary'!$B$10*12,MOD(A107-A37,'Summary'!$B$11)=0),I37,0)+IF(AND(A107&gt;A38,A107&lt;=A38+'Summary'!$B$10*12,MOD(A107-A38,'Summary'!$B$11)=0),I38,0)+IF(AND(A107&gt;A39,A107&lt;=A39+'Summary'!$B$10*12,MOD(A107-A39,'Summary'!$B$11)=0),I39,0)+IF(AND(A107&gt;A40,A107&lt;=A40+'Summary'!$B$10*12,MOD(A107-A40,'Summary'!$B$11)=0),I40,0)+IF(AND(A107&gt;A41,A107&lt;=A41+'Summary'!$B$10*12,MOD(A107-A41,'Summary'!$B$11)=0),I41,0)+IF(AND(A107&gt;A42,A107&lt;=A42+'Summary'!$B$10*12,MOD(A107-A42,'Summary'!$B$11)=0),I42,0)+IF(AND(A107&gt;A43,A107&lt;=A43+'Summary'!$B$10*12,MOD(A107-A43,'Summary'!$B$11)=0),I43,0)+IF(AND(A107&gt;A44,A107&lt;=A44+'Summary'!$B$10*12,MOD(A107-A44,'Summary'!$B$11)=0),I44,0)+IF(AND(A107&gt;A45,A107&lt;=A45+'Summary'!$B$10*12,MOD(A107-A45,'Summary'!$B$11)=0),I45,0)+IF(AND(A107&gt;A46,A107&lt;=A46+'Summary'!$B$10*12,MOD(A107-A46,'Summary'!$B$11)=0),I46,0)+IF(AND(A107&gt;A47,A107&lt;=A47+'Summary'!$B$10*12,MOD(A107-A47,'Summary'!$B$11)=0),I47,0)+IF(AND(A107&gt;A48,A107&lt;=A48+'Summary'!$B$10*12,MOD(A107-A48,'Summary'!$B$11)=0),I48,0)+IF(AND(A107&gt;A49,A107&lt;=A49+'Summary'!$B$10*12,MOD(A107-A49,'Summary'!$B$11)=0),I49,0)+IF(AND(A107&gt;A50,A107&lt;=A50+'Summary'!$B$10*12,MOD(A107-A50,'Summary'!$B$11)=0),I50,0)+IF(AND(A107&gt;A51,A107&lt;=A51+'Summary'!$B$10*12,MOD(A107-A51,'Summary'!$B$11)=0),I51,0)+IF(AND(A107&gt;A52,A107&lt;=A52+'Summary'!$B$10*12,MOD(A107-A52,'Summary'!$B$11)=0),I52,0)+IF(AND(A107&gt;A53,A107&lt;=A53+'Summary'!$B$10*12,MOD(A107-A53,'Summary'!$B$11)=0),I53,0)+IF(AND(A107&gt;A54,A107&lt;=A54+'Summary'!$B$10*12,MOD(A107-A54,'Summary'!$B$11)=0),I54,0)+IF(AND(A107&gt;A55,A107&lt;=A55+'Summary'!$B$10*12,MOD(A107-A55,'Summary'!$B$11)=0),I55,0)+IF(AND(A107&gt;A56,A107&lt;=A56+'Summary'!$B$10*12,MOD(A107-A56,'Summary'!$B$11)=0),I56,0)+IF(AND(A107&gt;A57,A107&lt;=A57+'Summary'!$B$10*12,MOD(A107-A57,'Summary'!$B$11)=0),I57,0)+IF(AND(A107&gt;A58,A107&lt;=A58+'Summary'!$B$10*12,MOD(A107-A58,'Summary'!$B$11)=0),I58,0)+IF(AND(A107&gt;A59,A107&lt;=A59+'Summary'!$B$10*12,MOD(A107-A59,'Summary'!$B$11)=0),I59,0)+IF(AND(A107&gt;A60,A107&lt;=A60+'Summary'!$B$10*12,MOD(A107-A60,'Summary'!$B$11)=0),I60,0)+IF(AND(A107&gt;A61,A107&lt;=A61+'Summary'!$B$10*12,MOD(A107-A61,'Summary'!$B$11)=0),I61,0)+IF(AND(A107&gt;A62,A107&lt;=A62+'Summary'!$B$10*12,MOD(A107-A62,'Summary'!$B$11)=0),I62,0)+IF(AND(A107&gt;A63,A107&lt;=A63+'Summary'!$B$10*12,MOD(A107-A63,'Summary'!$B$11)=0),I63,0)+IF(AND(A107&gt;A64,A107&lt;=A64+'Summary'!$B$10*12,MOD(A107-A64,'Summary'!$B$11)=0),I64,0)+IF(AND(A107&gt;A65,A107&lt;=A65+'Summary'!$B$10*12,MOD(A107-A65,'Summary'!$B$11)=0),I65,0)+IF(AND(A107&gt;A66,A107&lt;=A66+'Summary'!$B$10*12,MOD(A107-A66,'Summary'!$B$11)=0),I66,0)+IF(AND(A107&gt;A67,A107&lt;=A67+'Summary'!$B$10*12,MOD(A107-A67,'Summary'!$B$11)=0),I67,0)+IF(AND(A107&gt;A68,A107&lt;=A68+'Summary'!$B$10*12,MOD(A107-A68,'Summary'!$B$11)=0),I68,0)+IF(AND(A107&gt;A69,A107&lt;=A69+'Summary'!$B$10*12,MOD(A107-A69,'Summary'!$B$11)=0),I69,0)+IF(AND(A107&gt;A70,A107&lt;=A70+'Summary'!$B$10*12,MOD(A107-A70,'Summary'!$B$11)=0),I70,0)+IF(AND(A107&gt;A71,A107&lt;=A71+'Summary'!$B$10*12,MOD(A107-A71,'Summary'!$B$11)=0),I71,0)+IF(AND(A107&gt;A72,A107&lt;=A72+'Summary'!$B$10*12,MOD(A107-A72,'Summary'!$B$11)=0),I72,0)+IF(AND(A107&gt;A73,A107&lt;=A73+'Summary'!$B$10*12,MOD(A107-A73,'Summary'!$B$11)=0),I73,0)+IF(AND(A107&gt;A74,A107&lt;=A74+'Summary'!$B$10*12,MOD(A107-A74,'Summary'!$B$11)=0),I74,0)+IF(AND(A107&gt;A75,A107&lt;=A75+'Summary'!$B$10*12,MOD(A107-A75,'Summary'!$B$11)=0),I75,0)+IF(AND(A107&gt;A76,A107&lt;=A76+'Summary'!$B$10*12,MOD(A107-A76,'Summary'!$B$11)=0),I76,0)+IF(AND(A107&gt;A77,A107&lt;=A77+'Summary'!$B$10*12,MOD(A107-A77,'Summary'!$B$11)=0),I77,0)+IF(AND(A107&gt;A78,A107&lt;=A78+'Summary'!$B$10*12,MOD(A107-A78,'Summary'!$B$11)=0),I78,0)+IF(AND(A107&gt;A79,A107&lt;=A79+'Summary'!$B$10*12,MOD(A107-A79,'Summary'!$B$11)=0),I79,0)+IF(AND(A107&gt;A80,A107&lt;=A80+'Summary'!$B$10*12,MOD(A107-A80,'Summary'!$B$11)=0),I80,0)+IF(AND(A107&gt;A81,A107&lt;=A81+'Summary'!$B$10*12,MOD(A107-A81,'Summary'!$B$11)=0),I81,0)+IF(AND(A107&gt;A82,A107&lt;=A82+'Summary'!$B$10*12,MOD(A107-A82,'Summary'!$B$11)=0),I82,0)+IF(AND(A107&gt;A83,A107&lt;=A83+'Summary'!$B$10*12,MOD(A107-A83,'Summary'!$B$11)=0),I83,0)+IF(AND(A107&gt;A84,A107&lt;=A84+'Summary'!$B$10*12,MOD(A107-A84,'Summary'!$B$11)=0),I84,0)+IF(AND(A107&gt;A85,A107&lt;=A85+'Summary'!$B$10*12,MOD(A107-A85,'Summary'!$B$11)=0),I85,0)+IF(AND(A107&gt;A86,A107&lt;=A86+'Summary'!$B$10*12,MOD(A107-A86,'Summary'!$B$11)=0),I86,0)+IF(AND(A107&gt;A87,A107&lt;=A87+'Summary'!$B$10*12,MOD(A107-A87,'Summary'!$B$11)=0),I87,0)+IF(AND(A107&gt;A88,A107&lt;=A88+'Summary'!$B$10*12,MOD(A107-A88,'Summary'!$B$11)=0),I88,0)+IF(AND(A107&gt;A89,A107&lt;=A89+'Summary'!$B$10*12,MOD(A107-A89,'Summary'!$B$11)=0),I89,0)+IF(AND(A107&gt;A90,A107&lt;=A90+'Summary'!$B$10*12,MOD(A107-A90,'Summary'!$B$11)=0),I90,0)+IF(AND(A107&gt;A91,A107&lt;=A91+'Summary'!$B$10*12,MOD(A107-A91,'Summary'!$B$11)=0),I91,0)+IF(AND(A107&gt;A92,A107&lt;=A92+'Summary'!$B$10*12,MOD(A107-A92,'Summary'!$B$11)=0),I92,0)+IF(AND(A107&gt;A93,A107&lt;=A93+'Summary'!$B$10*12,MOD(A107-A93,'Summary'!$B$11)=0),I93,0)+IF(AND(A107&gt;A94,A107&lt;=A94+'Summary'!$B$10*12,MOD(A107-A94,'Summary'!$B$11)=0),I94,0)+IF(AND(A107&gt;A95,A107&lt;=A95+'Summary'!$B$10*12,MOD(A107-A95,'Summary'!$B$11)=0),I95,0)+IF(AND(A107&gt;A96,A107&lt;=A96+'Summary'!$B$10*12,MOD(A107-A96,'Summary'!$B$11)=0),I96,0)+IF(AND(A107&gt;A97,A107&lt;=A97+'Summary'!$B$10*12,MOD(A107-A97,'Summary'!$B$11)=0),I97,0)+IF(AND(A107&gt;A98,A107&lt;=A98+'Summary'!$B$10*12,MOD(A107-A98,'Summary'!$B$11)=0),I98,0)+IF(AND(A107&gt;A99,A107&lt;=A99+'Summary'!$B$10*12,MOD(A107-A99,'Summary'!$B$11)=0),I99,0)+IF(AND(A107&gt;A100,A107&lt;=A100+'Summary'!$B$10*12,MOD(A107-A100,'Summary'!$B$11)=0),I100,0)+IF(AND(A107&gt;A101,A107&lt;=A101+'Summary'!$B$10*12,MOD(A107-A101,'Summary'!$B$11)=0),I101,0)+IF(AND(A107&gt;A102,A107&lt;=A102+'Summary'!$B$10*12,MOD(A107-A102,'Summary'!$B$11)=0),I102,0)+IF(AND(A107&gt;A103,A107&lt;=A103+'Summary'!$B$10*12,MOD(A107-A103,'Summary'!$B$11)=0),I103,0)+IF(AND(A107&gt;A104,A107&lt;=A104+'Summary'!$B$10*12,MOD(A107-A104,'Summary'!$B$11)=0),I104,0)+IF(AND(A107&gt;A105,A107&lt;=A105+'Summary'!$B$10*12,MOD(A107-A105,'Summary'!$B$11)=0),I105,0)+IF(AND(A107&gt;A106,A107&lt;=A106+'Summary'!$B$10*12,MOD(A107-A106,'Summary'!$B$11)=0),I106,0))*'Summary'!$B$8/2</x:f>
        <x:v>34.29466167475766</x:v>
      </x:c>
      <x:c r="G107" s="62" t="n">
        <x:f>IF(A107=A8+'Summary'!$B$10*12,I8,0)+IF(A107=A9+'Summary'!$B$10*12,I9,0)+IF(A107=A10+'Summary'!$B$10*12,I10,0)+IF(A107=A11+'Summary'!$B$10*12,I11,0)+IF(A107=A12+'Summary'!$B$10*12,I12,0)+IF(A107=A13+'Summary'!$B$10*12,I13,0)+IF(A107=A14+'Summary'!$B$10*12,I14,0)+IF(A107=A15+'Summary'!$B$10*12,I15,0)+IF(A107=A16+'Summary'!$B$10*12,I16,0)+IF(A107=A17+'Summary'!$B$10*12,I17,0)+IF(A107=A18+'Summary'!$B$10*12,I18,0)+IF(A107=A19+'Summary'!$B$10*12,I19,0)+IF(A107=A20+'Summary'!$B$10*12,I20,0)+IF(A107=A21+'Summary'!$B$10*12,I21,0)+IF(A107=A22+'Summary'!$B$10*12,I22,0)+IF(A107=A23+'Summary'!$B$10*12,I23,0)+IF(A107=A24+'Summary'!$B$10*12,I24,0)+IF(A107=A25+'Summary'!$B$10*12,I25,0)+IF(A107=A26+'Summary'!$B$10*12,I26,0)+IF(A107=A27+'Summary'!$B$10*12,I27,0)+IF(A107=A28+'Summary'!$B$10*12,I28,0)+IF(A107=A29+'Summary'!$B$10*12,I29,0)+IF(A107=A30+'Summary'!$B$10*12,I30,0)+IF(A107=A31+'Summary'!$B$10*12,I31,0)+IF(A107=A32+'Summary'!$B$10*12,I32,0)+IF(A107=A33+'Summary'!$B$10*12,I33,0)+IF(A107=A34+'Summary'!$B$10*12,I34,0)+IF(A107=A35+'Summary'!$B$10*12,I35,0)+IF(A107=A36+'Summary'!$B$10*12,I36,0)+IF(A107=A37+'Summary'!$B$10*12,I37,0)+IF(A107=A38+'Summary'!$B$10*12,I38,0)+IF(A107=A39+'Summary'!$B$10*12,I39,0)+IF(A107=A40+'Summary'!$B$10*12,I40,0)+IF(A107=A41+'Summary'!$B$10*12,I41,0)+IF(A107=A42+'Summary'!$B$10*12,I42,0)+IF(A107=A43+'Summary'!$B$10*12,I43,0)+IF(A107=A44+'Summary'!$B$10*12,I44,0)+IF(A107=A45+'Summary'!$B$10*12,I45,0)+IF(A107=A46+'Summary'!$B$10*12,I46,0)+IF(A107=A47+'Summary'!$B$10*12,I47,0)+IF(A107=A48+'Summary'!$B$10*12,I48,0)+IF(A107=A49+'Summary'!$B$10*12,I49,0)+IF(A107=A50+'Summary'!$B$10*12,I50,0)+IF(A107=A51+'Summary'!$B$10*12,I51,0)+IF(A107=A52+'Summary'!$B$10*12,I52,0)+IF(A107=A53+'Summary'!$B$10*12,I53,0)+IF(A107=A54+'Summary'!$B$10*12,I54,0)+IF(A107=A55+'Summary'!$B$10*12,I55,0)+IF(A107=A56+'Summary'!$B$10*12,I56,0)+IF(A107=A57+'Summary'!$B$10*12,I57,0)+IF(A107=A58+'Summary'!$B$10*12,I58,0)+IF(A107=A59+'Summary'!$B$10*12,I59,0)+IF(A107=A60+'Summary'!$B$10*12,I60,0)+IF(A107=A61+'Summary'!$B$10*12,I61,0)+IF(A107=A62+'Summary'!$B$10*12,I62,0)+IF(A107=A63+'Summary'!$B$10*12,I63,0)+IF(A107=A64+'Summary'!$B$10*12,I64,0)+IF(A107=A65+'Summary'!$B$10*12,I65,0)+IF(A107=A66+'Summary'!$B$10*12,I66,0)+IF(A107=A67+'Summary'!$B$10*12,I67,0)+IF(A107=A68+'Summary'!$B$10*12,I68,0)+IF(A107=A69+'Summary'!$B$10*12,I69,0)+IF(A107=A70+'Summary'!$B$10*12,I70,0)+IF(A107=A71+'Summary'!$B$10*12,I71,0)+IF(A107=A72+'Summary'!$B$10*12,I72,0)+IF(A107=A73+'Summary'!$B$10*12,I73,0)+IF(A107=A74+'Summary'!$B$10*12,I74,0)+IF(A107=A75+'Summary'!$B$10*12,I75,0)+IF(A107=A76+'Summary'!$B$10*12,I76,0)+IF(A107=A77+'Summary'!$B$10*12,I77,0)+IF(A107=A78+'Summary'!$B$10*12,I78,0)+IF(A107=A79+'Summary'!$B$10*12,I79,0)+IF(A107=A80+'Summary'!$B$10*12,I80,0)+IF(A107=A81+'Summary'!$B$10*12,I81,0)+IF(A107=A82+'Summary'!$B$10*12,I82,0)+IF(A107=A83+'Summary'!$B$10*12,I83,0)+IF(A107=A84+'Summary'!$B$10*12,I84,0)+IF(A107=A85+'Summary'!$B$10*12,I85,0)+IF(A107=A86+'Summary'!$B$10*12,I86,0)+IF(A107=A87+'Summary'!$B$10*12,I87,0)+IF(A107=A88+'Summary'!$B$10*12,I88,0)+IF(A107=A89+'Summary'!$B$10*12,I89,0)+IF(A107=A90+'Summary'!$B$10*12,I90,0)+IF(A107=A91+'Summary'!$B$10*12,I91,0)+IF(A107=A92+'Summary'!$B$10*12,I92,0)+IF(A107=A93+'Summary'!$B$10*12,I93,0)+IF(A107=A94+'Summary'!$B$10*12,I94,0)+IF(A107=A95+'Summary'!$B$10*12,I95,0)+IF(A107=A96+'Summary'!$B$10*12,I96,0)+IF(A107=A97+'Summary'!$B$10*12,I97,0)+IF(A107=A98+'Summary'!$B$10*12,I98,0)+IF(A107=A99+'Summary'!$B$10*12,I99,0)+IF(A107=A100+'Summary'!$B$10*12,I100,0)+IF(A107=A101+'Summary'!$B$10*12,I101,0)+IF(A107=A102+'Summary'!$B$10*12,I102,0)+IF(A107=A103+'Summary'!$B$10*12,I103,0)+IF(A107=A104+'Summary'!$B$10*12,I104,0)+IF(A107=A105+'Summary'!$B$10*12,I105,0)+IF(A107=A106+'Summary'!$B$10*12,I106,0)</x:f>
        <x:v>111.69199058434481</x:v>
      </x:c>
      <x:c r="H107" s="62" t="n">
        <x:f>E107+D107+F107+G107</x:f>
        <x:v>245.98665225910247</x:v>
      </x:c>
      <x:c r="I107" s="62" t="n">
        <x:f>IF(B107,IF(H107&gt;='Summary'!$B$12,H107,0),0)</x:f>
        <x:v>245.98665225910247</x:v>
      </x:c>
      <x:c r="J107" s="62" t="n">
        <x:f>H107-I107</x:f>
        <x:v>0</x:v>
      </x:c>
      <x:c r="K107" s="63" t="n">
        <x:f>J107+IF(A8+'Summary'!$B$10*12&gt;A107,I8,0)+IF(A9+'Summary'!$B$10*12&gt;A107,I9,0)+IF(A10+'Summary'!$B$10*12&gt;A107,I10,0)+IF(A11+'Summary'!$B$10*12&gt;A107,I11,0)+IF(A12+'Summary'!$B$10*12&gt;A107,I12,0)+IF(A13+'Summary'!$B$10*12&gt;A107,I13,0)+IF(A14+'Summary'!$B$10*12&gt;A107,I14,0)+IF(A15+'Summary'!$B$10*12&gt;A107,I15,0)+IF(A16+'Summary'!$B$10*12&gt;A107,I16,0)+IF(A17+'Summary'!$B$10*12&gt;A107,I17,0)+IF(A18+'Summary'!$B$10*12&gt;A107,I18,0)+IF(A19+'Summary'!$B$10*12&gt;A107,I19,0)+IF(A20+'Summary'!$B$10*12&gt;A107,I20,0)+IF(A21+'Summary'!$B$10*12&gt;A107,I21,0)+IF(A22+'Summary'!$B$10*12&gt;A107,I22,0)+IF(A23+'Summary'!$B$10*12&gt;A107,I23,0)+IF(A24+'Summary'!$B$10*12&gt;A107,I24,0)+IF(A25+'Summary'!$B$10*12&gt;A107,I25,0)+IF(A26+'Summary'!$B$10*12&gt;A107,I26,0)+IF(A27+'Summary'!$B$10*12&gt;A107,I27,0)+IF(A28+'Summary'!$B$10*12&gt;A107,I28,0)+IF(A29+'Summary'!$B$10*12&gt;A107,I29,0)+IF(A30+'Summary'!$B$10*12&gt;A107,I30,0)+IF(A31+'Summary'!$B$10*12&gt;A107,I31,0)+IF(A32+'Summary'!$B$10*12&gt;A107,I32,0)+IF(A33+'Summary'!$B$10*12&gt;A107,I33,0)+IF(A34+'Summary'!$B$10*12&gt;A107,I34,0)+IF(A35+'Summary'!$B$10*12&gt;A107,I35,0)+IF(A36+'Summary'!$B$10*12&gt;A107,I36,0)+IF(A37+'Summary'!$B$10*12&gt;A107,I37,0)+IF(A38+'Summary'!$B$10*12&gt;A107,I38,0)+IF(A39+'Summary'!$B$10*12&gt;A107,I39,0)+IF(A40+'Summary'!$B$10*12&gt;A107,I40,0)+IF(A41+'Summary'!$B$10*12&gt;A107,I41,0)+IF(A42+'Summary'!$B$10*12&gt;A107,I42,0)+IF(A43+'Summary'!$B$10*12&gt;A107,I43,0)+IF(A44+'Summary'!$B$10*12&gt;A107,I44,0)+IF(A45+'Summary'!$B$10*12&gt;A107,I45,0)+IF(A46+'Summary'!$B$10*12&gt;A107,I46,0)+IF(A47+'Summary'!$B$10*12&gt;A107,I47,0)+IF(A48+'Summary'!$B$10*12&gt;A107,I48,0)+IF(A49+'Summary'!$B$10*12&gt;A107,I49,0)+IF(A50+'Summary'!$B$10*12&gt;A107,I50,0)+IF(A51+'Summary'!$B$10*12&gt;A107,I51,0)+IF(A52+'Summary'!$B$10*12&gt;A107,I52,0)+IF(A53+'Summary'!$B$10*12&gt;A107,I53,0)+IF(A54+'Summary'!$B$10*12&gt;A107,I54,0)+IF(A55+'Summary'!$B$10*12&gt;A107,I55,0)+IF(A56+'Summary'!$B$10*12&gt;A107,I56,0)+IF(A57+'Summary'!$B$10*12&gt;A107,I57,0)+IF(A58+'Summary'!$B$10*12&gt;A107,I58,0)+IF(A59+'Summary'!$B$10*12&gt;A107,I59,0)+IF(A60+'Summary'!$B$10*12&gt;A107,I60,0)+IF(A61+'Summary'!$B$10*12&gt;A107,I61,0)+IF(A62+'Summary'!$B$10*12&gt;A107,I62,0)+IF(A63+'Summary'!$B$10*12&gt;A107,I63,0)+IF(A64+'Summary'!$B$10*12&gt;A107,I64,0)+IF(A65+'Summary'!$B$10*12&gt;A107,I65,0)+IF(A66+'Summary'!$B$10*12&gt;A107,I66,0)+IF(A67+'Summary'!$B$10*12&gt;A107,I67,0)+IF(A68+'Summary'!$B$10*12&gt;A107,I68,0)+IF(A69+'Summary'!$B$10*12&gt;A107,I69,0)+IF(A70+'Summary'!$B$10*12&gt;A107,I70,0)+IF(A71+'Summary'!$B$10*12&gt;A107,I71,0)+IF(A72+'Summary'!$B$10*12&gt;A107,I72,0)+IF(A73+'Summary'!$B$10*12&gt;A107,I73,0)+IF(A74+'Summary'!$B$10*12&gt;A107,I74,0)+IF(A75+'Summary'!$B$10*12&gt;A107,I75,0)+IF(A76+'Summary'!$B$10*12&gt;A107,I76,0)+IF(A77+'Summary'!$B$10*12&gt;A107,I77,0)+IF(A78+'Summary'!$B$10*12&gt;A107,I78,0)+IF(A79+'Summary'!$B$10*12&gt;A107,I79,0)+IF(A80+'Summary'!$B$10*12&gt;A107,I80,0)+IF(A81+'Summary'!$B$10*12&gt;A107,I81,0)+IF(A82+'Summary'!$B$10*12&gt;A107,I82,0)+IF(A83+'Summary'!$B$10*12&gt;A107,I83,0)+IF(A84+'Summary'!$B$10*12&gt;A107,I84,0)+IF(A85+'Summary'!$B$10*12&gt;A107,I85,0)+IF(A86+'Summary'!$B$10*12&gt;A107,I86,0)+IF(A87+'Summary'!$B$10*12&gt;A107,I87,0)+IF(A88+'Summary'!$B$10*12&gt;A107,I88,0)+IF(A89+'Summary'!$B$10*12&gt;A107,I89,0)+IF(A90+'Summary'!$B$10*12&gt;A107,I90,0)+IF(A91+'Summary'!$B$10*12&gt;A107,I91,0)+IF(A92+'Summary'!$B$10*12&gt;A107,I92,0)+IF(A93+'Summary'!$B$10*12&gt;A107,I93,0)+IF(A94+'Summary'!$B$10*12&gt;A107,I94,0)+IF(A95+'Summary'!$B$10*12&gt;A107,I95,0)+IF(A96+'Summary'!$B$10*12&gt;A107,I96,0)+IF(A97+'Summary'!$B$10*12&gt;A107,I97,0)+IF(A98+'Summary'!$B$10*12&gt;A107,I98,0)+IF(A99+'Summary'!$B$10*12&gt;A107,I99,0)+IF(A100+'Summary'!$B$10*12&gt;A107,I100,0)+IF(A101+'Summary'!$B$10*12&gt;A107,I101,0)+IF(A102+'Summary'!$B$10*12&gt;A107,I102,0)+IF(A103+'Summary'!$B$10*12&gt;A107,I103,0)+IF(A104+'Summary'!$B$10*12&gt;A107,I104,0)+IF(A105+'Summary'!$B$10*12&gt;A107,I105,0)+IF(A106+'Summary'!$B$10*12&gt;A107,I106,0)+IF(A107+'Summary'!$B$10*12&gt;A107,I107,0)</x:f>
        <x:v>25029.438902806294</x:v>
      </x:c>
    </x:row>
    <x:row r="108">
      <x:c r="A108" s="55" t="n">
        <x:v>100</x:v>
      </x:c>
      <x:c r="B108" s="71" t="b">
        <x:f>A108&lt;='Summary'!$B$9*12</x:f>
        <x:v>1</x:v>
      </x:c>
      <x:c r="C108" s="62" t="n">
        <x:f>IF(A108=0,IF('Summary'!$B$6&gt;=5,'Summary'!$B$6,0),C107)+IF(A108&lt;'Summary'!$B$9*12,IF('Summary'!$B$7&gt;=5,'Summary'!$B$7,0),0)</x:f>
        <x:v>20100</x:v>
      </x:c>
      <x:c r="D108" s="62" t="n">
        <x:f>IF(A108=0,IF('Summary'!$B$6&gt;=5,'Summary'!$B$6,0),0)+IF(A108&lt;'Summary'!$B$9*12,IF('Summary'!$B$7&gt;=5,'Summary'!$B$7,0),0)</x:f>
        <x:v>100</x:v>
      </x:c>
      <x:c r="E108" s="62" t="n">
        <x:f>J107</x:f>
        <x:v>0</x:v>
      </x:c>
      <x:c r="F108" s="62" t="n">
        <x:f>(IF(AND(A108&gt;A8,A108&lt;=A8+'Summary'!$B$10*12,MOD(A108-A8,'Summary'!$B$11)=0),I8,0)+IF(AND(A108&gt;A9,A108&lt;=A9+'Summary'!$B$10*12,MOD(A108-A9,'Summary'!$B$11)=0),I9,0)+IF(AND(A108&gt;A10,A108&lt;=A10+'Summary'!$B$10*12,MOD(A108-A10,'Summary'!$B$11)=0),I10,0)+IF(AND(A108&gt;A11,A108&lt;=A11+'Summary'!$B$10*12,MOD(A108-A11,'Summary'!$B$11)=0),I11,0)+IF(AND(A108&gt;A12,A108&lt;=A12+'Summary'!$B$10*12,MOD(A108-A12,'Summary'!$B$11)=0),I12,0)+IF(AND(A108&gt;A13,A108&lt;=A13+'Summary'!$B$10*12,MOD(A108-A13,'Summary'!$B$11)=0),I13,0)+IF(AND(A108&gt;A14,A108&lt;=A14+'Summary'!$B$10*12,MOD(A108-A14,'Summary'!$B$11)=0),I14,0)+IF(AND(A108&gt;A15,A108&lt;=A15+'Summary'!$B$10*12,MOD(A108-A15,'Summary'!$B$11)=0),I15,0)+IF(AND(A108&gt;A16,A108&lt;=A16+'Summary'!$B$10*12,MOD(A108-A16,'Summary'!$B$11)=0),I16,0)+IF(AND(A108&gt;A17,A108&lt;=A17+'Summary'!$B$10*12,MOD(A108-A17,'Summary'!$B$11)=0),I17,0)+IF(AND(A108&gt;A18,A108&lt;=A18+'Summary'!$B$10*12,MOD(A108-A18,'Summary'!$B$11)=0),I18,0)+IF(AND(A108&gt;A19,A108&lt;=A19+'Summary'!$B$10*12,MOD(A108-A19,'Summary'!$B$11)=0),I19,0)+IF(AND(A108&gt;A20,A108&lt;=A20+'Summary'!$B$10*12,MOD(A108-A20,'Summary'!$B$11)=0),I20,0)+IF(AND(A108&gt;A21,A108&lt;=A21+'Summary'!$B$10*12,MOD(A108-A21,'Summary'!$B$11)=0),I21,0)+IF(AND(A108&gt;A22,A108&lt;=A22+'Summary'!$B$10*12,MOD(A108-A22,'Summary'!$B$11)=0),I22,0)+IF(AND(A108&gt;A23,A108&lt;=A23+'Summary'!$B$10*12,MOD(A108-A23,'Summary'!$B$11)=0),I23,0)+IF(AND(A108&gt;A24,A108&lt;=A24+'Summary'!$B$10*12,MOD(A108-A24,'Summary'!$B$11)=0),I24,0)+IF(AND(A108&gt;A25,A108&lt;=A25+'Summary'!$B$10*12,MOD(A108-A25,'Summary'!$B$11)=0),I25,0)+IF(AND(A108&gt;A26,A108&lt;=A26+'Summary'!$B$10*12,MOD(A108-A26,'Summary'!$B$11)=0),I26,0)+IF(AND(A108&gt;A27,A108&lt;=A27+'Summary'!$B$10*12,MOD(A108-A27,'Summary'!$B$11)=0),I27,0)+IF(AND(A108&gt;A28,A108&lt;=A28+'Summary'!$B$10*12,MOD(A108-A28,'Summary'!$B$11)=0),I28,0)+IF(AND(A108&gt;A29,A108&lt;=A29+'Summary'!$B$10*12,MOD(A108-A29,'Summary'!$B$11)=0),I29,0)+IF(AND(A108&gt;A30,A108&lt;=A30+'Summary'!$B$10*12,MOD(A108-A30,'Summary'!$B$11)=0),I30,0)+IF(AND(A108&gt;A31,A108&lt;=A31+'Summary'!$B$10*12,MOD(A108-A31,'Summary'!$B$11)=0),I31,0)+IF(AND(A108&gt;A32,A108&lt;=A32+'Summary'!$B$10*12,MOD(A108-A32,'Summary'!$B$11)=0),I32,0)+IF(AND(A108&gt;A33,A108&lt;=A33+'Summary'!$B$10*12,MOD(A108-A33,'Summary'!$B$11)=0),I33,0)+IF(AND(A108&gt;A34,A108&lt;=A34+'Summary'!$B$10*12,MOD(A108-A34,'Summary'!$B$11)=0),I34,0)+IF(AND(A108&gt;A35,A108&lt;=A35+'Summary'!$B$10*12,MOD(A108-A35,'Summary'!$B$11)=0),I35,0)+IF(AND(A108&gt;A36,A108&lt;=A36+'Summary'!$B$10*12,MOD(A108-A36,'Summary'!$B$11)=0),I36,0)+IF(AND(A108&gt;A37,A108&lt;=A37+'Summary'!$B$10*12,MOD(A108-A37,'Summary'!$B$11)=0),I37,0)+IF(AND(A108&gt;A38,A108&lt;=A38+'Summary'!$B$10*12,MOD(A108-A38,'Summary'!$B$11)=0),I38,0)+IF(AND(A108&gt;A39,A108&lt;=A39+'Summary'!$B$10*12,MOD(A108-A39,'Summary'!$B$11)=0),I39,0)+IF(AND(A108&gt;A40,A108&lt;=A40+'Summary'!$B$10*12,MOD(A108-A40,'Summary'!$B$11)=0),I40,0)+IF(AND(A108&gt;A41,A108&lt;=A41+'Summary'!$B$10*12,MOD(A108-A41,'Summary'!$B$11)=0),I41,0)+IF(AND(A108&gt;A42,A108&lt;=A42+'Summary'!$B$10*12,MOD(A108-A42,'Summary'!$B$11)=0),I42,0)+IF(AND(A108&gt;A43,A108&lt;=A43+'Summary'!$B$10*12,MOD(A108-A43,'Summary'!$B$11)=0),I43,0)+IF(AND(A108&gt;A44,A108&lt;=A44+'Summary'!$B$10*12,MOD(A108-A44,'Summary'!$B$11)=0),I44,0)+IF(AND(A108&gt;A45,A108&lt;=A45+'Summary'!$B$10*12,MOD(A108-A45,'Summary'!$B$11)=0),I45,0)+IF(AND(A108&gt;A46,A108&lt;=A46+'Summary'!$B$10*12,MOD(A108-A46,'Summary'!$B$11)=0),I46,0)+IF(AND(A108&gt;A47,A108&lt;=A47+'Summary'!$B$10*12,MOD(A108-A47,'Summary'!$B$11)=0),I47,0)+IF(AND(A108&gt;A48,A108&lt;=A48+'Summary'!$B$10*12,MOD(A108-A48,'Summary'!$B$11)=0),I48,0)+IF(AND(A108&gt;A49,A108&lt;=A49+'Summary'!$B$10*12,MOD(A108-A49,'Summary'!$B$11)=0),I49,0)+IF(AND(A108&gt;A50,A108&lt;=A50+'Summary'!$B$10*12,MOD(A108-A50,'Summary'!$B$11)=0),I50,0)+IF(AND(A108&gt;A51,A108&lt;=A51+'Summary'!$B$10*12,MOD(A108-A51,'Summary'!$B$11)=0),I51,0)+IF(AND(A108&gt;A52,A108&lt;=A52+'Summary'!$B$10*12,MOD(A108-A52,'Summary'!$B$11)=0),I52,0)+IF(AND(A108&gt;A53,A108&lt;=A53+'Summary'!$B$10*12,MOD(A108-A53,'Summary'!$B$11)=0),I53,0)+IF(AND(A108&gt;A54,A108&lt;=A54+'Summary'!$B$10*12,MOD(A108-A54,'Summary'!$B$11)=0),I54,0)+IF(AND(A108&gt;A55,A108&lt;=A55+'Summary'!$B$10*12,MOD(A108-A55,'Summary'!$B$11)=0),I55,0)+IF(AND(A108&gt;A56,A108&lt;=A56+'Summary'!$B$10*12,MOD(A108-A56,'Summary'!$B$11)=0),I56,0)+IF(AND(A108&gt;A57,A108&lt;=A57+'Summary'!$B$10*12,MOD(A108-A57,'Summary'!$B$11)=0),I57,0)+IF(AND(A108&gt;A58,A108&lt;=A58+'Summary'!$B$10*12,MOD(A108-A58,'Summary'!$B$11)=0),I58,0)+IF(AND(A108&gt;A59,A108&lt;=A59+'Summary'!$B$10*12,MOD(A108-A59,'Summary'!$B$11)=0),I59,0)+IF(AND(A108&gt;A60,A108&lt;=A60+'Summary'!$B$10*12,MOD(A108-A60,'Summary'!$B$11)=0),I60,0)+IF(AND(A108&gt;A61,A108&lt;=A61+'Summary'!$B$10*12,MOD(A108-A61,'Summary'!$B$11)=0),I61,0)+IF(AND(A108&gt;A62,A108&lt;=A62+'Summary'!$B$10*12,MOD(A108-A62,'Summary'!$B$11)=0),I62,0)+IF(AND(A108&gt;A63,A108&lt;=A63+'Summary'!$B$10*12,MOD(A108-A63,'Summary'!$B$11)=0),I63,0)+IF(AND(A108&gt;A64,A108&lt;=A64+'Summary'!$B$10*12,MOD(A108-A64,'Summary'!$B$11)=0),I64,0)+IF(AND(A108&gt;A65,A108&lt;=A65+'Summary'!$B$10*12,MOD(A108-A65,'Summary'!$B$11)=0),I65,0)+IF(AND(A108&gt;A66,A108&lt;=A66+'Summary'!$B$10*12,MOD(A108-A66,'Summary'!$B$11)=0),I66,0)+IF(AND(A108&gt;A67,A108&lt;=A67+'Summary'!$B$10*12,MOD(A108-A67,'Summary'!$B$11)=0),I67,0)+IF(AND(A108&gt;A68,A108&lt;=A68+'Summary'!$B$10*12,MOD(A108-A68,'Summary'!$B$11)=0),I68,0)+IF(AND(A108&gt;A69,A108&lt;=A69+'Summary'!$B$10*12,MOD(A108-A69,'Summary'!$B$11)=0),I69,0)+IF(AND(A108&gt;A70,A108&lt;=A70+'Summary'!$B$10*12,MOD(A108-A70,'Summary'!$B$11)=0),I70,0)+IF(AND(A108&gt;A71,A108&lt;=A71+'Summary'!$B$10*12,MOD(A108-A71,'Summary'!$B$11)=0),I71,0)+IF(AND(A108&gt;A72,A108&lt;=A72+'Summary'!$B$10*12,MOD(A108-A72,'Summary'!$B$11)=0),I72,0)+IF(AND(A108&gt;A73,A108&lt;=A73+'Summary'!$B$10*12,MOD(A108-A73,'Summary'!$B$11)=0),I73,0)+IF(AND(A108&gt;A74,A108&lt;=A74+'Summary'!$B$10*12,MOD(A108-A74,'Summary'!$B$11)=0),I74,0)+IF(AND(A108&gt;A75,A108&lt;=A75+'Summary'!$B$10*12,MOD(A108-A75,'Summary'!$B$11)=0),I75,0)+IF(AND(A108&gt;A76,A108&lt;=A76+'Summary'!$B$10*12,MOD(A108-A76,'Summary'!$B$11)=0),I76,0)+IF(AND(A108&gt;A77,A108&lt;=A77+'Summary'!$B$10*12,MOD(A108-A77,'Summary'!$B$11)=0),I77,0)+IF(AND(A108&gt;A78,A108&lt;=A78+'Summary'!$B$10*12,MOD(A108-A78,'Summary'!$B$11)=0),I78,0)+IF(AND(A108&gt;A79,A108&lt;=A79+'Summary'!$B$10*12,MOD(A108-A79,'Summary'!$B$11)=0),I79,0)+IF(AND(A108&gt;A80,A108&lt;=A80+'Summary'!$B$10*12,MOD(A108-A80,'Summary'!$B$11)=0),I80,0)+IF(AND(A108&gt;A81,A108&lt;=A81+'Summary'!$B$10*12,MOD(A108-A81,'Summary'!$B$11)=0),I81,0)+IF(AND(A108&gt;A82,A108&lt;=A82+'Summary'!$B$10*12,MOD(A108-A82,'Summary'!$B$11)=0),I82,0)+IF(AND(A108&gt;A83,A108&lt;=A83+'Summary'!$B$10*12,MOD(A108-A83,'Summary'!$B$11)=0),I83,0)+IF(AND(A108&gt;A84,A108&lt;=A84+'Summary'!$B$10*12,MOD(A108-A84,'Summary'!$B$11)=0),I84,0)+IF(AND(A108&gt;A85,A108&lt;=A85+'Summary'!$B$10*12,MOD(A108-A85,'Summary'!$B$11)=0),I85,0)+IF(AND(A108&gt;A86,A108&lt;=A86+'Summary'!$B$10*12,MOD(A108-A86,'Summary'!$B$11)=0),I86,0)+IF(AND(A108&gt;A87,A108&lt;=A87+'Summary'!$B$10*12,MOD(A108-A87,'Summary'!$B$11)=0),I87,0)+IF(AND(A108&gt;A88,A108&lt;=A88+'Summary'!$B$10*12,MOD(A108-A88,'Summary'!$B$11)=0),I88,0)+IF(AND(A108&gt;A89,A108&lt;=A89+'Summary'!$B$10*12,MOD(A108-A89,'Summary'!$B$11)=0),I89,0)+IF(AND(A108&gt;A90,A108&lt;=A90+'Summary'!$B$10*12,MOD(A108-A90,'Summary'!$B$11)=0),I90,0)+IF(AND(A108&gt;A91,A108&lt;=A91+'Summary'!$B$10*12,MOD(A108-A91,'Summary'!$B$11)=0),I91,0)+IF(AND(A108&gt;A92,A108&lt;=A92+'Summary'!$B$10*12,MOD(A108-A92,'Summary'!$B$11)=0),I92,0)+IF(AND(A108&gt;A93,A108&lt;=A93+'Summary'!$B$10*12,MOD(A108-A93,'Summary'!$B$11)=0),I93,0)+IF(AND(A108&gt;A94,A108&lt;=A94+'Summary'!$B$10*12,MOD(A108-A94,'Summary'!$B$11)=0),I94,0)+IF(AND(A108&gt;A95,A108&lt;=A95+'Summary'!$B$10*12,MOD(A108-A95,'Summary'!$B$11)=0),I95,0)+IF(AND(A108&gt;A96,A108&lt;=A96+'Summary'!$B$10*12,MOD(A108-A96,'Summary'!$B$11)=0),I96,0)+IF(AND(A108&gt;A97,A108&lt;=A97+'Summary'!$B$10*12,MOD(A108-A97,'Summary'!$B$11)=0),I97,0)+IF(AND(A108&gt;A98,A108&lt;=A98+'Summary'!$B$10*12,MOD(A108-A98,'Summary'!$B$11)=0),I98,0)+IF(AND(A108&gt;A99,A108&lt;=A99+'Summary'!$B$10*12,MOD(A108-A99,'Summary'!$B$11)=0),I99,0)+IF(AND(A108&gt;A100,A108&lt;=A100+'Summary'!$B$10*12,MOD(A108-A100,'Summary'!$B$11)=0),I100,0)+IF(AND(A108&gt;A101,A108&lt;=A101+'Summary'!$B$10*12,MOD(A108-A101,'Summary'!$B$11)=0),I101,0)+IF(AND(A108&gt;A102,A108&lt;=A102+'Summary'!$B$10*12,MOD(A108-A102,'Summary'!$B$11)=0),I102,0)+IF(AND(A108&gt;A103,A108&lt;=A103+'Summary'!$B$10*12,MOD(A108-A103,'Summary'!$B$11)=0),I103,0)+IF(AND(A108&gt;A104,A108&lt;=A104+'Summary'!$B$10*12,MOD(A108-A104,'Summary'!$B$11)=0),I104,0)+IF(AND(A108&gt;A105,A108&lt;=A105+'Summary'!$B$10*12,MOD(A108-A105,'Summary'!$B$11)=0),I105,0)+IF(AND(A108&gt;A106,A108&lt;=A106+'Summary'!$B$10*12,MOD(A108-A106,'Summary'!$B$11)=0),I106,0)+IF(AND(A108&gt;A107,A108&lt;=A107+'Summary'!$B$10*12,MOD(A108-A107,'Summary'!$B$11)=0),I107,0))*'Summary'!$B$8/2</x:f>
        <x:v>34.29466167475766</x:v>
      </x:c>
      <x:c r="G108" s="62" t="n">
        <x:f>IF(A108=A8+'Summary'!$B$10*12,I8,0)+IF(A108=A9+'Summary'!$B$10*12,I9,0)+IF(A108=A10+'Summary'!$B$10*12,I10,0)+IF(A108=A11+'Summary'!$B$10*12,I11,0)+IF(A108=A12+'Summary'!$B$10*12,I12,0)+IF(A108=A13+'Summary'!$B$10*12,I13,0)+IF(A108=A14+'Summary'!$B$10*12,I14,0)+IF(A108=A15+'Summary'!$B$10*12,I15,0)+IF(A108=A16+'Summary'!$B$10*12,I16,0)+IF(A108=A17+'Summary'!$B$10*12,I17,0)+IF(A108=A18+'Summary'!$B$10*12,I18,0)+IF(A108=A19+'Summary'!$B$10*12,I19,0)+IF(A108=A20+'Summary'!$B$10*12,I20,0)+IF(A108=A21+'Summary'!$B$10*12,I21,0)+IF(A108=A22+'Summary'!$B$10*12,I22,0)+IF(A108=A23+'Summary'!$B$10*12,I23,0)+IF(A108=A24+'Summary'!$B$10*12,I24,0)+IF(A108=A25+'Summary'!$B$10*12,I25,0)+IF(A108=A26+'Summary'!$B$10*12,I26,0)+IF(A108=A27+'Summary'!$B$10*12,I27,0)+IF(A108=A28+'Summary'!$B$10*12,I28,0)+IF(A108=A29+'Summary'!$B$10*12,I29,0)+IF(A108=A30+'Summary'!$B$10*12,I30,0)+IF(A108=A31+'Summary'!$B$10*12,I31,0)+IF(A108=A32+'Summary'!$B$10*12,I32,0)+IF(A108=A33+'Summary'!$B$10*12,I33,0)+IF(A108=A34+'Summary'!$B$10*12,I34,0)+IF(A108=A35+'Summary'!$B$10*12,I35,0)+IF(A108=A36+'Summary'!$B$10*12,I36,0)+IF(A108=A37+'Summary'!$B$10*12,I37,0)+IF(A108=A38+'Summary'!$B$10*12,I38,0)+IF(A108=A39+'Summary'!$B$10*12,I39,0)+IF(A108=A40+'Summary'!$B$10*12,I40,0)+IF(A108=A41+'Summary'!$B$10*12,I41,0)+IF(A108=A42+'Summary'!$B$10*12,I42,0)+IF(A108=A43+'Summary'!$B$10*12,I43,0)+IF(A108=A44+'Summary'!$B$10*12,I44,0)+IF(A108=A45+'Summary'!$B$10*12,I45,0)+IF(A108=A46+'Summary'!$B$10*12,I46,0)+IF(A108=A47+'Summary'!$B$10*12,I47,0)+IF(A108=A48+'Summary'!$B$10*12,I48,0)+IF(A108=A49+'Summary'!$B$10*12,I49,0)+IF(A108=A50+'Summary'!$B$10*12,I50,0)+IF(A108=A51+'Summary'!$B$10*12,I51,0)+IF(A108=A52+'Summary'!$B$10*12,I52,0)+IF(A108=A53+'Summary'!$B$10*12,I53,0)+IF(A108=A54+'Summary'!$B$10*12,I54,0)+IF(A108=A55+'Summary'!$B$10*12,I55,0)+IF(A108=A56+'Summary'!$B$10*12,I56,0)+IF(A108=A57+'Summary'!$B$10*12,I57,0)+IF(A108=A58+'Summary'!$B$10*12,I58,0)+IF(A108=A59+'Summary'!$B$10*12,I59,0)+IF(A108=A60+'Summary'!$B$10*12,I60,0)+IF(A108=A61+'Summary'!$B$10*12,I61,0)+IF(A108=A62+'Summary'!$B$10*12,I62,0)+IF(A108=A63+'Summary'!$B$10*12,I63,0)+IF(A108=A64+'Summary'!$B$10*12,I64,0)+IF(A108=A65+'Summary'!$B$10*12,I65,0)+IF(A108=A66+'Summary'!$B$10*12,I66,0)+IF(A108=A67+'Summary'!$B$10*12,I67,0)+IF(A108=A68+'Summary'!$B$10*12,I68,0)+IF(A108=A69+'Summary'!$B$10*12,I69,0)+IF(A108=A70+'Summary'!$B$10*12,I70,0)+IF(A108=A71+'Summary'!$B$10*12,I71,0)+IF(A108=A72+'Summary'!$B$10*12,I72,0)+IF(A108=A73+'Summary'!$B$10*12,I73,0)+IF(A108=A74+'Summary'!$B$10*12,I74,0)+IF(A108=A75+'Summary'!$B$10*12,I75,0)+IF(A108=A76+'Summary'!$B$10*12,I76,0)+IF(A108=A77+'Summary'!$B$10*12,I77,0)+IF(A108=A78+'Summary'!$B$10*12,I78,0)+IF(A108=A79+'Summary'!$B$10*12,I79,0)+IF(A108=A80+'Summary'!$B$10*12,I80,0)+IF(A108=A81+'Summary'!$B$10*12,I81,0)+IF(A108=A82+'Summary'!$B$10*12,I82,0)+IF(A108=A83+'Summary'!$B$10*12,I83,0)+IF(A108=A84+'Summary'!$B$10*12,I84,0)+IF(A108=A85+'Summary'!$B$10*12,I85,0)+IF(A108=A86+'Summary'!$B$10*12,I86,0)+IF(A108=A87+'Summary'!$B$10*12,I87,0)+IF(A108=A88+'Summary'!$B$10*12,I88,0)+IF(A108=A89+'Summary'!$B$10*12,I89,0)+IF(A108=A90+'Summary'!$B$10*12,I90,0)+IF(A108=A91+'Summary'!$B$10*12,I91,0)+IF(A108=A92+'Summary'!$B$10*12,I92,0)+IF(A108=A93+'Summary'!$B$10*12,I93,0)+IF(A108=A94+'Summary'!$B$10*12,I94,0)+IF(A108=A95+'Summary'!$B$10*12,I95,0)+IF(A108=A96+'Summary'!$B$10*12,I96,0)+IF(A108=A97+'Summary'!$B$10*12,I97,0)+IF(A108=A98+'Summary'!$B$10*12,I98,0)+IF(A108=A99+'Summary'!$B$10*12,I99,0)+IF(A108=A100+'Summary'!$B$10*12,I100,0)+IF(A108=A101+'Summary'!$B$10*12,I101,0)+IF(A108=A102+'Summary'!$B$10*12,I102,0)+IF(A108=A103+'Summary'!$B$10*12,I103,0)+IF(A108=A104+'Summary'!$B$10*12,I104,0)+IF(A108=A105+'Summary'!$B$10*12,I105,0)+IF(A108=A106+'Summary'!$B$10*12,I106,0)+IF(A108=A107+'Summary'!$B$10*12,I107,0)</x:f>
        <x:v>111.69199058434481</x:v>
      </x:c>
      <x:c r="H108" s="62" t="n">
        <x:f>E108+D108+F108+G108</x:f>
        <x:v>245.98665225910247</x:v>
      </x:c>
      <x:c r="I108" s="62" t="n">
        <x:f>IF(B108,IF(H108&gt;='Summary'!$B$12,H108,0),0)</x:f>
        <x:v>245.98665225910247</x:v>
      </x:c>
      <x:c r="J108" s="62" t="n">
        <x:f>H108-I108</x:f>
        <x:v>0</x:v>
      </x:c>
      <x:c r="K108" s="63" t="n">
        <x:f>J108+IF(A8+'Summary'!$B$10*12&gt;A108,I8,0)+IF(A9+'Summary'!$B$10*12&gt;A108,I9,0)+IF(A10+'Summary'!$B$10*12&gt;A108,I10,0)+IF(A11+'Summary'!$B$10*12&gt;A108,I11,0)+IF(A12+'Summary'!$B$10*12&gt;A108,I12,0)+IF(A13+'Summary'!$B$10*12&gt;A108,I13,0)+IF(A14+'Summary'!$B$10*12&gt;A108,I14,0)+IF(A15+'Summary'!$B$10*12&gt;A108,I15,0)+IF(A16+'Summary'!$B$10*12&gt;A108,I16,0)+IF(A17+'Summary'!$B$10*12&gt;A108,I17,0)+IF(A18+'Summary'!$B$10*12&gt;A108,I18,0)+IF(A19+'Summary'!$B$10*12&gt;A108,I19,0)+IF(A20+'Summary'!$B$10*12&gt;A108,I20,0)+IF(A21+'Summary'!$B$10*12&gt;A108,I21,0)+IF(A22+'Summary'!$B$10*12&gt;A108,I22,0)+IF(A23+'Summary'!$B$10*12&gt;A108,I23,0)+IF(A24+'Summary'!$B$10*12&gt;A108,I24,0)+IF(A25+'Summary'!$B$10*12&gt;A108,I25,0)+IF(A26+'Summary'!$B$10*12&gt;A108,I26,0)+IF(A27+'Summary'!$B$10*12&gt;A108,I27,0)+IF(A28+'Summary'!$B$10*12&gt;A108,I28,0)+IF(A29+'Summary'!$B$10*12&gt;A108,I29,0)+IF(A30+'Summary'!$B$10*12&gt;A108,I30,0)+IF(A31+'Summary'!$B$10*12&gt;A108,I31,0)+IF(A32+'Summary'!$B$10*12&gt;A108,I32,0)+IF(A33+'Summary'!$B$10*12&gt;A108,I33,0)+IF(A34+'Summary'!$B$10*12&gt;A108,I34,0)+IF(A35+'Summary'!$B$10*12&gt;A108,I35,0)+IF(A36+'Summary'!$B$10*12&gt;A108,I36,0)+IF(A37+'Summary'!$B$10*12&gt;A108,I37,0)+IF(A38+'Summary'!$B$10*12&gt;A108,I38,0)+IF(A39+'Summary'!$B$10*12&gt;A108,I39,0)+IF(A40+'Summary'!$B$10*12&gt;A108,I40,0)+IF(A41+'Summary'!$B$10*12&gt;A108,I41,0)+IF(A42+'Summary'!$B$10*12&gt;A108,I42,0)+IF(A43+'Summary'!$B$10*12&gt;A108,I43,0)+IF(A44+'Summary'!$B$10*12&gt;A108,I44,0)+IF(A45+'Summary'!$B$10*12&gt;A108,I45,0)+IF(A46+'Summary'!$B$10*12&gt;A108,I46,0)+IF(A47+'Summary'!$B$10*12&gt;A108,I47,0)+IF(A48+'Summary'!$B$10*12&gt;A108,I48,0)+IF(A49+'Summary'!$B$10*12&gt;A108,I49,0)+IF(A50+'Summary'!$B$10*12&gt;A108,I50,0)+IF(A51+'Summary'!$B$10*12&gt;A108,I51,0)+IF(A52+'Summary'!$B$10*12&gt;A108,I52,0)+IF(A53+'Summary'!$B$10*12&gt;A108,I53,0)+IF(A54+'Summary'!$B$10*12&gt;A108,I54,0)+IF(A55+'Summary'!$B$10*12&gt;A108,I55,0)+IF(A56+'Summary'!$B$10*12&gt;A108,I56,0)+IF(A57+'Summary'!$B$10*12&gt;A108,I57,0)+IF(A58+'Summary'!$B$10*12&gt;A108,I58,0)+IF(A59+'Summary'!$B$10*12&gt;A108,I59,0)+IF(A60+'Summary'!$B$10*12&gt;A108,I60,0)+IF(A61+'Summary'!$B$10*12&gt;A108,I61,0)+IF(A62+'Summary'!$B$10*12&gt;A108,I62,0)+IF(A63+'Summary'!$B$10*12&gt;A108,I63,0)+IF(A64+'Summary'!$B$10*12&gt;A108,I64,0)+IF(A65+'Summary'!$B$10*12&gt;A108,I65,0)+IF(A66+'Summary'!$B$10*12&gt;A108,I66,0)+IF(A67+'Summary'!$B$10*12&gt;A108,I67,0)+IF(A68+'Summary'!$B$10*12&gt;A108,I68,0)+IF(A69+'Summary'!$B$10*12&gt;A108,I69,0)+IF(A70+'Summary'!$B$10*12&gt;A108,I70,0)+IF(A71+'Summary'!$B$10*12&gt;A108,I71,0)+IF(A72+'Summary'!$B$10*12&gt;A108,I72,0)+IF(A73+'Summary'!$B$10*12&gt;A108,I73,0)+IF(A74+'Summary'!$B$10*12&gt;A108,I74,0)+IF(A75+'Summary'!$B$10*12&gt;A108,I75,0)+IF(A76+'Summary'!$B$10*12&gt;A108,I76,0)+IF(A77+'Summary'!$B$10*12&gt;A108,I77,0)+IF(A78+'Summary'!$B$10*12&gt;A108,I78,0)+IF(A79+'Summary'!$B$10*12&gt;A108,I79,0)+IF(A80+'Summary'!$B$10*12&gt;A108,I80,0)+IF(A81+'Summary'!$B$10*12&gt;A108,I81,0)+IF(A82+'Summary'!$B$10*12&gt;A108,I82,0)+IF(A83+'Summary'!$B$10*12&gt;A108,I83,0)+IF(A84+'Summary'!$B$10*12&gt;A108,I84,0)+IF(A85+'Summary'!$B$10*12&gt;A108,I85,0)+IF(A86+'Summary'!$B$10*12&gt;A108,I86,0)+IF(A87+'Summary'!$B$10*12&gt;A108,I87,0)+IF(A88+'Summary'!$B$10*12&gt;A108,I88,0)+IF(A89+'Summary'!$B$10*12&gt;A108,I89,0)+IF(A90+'Summary'!$B$10*12&gt;A108,I90,0)+IF(A91+'Summary'!$B$10*12&gt;A108,I91,0)+IF(A92+'Summary'!$B$10*12&gt;A108,I92,0)+IF(A93+'Summary'!$B$10*12&gt;A108,I93,0)+IF(A94+'Summary'!$B$10*12&gt;A108,I94,0)+IF(A95+'Summary'!$B$10*12&gt;A108,I95,0)+IF(A96+'Summary'!$B$10*12&gt;A108,I96,0)+IF(A97+'Summary'!$B$10*12&gt;A108,I97,0)+IF(A98+'Summary'!$B$10*12&gt;A108,I98,0)+IF(A99+'Summary'!$B$10*12&gt;A108,I99,0)+IF(A100+'Summary'!$B$10*12&gt;A108,I100,0)+IF(A101+'Summary'!$B$10*12&gt;A108,I101,0)+IF(A102+'Summary'!$B$10*12&gt;A108,I102,0)+IF(A103+'Summary'!$B$10*12&gt;A108,I103,0)+IF(A104+'Summary'!$B$10*12&gt;A108,I104,0)+IF(A105+'Summary'!$B$10*12&gt;A108,I105,0)+IF(A106+'Summary'!$B$10*12&gt;A108,I106,0)+IF(A107+'Summary'!$B$10*12&gt;A108,I107,0)+IF(A108+'Summary'!$B$10*12&gt;A108,I108,0)</x:f>
        <x:v>25163.733564481052</x:v>
      </x:c>
    </x:row>
    <x:row r="109">
      <x:c r="A109" s="55" t="n">
        <x:v>101</x:v>
      </x:c>
      <x:c r="B109" s="71" t="b">
        <x:f>A109&lt;='Summary'!$B$9*12</x:f>
        <x:v>1</x:v>
      </x:c>
      <x:c r="C109" s="62" t="n">
        <x:f>IF(A109=0,IF('Summary'!$B$6&gt;=5,'Summary'!$B$6,0),C108)+IF(A109&lt;'Summary'!$B$9*12,IF('Summary'!$B$7&gt;=5,'Summary'!$B$7,0),0)</x:f>
        <x:v>20200</x:v>
      </x:c>
      <x:c r="D109" s="62" t="n">
        <x:f>IF(A109=0,IF('Summary'!$B$6&gt;=5,'Summary'!$B$6,0),0)+IF(A109&lt;'Summary'!$B$9*12,IF('Summary'!$B$7&gt;=5,'Summary'!$B$7,0),0)</x:f>
        <x:v>100</x:v>
      </x:c>
      <x:c r="E109" s="62" t="n">
        <x:f>J108</x:f>
        <x:v>0</x:v>
      </x:c>
      <x:c r="F109" s="62" t="n">
        <x:f>(IF(AND(A109&gt;A8,A109&lt;=A8+'Summary'!$B$10*12,MOD(A109-A8,'Summary'!$B$11)=0),I8,0)+IF(AND(A109&gt;A9,A109&lt;=A9+'Summary'!$B$10*12,MOD(A109-A9,'Summary'!$B$11)=0),I9,0)+IF(AND(A109&gt;A10,A109&lt;=A10+'Summary'!$B$10*12,MOD(A109-A10,'Summary'!$B$11)=0),I10,0)+IF(AND(A109&gt;A11,A109&lt;=A11+'Summary'!$B$10*12,MOD(A109-A11,'Summary'!$B$11)=0),I11,0)+IF(AND(A109&gt;A12,A109&lt;=A12+'Summary'!$B$10*12,MOD(A109-A12,'Summary'!$B$11)=0),I12,0)+IF(AND(A109&gt;A13,A109&lt;=A13+'Summary'!$B$10*12,MOD(A109-A13,'Summary'!$B$11)=0),I13,0)+IF(AND(A109&gt;A14,A109&lt;=A14+'Summary'!$B$10*12,MOD(A109-A14,'Summary'!$B$11)=0),I14,0)+IF(AND(A109&gt;A15,A109&lt;=A15+'Summary'!$B$10*12,MOD(A109-A15,'Summary'!$B$11)=0),I15,0)+IF(AND(A109&gt;A16,A109&lt;=A16+'Summary'!$B$10*12,MOD(A109-A16,'Summary'!$B$11)=0),I16,0)+IF(AND(A109&gt;A17,A109&lt;=A17+'Summary'!$B$10*12,MOD(A109-A17,'Summary'!$B$11)=0),I17,0)+IF(AND(A109&gt;A18,A109&lt;=A18+'Summary'!$B$10*12,MOD(A109-A18,'Summary'!$B$11)=0),I18,0)+IF(AND(A109&gt;A19,A109&lt;=A19+'Summary'!$B$10*12,MOD(A109-A19,'Summary'!$B$11)=0),I19,0)+IF(AND(A109&gt;A20,A109&lt;=A20+'Summary'!$B$10*12,MOD(A109-A20,'Summary'!$B$11)=0),I20,0)+IF(AND(A109&gt;A21,A109&lt;=A21+'Summary'!$B$10*12,MOD(A109-A21,'Summary'!$B$11)=0),I21,0)+IF(AND(A109&gt;A22,A109&lt;=A22+'Summary'!$B$10*12,MOD(A109-A22,'Summary'!$B$11)=0),I22,0)+IF(AND(A109&gt;A23,A109&lt;=A23+'Summary'!$B$10*12,MOD(A109-A23,'Summary'!$B$11)=0),I23,0)+IF(AND(A109&gt;A24,A109&lt;=A24+'Summary'!$B$10*12,MOD(A109-A24,'Summary'!$B$11)=0),I24,0)+IF(AND(A109&gt;A25,A109&lt;=A25+'Summary'!$B$10*12,MOD(A109-A25,'Summary'!$B$11)=0),I25,0)+IF(AND(A109&gt;A26,A109&lt;=A26+'Summary'!$B$10*12,MOD(A109-A26,'Summary'!$B$11)=0),I26,0)+IF(AND(A109&gt;A27,A109&lt;=A27+'Summary'!$B$10*12,MOD(A109-A27,'Summary'!$B$11)=0),I27,0)+IF(AND(A109&gt;A28,A109&lt;=A28+'Summary'!$B$10*12,MOD(A109-A28,'Summary'!$B$11)=0),I28,0)+IF(AND(A109&gt;A29,A109&lt;=A29+'Summary'!$B$10*12,MOD(A109-A29,'Summary'!$B$11)=0),I29,0)+IF(AND(A109&gt;A30,A109&lt;=A30+'Summary'!$B$10*12,MOD(A109-A30,'Summary'!$B$11)=0),I30,0)+IF(AND(A109&gt;A31,A109&lt;=A31+'Summary'!$B$10*12,MOD(A109-A31,'Summary'!$B$11)=0),I31,0)+IF(AND(A109&gt;A32,A109&lt;=A32+'Summary'!$B$10*12,MOD(A109-A32,'Summary'!$B$11)=0),I32,0)+IF(AND(A109&gt;A33,A109&lt;=A33+'Summary'!$B$10*12,MOD(A109-A33,'Summary'!$B$11)=0),I33,0)+IF(AND(A109&gt;A34,A109&lt;=A34+'Summary'!$B$10*12,MOD(A109-A34,'Summary'!$B$11)=0),I34,0)+IF(AND(A109&gt;A35,A109&lt;=A35+'Summary'!$B$10*12,MOD(A109-A35,'Summary'!$B$11)=0),I35,0)+IF(AND(A109&gt;A36,A109&lt;=A36+'Summary'!$B$10*12,MOD(A109-A36,'Summary'!$B$11)=0),I36,0)+IF(AND(A109&gt;A37,A109&lt;=A37+'Summary'!$B$10*12,MOD(A109-A37,'Summary'!$B$11)=0),I37,0)+IF(AND(A109&gt;A38,A109&lt;=A38+'Summary'!$B$10*12,MOD(A109-A38,'Summary'!$B$11)=0),I38,0)+IF(AND(A109&gt;A39,A109&lt;=A39+'Summary'!$B$10*12,MOD(A109-A39,'Summary'!$B$11)=0),I39,0)+IF(AND(A109&gt;A40,A109&lt;=A40+'Summary'!$B$10*12,MOD(A109-A40,'Summary'!$B$11)=0),I40,0)+IF(AND(A109&gt;A41,A109&lt;=A41+'Summary'!$B$10*12,MOD(A109-A41,'Summary'!$B$11)=0),I41,0)+IF(AND(A109&gt;A42,A109&lt;=A42+'Summary'!$B$10*12,MOD(A109-A42,'Summary'!$B$11)=0),I42,0)+IF(AND(A109&gt;A43,A109&lt;=A43+'Summary'!$B$10*12,MOD(A109-A43,'Summary'!$B$11)=0),I43,0)+IF(AND(A109&gt;A44,A109&lt;=A44+'Summary'!$B$10*12,MOD(A109-A44,'Summary'!$B$11)=0),I44,0)+IF(AND(A109&gt;A45,A109&lt;=A45+'Summary'!$B$10*12,MOD(A109-A45,'Summary'!$B$11)=0),I45,0)+IF(AND(A109&gt;A46,A109&lt;=A46+'Summary'!$B$10*12,MOD(A109-A46,'Summary'!$B$11)=0),I46,0)+IF(AND(A109&gt;A47,A109&lt;=A47+'Summary'!$B$10*12,MOD(A109-A47,'Summary'!$B$11)=0),I47,0)+IF(AND(A109&gt;A48,A109&lt;=A48+'Summary'!$B$10*12,MOD(A109-A48,'Summary'!$B$11)=0),I48,0)+IF(AND(A109&gt;A49,A109&lt;=A49+'Summary'!$B$10*12,MOD(A109-A49,'Summary'!$B$11)=0),I49,0)+IF(AND(A109&gt;A50,A109&lt;=A50+'Summary'!$B$10*12,MOD(A109-A50,'Summary'!$B$11)=0),I50,0)+IF(AND(A109&gt;A51,A109&lt;=A51+'Summary'!$B$10*12,MOD(A109-A51,'Summary'!$B$11)=0),I51,0)+IF(AND(A109&gt;A52,A109&lt;=A52+'Summary'!$B$10*12,MOD(A109-A52,'Summary'!$B$11)=0),I52,0)+IF(AND(A109&gt;A53,A109&lt;=A53+'Summary'!$B$10*12,MOD(A109-A53,'Summary'!$B$11)=0),I53,0)+IF(AND(A109&gt;A54,A109&lt;=A54+'Summary'!$B$10*12,MOD(A109-A54,'Summary'!$B$11)=0),I54,0)+IF(AND(A109&gt;A55,A109&lt;=A55+'Summary'!$B$10*12,MOD(A109-A55,'Summary'!$B$11)=0),I55,0)+IF(AND(A109&gt;A56,A109&lt;=A56+'Summary'!$B$10*12,MOD(A109-A56,'Summary'!$B$11)=0),I56,0)+IF(AND(A109&gt;A57,A109&lt;=A57+'Summary'!$B$10*12,MOD(A109-A57,'Summary'!$B$11)=0),I57,0)+IF(AND(A109&gt;A58,A109&lt;=A58+'Summary'!$B$10*12,MOD(A109-A58,'Summary'!$B$11)=0),I58,0)+IF(AND(A109&gt;A59,A109&lt;=A59+'Summary'!$B$10*12,MOD(A109-A59,'Summary'!$B$11)=0),I59,0)+IF(AND(A109&gt;A60,A109&lt;=A60+'Summary'!$B$10*12,MOD(A109-A60,'Summary'!$B$11)=0),I60,0)+IF(AND(A109&gt;A61,A109&lt;=A61+'Summary'!$B$10*12,MOD(A109-A61,'Summary'!$B$11)=0),I61,0)+IF(AND(A109&gt;A62,A109&lt;=A62+'Summary'!$B$10*12,MOD(A109-A62,'Summary'!$B$11)=0),I62,0)+IF(AND(A109&gt;A63,A109&lt;=A63+'Summary'!$B$10*12,MOD(A109-A63,'Summary'!$B$11)=0),I63,0)+IF(AND(A109&gt;A64,A109&lt;=A64+'Summary'!$B$10*12,MOD(A109-A64,'Summary'!$B$11)=0),I64,0)+IF(AND(A109&gt;A65,A109&lt;=A65+'Summary'!$B$10*12,MOD(A109-A65,'Summary'!$B$11)=0),I65,0)+IF(AND(A109&gt;A66,A109&lt;=A66+'Summary'!$B$10*12,MOD(A109-A66,'Summary'!$B$11)=0),I66,0)+IF(AND(A109&gt;A67,A109&lt;=A67+'Summary'!$B$10*12,MOD(A109-A67,'Summary'!$B$11)=0),I67,0)+IF(AND(A109&gt;A68,A109&lt;=A68+'Summary'!$B$10*12,MOD(A109-A68,'Summary'!$B$11)=0),I68,0)+IF(AND(A109&gt;A69,A109&lt;=A69+'Summary'!$B$10*12,MOD(A109-A69,'Summary'!$B$11)=0),I69,0)+IF(AND(A109&gt;A70,A109&lt;=A70+'Summary'!$B$10*12,MOD(A109-A70,'Summary'!$B$11)=0),I70,0)+IF(AND(A109&gt;A71,A109&lt;=A71+'Summary'!$B$10*12,MOD(A109-A71,'Summary'!$B$11)=0),I71,0)+IF(AND(A109&gt;A72,A109&lt;=A72+'Summary'!$B$10*12,MOD(A109-A72,'Summary'!$B$11)=0),I72,0)+IF(AND(A109&gt;A73,A109&lt;=A73+'Summary'!$B$10*12,MOD(A109-A73,'Summary'!$B$11)=0),I73,0)+IF(AND(A109&gt;A74,A109&lt;=A74+'Summary'!$B$10*12,MOD(A109-A74,'Summary'!$B$11)=0),I74,0)+IF(AND(A109&gt;A75,A109&lt;=A75+'Summary'!$B$10*12,MOD(A109-A75,'Summary'!$B$11)=0),I75,0)+IF(AND(A109&gt;A76,A109&lt;=A76+'Summary'!$B$10*12,MOD(A109-A76,'Summary'!$B$11)=0),I76,0)+IF(AND(A109&gt;A77,A109&lt;=A77+'Summary'!$B$10*12,MOD(A109-A77,'Summary'!$B$11)=0),I77,0)+IF(AND(A109&gt;A78,A109&lt;=A78+'Summary'!$B$10*12,MOD(A109-A78,'Summary'!$B$11)=0),I78,0)+IF(AND(A109&gt;A79,A109&lt;=A79+'Summary'!$B$10*12,MOD(A109-A79,'Summary'!$B$11)=0),I79,0)+IF(AND(A109&gt;A80,A109&lt;=A80+'Summary'!$B$10*12,MOD(A109-A80,'Summary'!$B$11)=0),I80,0)+IF(AND(A109&gt;A81,A109&lt;=A81+'Summary'!$B$10*12,MOD(A109-A81,'Summary'!$B$11)=0),I81,0)+IF(AND(A109&gt;A82,A109&lt;=A82+'Summary'!$B$10*12,MOD(A109-A82,'Summary'!$B$11)=0),I82,0)+IF(AND(A109&gt;A83,A109&lt;=A83+'Summary'!$B$10*12,MOD(A109-A83,'Summary'!$B$11)=0),I83,0)+IF(AND(A109&gt;A84,A109&lt;=A84+'Summary'!$B$10*12,MOD(A109-A84,'Summary'!$B$11)=0),I84,0)+IF(AND(A109&gt;A85,A109&lt;=A85+'Summary'!$B$10*12,MOD(A109-A85,'Summary'!$B$11)=0),I85,0)+IF(AND(A109&gt;A86,A109&lt;=A86+'Summary'!$B$10*12,MOD(A109-A86,'Summary'!$B$11)=0),I86,0)+IF(AND(A109&gt;A87,A109&lt;=A87+'Summary'!$B$10*12,MOD(A109-A87,'Summary'!$B$11)=0),I87,0)+IF(AND(A109&gt;A88,A109&lt;=A88+'Summary'!$B$10*12,MOD(A109-A88,'Summary'!$B$11)=0),I88,0)+IF(AND(A109&gt;A89,A109&lt;=A89+'Summary'!$B$10*12,MOD(A109-A89,'Summary'!$B$11)=0),I89,0)+IF(AND(A109&gt;A90,A109&lt;=A90+'Summary'!$B$10*12,MOD(A109-A90,'Summary'!$B$11)=0),I90,0)+IF(AND(A109&gt;A91,A109&lt;=A91+'Summary'!$B$10*12,MOD(A109-A91,'Summary'!$B$11)=0),I91,0)+IF(AND(A109&gt;A92,A109&lt;=A92+'Summary'!$B$10*12,MOD(A109-A92,'Summary'!$B$11)=0),I92,0)+IF(AND(A109&gt;A93,A109&lt;=A93+'Summary'!$B$10*12,MOD(A109-A93,'Summary'!$B$11)=0),I93,0)+IF(AND(A109&gt;A94,A109&lt;=A94+'Summary'!$B$10*12,MOD(A109-A94,'Summary'!$B$11)=0),I94,0)+IF(AND(A109&gt;A95,A109&lt;=A95+'Summary'!$B$10*12,MOD(A109-A95,'Summary'!$B$11)=0),I95,0)+IF(AND(A109&gt;A96,A109&lt;=A96+'Summary'!$B$10*12,MOD(A109-A96,'Summary'!$B$11)=0),I96,0)+IF(AND(A109&gt;A97,A109&lt;=A97+'Summary'!$B$10*12,MOD(A109-A97,'Summary'!$B$11)=0),I97,0)+IF(AND(A109&gt;A98,A109&lt;=A98+'Summary'!$B$10*12,MOD(A109-A98,'Summary'!$B$11)=0),I98,0)+IF(AND(A109&gt;A99,A109&lt;=A99+'Summary'!$B$10*12,MOD(A109-A99,'Summary'!$B$11)=0),I99,0)+IF(AND(A109&gt;A100,A109&lt;=A100+'Summary'!$B$10*12,MOD(A109-A100,'Summary'!$B$11)=0),I100,0)+IF(AND(A109&gt;A101,A109&lt;=A101+'Summary'!$B$10*12,MOD(A109-A101,'Summary'!$B$11)=0),I101,0)+IF(AND(A109&gt;A102,A109&lt;=A102+'Summary'!$B$10*12,MOD(A109-A102,'Summary'!$B$11)=0),I102,0)+IF(AND(A109&gt;A103,A109&lt;=A103+'Summary'!$B$10*12,MOD(A109-A103,'Summary'!$B$11)=0),I103,0)+IF(AND(A109&gt;A104,A109&lt;=A104+'Summary'!$B$10*12,MOD(A109-A104,'Summary'!$B$11)=0),I104,0)+IF(AND(A109&gt;A105,A109&lt;=A105+'Summary'!$B$10*12,MOD(A109-A105,'Summary'!$B$11)=0),I105,0)+IF(AND(A109&gt;A106,A109&lt;=A106+'Summary'!$B$10*12,MOD(A109-A106,'Summary'!$B$11)=0),I106,0)+IF(AND(A109&gt;A107,A109&lt;=A107+'Summary'!$B$10*12,MOD(A109-A107,'Summary'!$B$11)=0),I107,0)+IF(AND(A109&gt;A108,A109&lt;=A108+'Summary'!$B$10*12,MOD(A109-A108,'Summary'!$B$11)=0),I108,0))*'Summary'!$B$8/2</x:f>
        <x:v>34.29466167475766</x:v>
      </x:c>
      <x:c r="G109" s="62" t="n">
        <x:f>IF(A109=A8+'Summary'!$B$10*12,I8,0)+IF(A109=A9+'Summary'!$B$10*12,I9,0)+IF(A109=A10+'Summary'!$B$10*12,I10,0)+IF(A109=A11+'Summary'!$B$10*12,I11,0)+IF(A109=A12+'Summary'!$B$10*12,I12,0)+IF(A109=A13+'Summary'!$B$10*12,I13,0)+IF(A109=A14+'Summary'!$B$10*12,I14,0)+IF(A109=A15+'Summary'!$B$10*12,I15,0)+IF(A109=A16+'Summary'!$B$10*12,I16,0)+IF(A109=A17+'Summary'!$B$10*12,I17,0)+IF(A109=A18+'Summary'!$B$10*12,I18,0)+IF(A109=A19+'Summary'!$B$10*12,I19,0)+IF(A109=A20+'Summary'!$B$10*12,I20,0)+IF(A109=A21+'Summary'!$B$10*12,I21,0)+IF(A109=A22+'Summary'!$B$10*12,I22,0)+IF(A109=A23+'Summary'!$B$10*12,I23,0)+IF(A109=A24+'Summary'!$B$10*12,I24,0)+IF(A109=A25+'Summary'!$B$10*12,I25,0)+IF(A109=A26+'Summary'!$B$10*12,I26,0)+IF(A109=A27+'Summary'!$B$10*12,I27,0)+IF(A109=A28+'Summary'!$B$10*12,I28,0)+IF(A109=A29+'Summary'!$B$10*12,I29,0)+IF(A109=A30+'Summary'!$B$10*12,I30,0)+IF(A109=A31+'Summary'!$B$10*12,I31,0)+IF(A109=A32+'Summary'!$B$10*12,I32,0)+IF(A109=A33+'Summary'!$B$10*12,I33,0)+IF(A109=A34+'Summary'!$B$10*12,I34,0)+IF(A109=A35+'Summary'!$B$10*12,I35,0)+IF(A109=A36+'Summary'!$B$10*12,I36,0)+IF(A109=A37+'Summary'!$B$10*12,I37,0)+IF(A109=A38+'Summary'!$B$10*12,I38,0)+IF(A109=A39+'Summary'!$B$10*12,I39,0)+IF(A109=A40+'Summary'!$B$10*12,I40,0)+IF(A109=A41+'Summary'!$B$10*12,I41,0)+IF(A109=A42+'Summary'!$B$10*12,I42,0)+IF(A109=A43+'Summary'!$B$10*12,I43,0)+IF(A109=A44+'Summary'!$B$10*12,I44,0)+IF(A109=A45+'Summary'!$B$10*12,I45,0)+IF(A109=A46+'Summary'!$B$10*12,I46,0)+IF(A109=A47+'Summary'!$B$10*12,I47,0)+IF(A109=A48+'Summary'!$B$10*12,I48,0)+IF(A109=A49+'Summary'!$B$10*12,I49,0)+IF(A109=A50+'Summary'!$B$10*12,I50,0)+IF(A109=A51+'Summary'!$B$10*12,I51,0)+IF(A109=A52+'Summary'!$B$10*12,I52,0)+IF(A109=A53+'Summary'!$B$10*12,I53,0)+IF(A109=A54+'Summary'!$B$10*12,I54,0)+IF(A109=A55+'Summary'!$B$10*12,I55,0)+IF(A109=A56+'Summary'!$B$10*12,I56,0)+IF(A109=A57+'Summary'!$B$10*12,I57,0)+IF(A109=A58+'Summary'!$B$10*12,I58,0)+IF(A109=A59+'Summary'!$B$10*12,I59,0)+IF(A109=A60+'Summary'!$B$10*12,I60,0)+IF(A109=A61+'Summary'!$B$10*12,I61,0)+IF(A109=A62+'Summary'!$B$10*12,I62,0)+IF(A109=A63+'Summary'!$B$10*12,I63,0)+IF(A109=A64+'Summary'!$B$10*12,I64,0)+IF(A109=A65+'Summary'!$B$10*12,I65,0)+IF(A109=A66+'Summary'!$B$10*12,I66,0)+IF(A109=A67+'Summary'!$B$10*12,I67,0)+IF(A109=A68+'Summary'!$B$10*12,I68,0)+IF(A109=A69+'Summary'!$B$10*12,I69,0)+IF(A109=A70+'Summary'!$B$10*12,I70,0)+IF(A109=A71+'Summary'!$B$10*12,I71,0)+IF(A109=A72+'Summary'!$B$10*12,I72,0)+IF(A109=A73+'Summary'!$B$10*12,I73,0)+IF(A109=A74+'Summary'!$B$10*12,I74,0)+IF(A109=A75+'Summary'!$B$10*12,I75,0)+IF(A109=A76+'Summary'!$B$10*12,I76,0)+IF(A109=A77+'Summary'!$B$10*12,I77,0)+IF(A109=A78+'Summary'!$B$10*12,I78,0)+IF(A109=A79+'Summary'!$B$10*12,I79,0)+IF(A109=A80+'Summary'!$B$10*12,I80,0)+IF(A109=A81+'Summary'!$B$10*12,I81,0)+IF(A109=A82+'Summary'!$B$10*12,I82,0)+IF(A109=A83+'Summary'!$B$10*12,I83,0)+IF(A109=A84+'Summary'!$B$10*12,I84,0)+IF(A109=A85+'Summary'!$B$10*12,I85,0)+IF(A109=A86+'Summary'!$B$10*12,I86,0)+IF(A109=A87+'Summary'!$B$10*12,I87,0)+IF(A109=A88+'Summary'!$B$10*12,I88,0)+IF(A109=A89+'Summary'!$B$10*12,I89,0)+IF(A109=A90+'Summary'!$B$10*12,I90,0)+IF(A109=A91+'Summary'!$B$10*12,I91,0)+IF(A109=A92+'Summary'!$B$10*12,I92,0)+IF(A109=A93+'Summary'!$B$10*12,I93,0)+IF(A109=A94+'Summary'!$B$10*12,I94,0)+IF(A109=A95+'Summary'!$B$10*12,I95,0)+IF(A109=A96+'Summary'!$B$10*12,I96,0)+IF(A109=A97+'Summary'!$B$10*12,I97,0)+IF(A109=A98+'Summary'!$B$10*12,I98,0)+IF(A109=A99+'Summary'!$B$10*12,I99,0)+IF(A109=A100+'Summary'!$B$10*12,I100,0)+IF(A109=A101+'Summary'!$B$10*12,I101,0)+IF(A109=A102+'Summary'!$B$10*12,I102,0)+IF(A109=A103+'Summary'!$B$10*12,I103,0)+IF(A109=A104+'Summary'!$B$10*12,I104,0)+IF(A109=A105+'Summary'!$B$10*12,I105,0)+IF(A109=A106+'Summary'!$B$10*12,I106,0)+IF(A109=A107+'Summary'!$B$10*12,I107,0)+IF(A109=A108+'Summary'!$B$10*12,I108,0)</x:f>
        <x:v>111.69199058434481</x:v>
      </x:c>
      <x:c r="H109" s="62" t="n">
        <x:f>E109+D109+F109+G109</x:f>
        <x:v>245.98665225910247</x:v>
      </x:c>
      <x:c r="I109" s="62" t="n">
        <x:f>IF(B109,IF(H109&gt;='Summary'!$B$12,H109,0),0)</x:f>
        <x:v>245.98665225910247</x:v>
      </x:c>
      <x:c r="J109" s="62" t="n">
        <x:f>H109-I109</x:f>
        <x:v>0</x:v>
      </x:c>
      <x:c r="K109" s="63" t="n">
        <x:f>J109+IF(A8+'Summary'!$B$10*12&gt;A109,I8,0)+IF(A9+'Summary'!$B$10*12&gt;A109,I9,0)+IF(A10+'Summary'!$B$10*12&gt;A109,I10,0)+IF(A11+'Summary'!$B$10*12&gt;A109,I11,0)+IF(A12+'Summary'!$B$10*12&gt;A109,I12,0)+IF(A13+'Summary'!$B$10*12&gt;A109,I13,0)+IF(A14+'Summary'!$B$10*12&gt;A109,I14,0)+IF(A15+'Summary'!$B$10*12&gt;A109,I15,0)+IF(A16+'Summary'!$B$10*12&gt;A109,I16,0)+IF(A17+'Summary'!$B$10*12&gt;A109,I17,0)+IF(A18+'Summary'!$B$10*12&gt;A109,I18,0)+IF(A19+'Summary'!$B$10*12&gt;A109,I19,0)+IF(A20+'Summary'!$B$10*12&gt;A109,I20,0)+IF(A21+'Summary'!$B$10*12&gt;A109,I21,0)+IF(A22+'Summary'!$B$10*12&gt;A109,I22,0)+IF(A23+'Summary'!$B$10*12&gt;A109,I23,0)+IF(A24+'Summary'!$B$10*12&gt;A109,I24,0)+IF(A25+'Summary'!$B$10*12&gt;A109,I25,0)+IF(A26+'Summary'!$B$10*12&gt;A109,I26,0)+IF(A27+'Summary'!$B$10*12&gt;A109,I27,0)+IF(A28+'Summary'!$B$10*12&gt;A109,I28,0)+IF(A29+'Summary'!$B$10*12&gt;A109,I29,0)+IF(A30+'Summary'!$B$10*12&gt;A109,I30,0)+IF(A31+'Summary'!$B$10*12&gt;A109,I31,0)+IF(A32+'Summary'!$B$10*12&gt;A109,I32,0)+IF(A33+'Summary'!$B$10*12&gt;A109,I33,0)+IF(A34+'Summary'!$B$10*12&gt;A109,I34,0)+IF(A35+'Summary'!$B$10*12&gt;A109,I35,0)+IF(A36+'Summary'!$B$10*12&gt;A109,I36,0)+IF(A37+'Summary'!$B$10*12&gt;A109,I37,0)+IF(A38+'Summary'!$B$10*12&gt;A109,I38,0)+IF(A39+'Summary'!$B$10*12&gt;A109,I39,0)+IF(A40+'Summary'!$B$10*12&gt;A109,I40,0)+IF(A41+'Summary'!$B$10*12&gt;A109,I41,0)+IF(A42+'Summary'!$B$10*12&gt;A109,I42,0)+IF(A43+'Summary'!$B$10*12&gt;A109,I43,0)+IF(A44+'Summary'!$B$10*12&gt;A109,I44,0)+IF(A45+'Summary'!$B$10*12&gt;A109,I45,0)+IF(A46+'Summary'!$B$10*12&gt;A109,I46,0)+IF(A47+'Summary'!$B$10*12&gt;A109,I47,0)+IF(A48+'Summary'!$B$10*12&gt;A109,I48,0)+IF(A49+'Summary'!$B$10*12&gt;A109,I49,0)+IF(A50+'Summary'!$B$10*12&gt;A109,I50,0)+IF(A51+'Summary'!$B$10*12&gt;A109,I51,0)+IF(A52+'Summary'!$B$10*12&gt;A109,I52,0)+IF(A53+'Summary'!$B$10*12&gt;A109,I53,0)+IF(A54+'Summary'!$B$10*12&gt;A109,I54,0)+IF(A55+'Summary'!$B$10*12&gt;A109,I55,0)+IF(A56+'Summary'!$B$10*12&gt;A109,I56,0)+IF(A57+'Summary'!$B$10*12&gt;A109,I57,0)+IF(A58+'Summary'!$B$10*12&gt;A109,I58,0)+IF(A59+'Summary'!$B$10*12&gt;A109,I59,0)+IF(A60+'Summary'!$B$10*12&gt;A109,I60,0)+IF(A61+'Summary'!$B$10*12&gt;A109,I61,0)+IF(A62+'Summary'!$B$10*12&gt;A109,I62,0)+IF(A63+'Summary'!$B$10*12&gt;A109,I63,0)+IF(A64+'Summary'!$B$10*12&gt;A109,I64,0)+IF(A65+'Summary'!$B$10*12&gt;A109,I65,0)+IF(A66+'Summary'!$B$10*12&gt;A109,I66,0)+IF(A67+'Summary'!$B$10*12&gt;A109,I67,0)+IF(A68+'Summary'!$B$10*12&gt;A109,I68,0)+IF(A69+'Summary'!$B$10*12&gt;A109,I69,0)+IF(A70+'Summary'!$B$10*12&gt;A109,I70,0)+IF(A71+'Summary'!$B$10*12&gt;A109,I71,0)+IF(A72+'Summary'!$B$10*12&gt;A109,I72,0)+IF(A73+'Summary'!$B$10*12&gt;A109,I73,0)+IF(A74+'Summary'!$B$10*12&gt;A109,I74,0)+IF(A75+'Summary'!$B$10*12&gt;A109,I75,0)+IF(A76+'Summary'!$B$10*12&gt;A109,I76,0)+IF(A77+'Summary'!$B$10*12&gt;A109,I77,0)+IF(A78+'Summary'!$B$10*12&gt;A109,I78,0)+IF(A79+'Summary'!$B$10*12&gt;A109,I79,0)+IF(A80+'Summary'!$B$10*12&gt;A109,I80,0)+IF(A81+'Summary'!$B$10*12&gt;A109,I81,0)+IF(A82+'Summary'!$B$10*12&gt;A109,I82,0)+IF(A83+'Summary'!$B$10*12&gt;A109,I83,0)+IF(A84+'Summary'!$B$10*12&gt;A109,I84,0)+IF(A85+'Summary'!$B$10*12&gt;A109,I85,0)+IF(A86+'Summary'!$B$10*12&gt;A109,I86,0)+IF(A87+'Summary'!$B$10*12&gt;A109,I87,0)+IF(A88+'Summary'!$B$10*12&gt;A109,I88,0)+IF(A89+'Summary'!$B$10*12&gt;A109,I89,0)+IF(A90+'Summary'!$B$10*12&gt;A109,I90,0)+IF(A91+'Summary'!$B$10*12&gt;A109,I91,0)+IF(A92+'Summary'!$B$10*12&gt;A109,I92,0)+IF(A93+'Summary'!$B$10*12&gt;A109,I93,0)+IF(A94+'Summary'!$B$10*12&gt;A109,I94,0)+IF(A95+'Summary'!$B$10*12&gt;A109,I95,0)+IF(A96+'Summary'!$B$10*12&gt;A109,I96,0)+IF(A97+'Summary'!$B$10*12&gt;A109,I97,0)+IF(A98+'Summary'!$B$10*12&gt;A109,I98,0)+IF(A99+'Summary'!$B$10*12&gt;A109,I99,0)+IF(A100+'Summary'!$B$10*12&gt;A109,I100,0)+IF(A101+'Summary'!$B$10*12&gt;A109,I101,0)+IF(A102+'Summary'!$B$10*12&gt;A109,I102,0)+IF(A103+'Summary'!$B$10*12&gt;A109,I103,0)+IF(A104+'Summary'!$B$10*12&gt;A109,I104,0)+IF(A105+'Summary'!$B$10*12&gt;A109,I105,0)+IF(A106+'Summary'!$B$10*12&gt;A109,I106,0)+IF(A107+'Summary'!$B$10*12&gt;A109,I107,0)+IF(A108+'Summary'!$B$10*12&gt;A109,I108,0)+IF(A109+'Summary'!$B$10*12&gt;A109,I109,0)</x:f>
        <x:v>25298.02822615581</x:v>
      </x:c>
    </x:row>
    <x:row r="110">
      <x:c r="A110" s="55" t="n">
        <x:v>102</x:v>
      </x:c>
      <x:c r="B110" s="71" t="b">
        <x:f>A110&lt;='Summary'!$B$9*12</x:f>
        <x:v>1</x:v>
      </x:c>
      <x:c r="C110" s="62" t="n">
        <x:f>IF(A110=0,IF('Summary'!$B$6&gt;=5,'Summary'!$B$6,0),C109)+IF(A110&lt;'Summary'!$B$9*12,IF('Summary'!$B$7&gt;=5,'Summary'!$B$7,0),0)</x:f>
        <x:v>20300</x:v>
      </x:c>
      <x:c r="D110" s="62" t="n">
        <x:f>IF(A110=0,IF('Summary'!$B$6&gt;=5,'Summary'!$B$6,0),0)+IF(A110&lt;'Summary'!$B$9*12,IF('Summary'!$B$7&gt;=5,'Summary'!$B$7,0),0)</x:f>
        <x:v>100</x:v>
      </x:c>
      <x:c r="E110" s="62" t="n">
        <x:f>J109</x:f>
        <x:v>0</x:v>
      </x:c>
      <x:c r="F110" s="62" t="n">
        <x:f>(IF(AND(A110&gt;A8,A110&lt;=A8+'Summary'!$B$10*12,MOD(A110-A8,'Summary'!$B$11)=0),I8,0)+IF(AND(A110&gt;A9,A110&lt;=A9+'Summary'!$B$10*12,MOD(A110-A9,'Summary'!$B$11)=0),I9,0)+IF(AND(A110&gt;A10,A110&lt;=A10+'Summary'!$B$10*12,MOD(A110-A10,'Summary'!$B$11)=0),I10,0)+IF(AND(A110&gt;A11,A110&lt;=A11+'Summary'!$B$10*12,MOD(A110-A11,'Summary'!$B$11)=0),I11,0)+IF(AND(A110&gt;A12,A110&lt;=A12+'Summary'!$B$10*12,MOD(A110-A12,'Summary'!$B$11)=0),I12,0)+IF(AND(A110&gt;A13,A110&lt;=A13+'Summary'!$B$10*12,MOD(A110-A13,'Summary'!$B$11)=0),I13,0)+IF(AND(A110&gt;A14,A110&lt;=A14+'Summary'!$B$10*12,MOD(A110-A14,'Summary'!$B$11)=0),I14,0)+IF(AND(A110&gt;A15,A110&lt;=A15+'Summary'!$B$10*12,MOD(A110-A15,'Summary'!$B$11)=0),I15,0)+IF(AND(A110&gt;A16,A110&lt;=A16+'Summary'!$B$10*12,MOD(A110-A16,'Summary'!$B$11)=0),I16,0)+IF(AND(A110&gt;A17,A110&lt;=A17+'Summary'!$B$10*12,MOD(A110-A17,'Summary'!$B$11)=0),I17,0)+IF(AND(A110&gt;A18,A110&lt;=A18+'Summary'!$B$10*12,MOD(A110-A18,'Summary'!$B$11)=0),I18,0)+IF(AND(A110&gt;A19,A110&lt;=A19+'Summary'!$B$10*12,MOD(A110-A19,'Summary'!$B$11)=0),I19,0)+IF(AND(A110&gt;A20,A110&lt;=A20+'Summary'!$B$10*12,MOD(A110-A20,'Summary'!$B$11)=0),I20,0)+IF(AND(A110&gt;A21,A110&lt;=A21+'Summary'!$B$10*12,MOD(A110-A21,'Summary'!$B$11)=0),I21,0)+IF(AND(A110&gt;A22,A110&lt;=A22+'Summary'!$B$10*12,MOD(A110-A22,'Summary'!$B$11)=0),I22,0)+IF(AND(A110&gt;A23,A110&lt;=A23+'Summary'!$B$10*12,MOD(A110-A23,'Summary'!$B$11)=0),I23,0)+IF(AND(A110&gt;A24,A110&lt;=A24+'Summary'!$B$10*12,MOD(A110-A24,'Summary'!$B$11)=0),I24,0)+IF(AND(A110&gt;A25,A110&lt;=A25+'Summary'!$B$10*12,MOD(A110-A25,'Summary'!$B$11)=0),I25,0)+IF(AND(A110&gt;A26,A110&lt;=A26+'Summary'!$B$10*12,MOD(A110-A26,'Summary'!$B$11)=0),I26,0)+IF(AND(A110&gt;A27,A110&lt;=A27+'Summary'!$B$10*12,MOD(A110-A27,'Summary'!$B$11)=0),I27,0)+IF(AND(A110&gt;A28,A110&lt;=A28+'Summary'!$B$10*12,MOD(A110-A28,'Summary'!$B$11)=0),I28,0)+IF(AND(A110&gt;A29,A110&lt;=A29+'Summary'!$B$10*12,MOD(A110-A29,'Summary'!$B$11)=0),I29,0)+IF(AND(A110&gt;A30,A110&lt;=A30+'Summary'!$B$10*12,MOD(A110-A30,'Summary'!$B$11)=0),I30,0)+IF(AND(A110&gt;A31,A110&lt;=A31+'Summary'!$B$10*12,MOD(A110-A31,'Summary'!$B$11)=0),I31,0)+IF(AND(A110&gt;A32,A110&lt;=A32+'Summary'!$B$10*12,MOD(A110-A32,'Summary'!$B$11)=0),I32,0)+IF(AND(A110&gt;A33,A110&lt;=A33+'Summary'!$B$10*12,MOD(A110-A33,'Summary'!$B$11)=0),I33,0)+IF(AND(A110&gt;A34,A110&lt;=A34+'Summary'!$B$10*12,MOD(A110-A34,'Summary'!$B$11)=0),I34,0)+IF(AND(A110&gt;A35,A110&lt;=A35+'Summary'!$B$10*12,MOD(A110-A35,'Summary'!$B$11)=0),I35,0)+IF(AND(A110&gt;A36,A110&lt;=A36+'Summary'!$B$10*12,MOD(A110-A36,'Summary'!$B$11)=0),I36,0)+IF(AND(A110&gt;A37,A110&lt;=A37+'Summary'!$B$10*12,MOD(A110-A37,'Summary'!$B$11)=0),I37,0)+IF(AND(A110&gt;A38,A110&lt;=A38+'Summary'!$B$10*12,MOD(A110-A38,'Summary'!$B$11)=0),I38,0)+IF(AND(A110&gt;A39,A110&lt;=A39+'Summary'!$B$10*12,MOD(A110-A39,'Summary'!$B$11)=0),I39,0)+IF(AND(A110&gt;A40,A110&lt;=A40+'Summary'!$B$10*12,MOD(A110-A40,'Summary'!$B$11)=0),I40,0)+IF(AND(A110&gt;A41,A110&lt;=A41+'Summary'!$B$10*12,MOD(A110-A41,'Summary'!$B$11)=0),I41,0)+IF(AND(A110&gt;A42,A110&lt;=A42+'Summary'!$B$10*12,MOD(A110-A42,'Summary'!$B$11)=0),I42,0)+IF(AND(A110&gt;A43,A110&lt;=A43+'Summary'!$B$10*12,MOD(A110-A43,'Summary'!$B$11)=0),I43,0)+IF(AND(A110&gt;A44,A110&lt;=A44+'Summary'!$B$10*12,MOD(A110-A44,'Summary'!$B$11)=0),I44,0)+IF(AND(A110&gt;A45,A110&lt;=A45+'Summary'!$B$10*12,MOD(A110-A45,'Summary'!$B$11)=0),I45,0)+IF(AND(A110&gt;A46,A110&lt;=A46+'Summary'!$B$10*12,MOD(A110-A46,'Summary'!$B$11)=0),I46,0)+IF(AND(A110&gt;A47,A110&lt;=A47+'Summary'!$B$10*12,MOD(A110-A47,'Summary'!$B$11)=0),I47,0)+IF(AND(A110&gt;A48,A110&lt;=A48+'Summary'!$B$10*12,MOD(A110-A48,'Summary'!$B$11)=0),I48,0)+IF(AND(A110&gt;A49,A110&lt;=A49+'Summary'!$B$10*12,MOD(A110-A49,'Summary'!$B$11)=0),I49,0)+IF(AND(A110&gt;A50,A110&lt;=A50+'Summary'!$B$10*12,MOD(A110-A50,'Summary'!$B$11)=0),I50,0)+IF(AND(A110&gt;A51,A110&lt;=A51+'Summary'!$B$10*12,MOD(A110-A51,'Summary'!$B$11)=0),I51,0)+IF(AND(A110&gt;A52,A110&lt;=A52+'Summary'!$B$10*12,MOD(A110-A52,'Summary'!$B$11)=0),I52,0)+IF(AND(A110&gt;A53,A110&lt;=A53+'Summary'!$B$10*12,MOD(A110-A53,'Summary'!$B$11)=0),I53,0)+IF(AND(A110&gt;A54,A110&lt;=A54+'Summary'!$B$10*12,MOD(A110-A54,'Summary'!$B$11)=0),I54,0)+IF(AND(A110&gt;A55,A110&lt;=A55+'Summary'!$B$10*12,MOD(A110-A55,'Summary'!$B$11)=0),I55,0)+IF(AND(A110&gt;A56,A110&lt;=A56+'Summary'!$B$10*12,MOD(A110-A56,'Summary'!$B$11)=0),I56,0)+IF(AND(A110&gt;A57,A110&lt;=A57+'Summary'!$B$10*12,MOD(A110-A57,'Summary'!$B$11)=0),I57,0)+IF(AND(A110&gt;A58,A110&lt;=A58+'Summary'!$B$10*12,MOD(A110-A58,'Summary'!$B$11)=0),I58,0)+IF(AND(A110&gt;A59,A110&lt;=A59+'Summary'!$B$10*12,MOD(A110-A59,'Summary'!$B$11)=0),I59,0)+IF(AND(A110&gt;A60,A110&lt;=A60+'Summary'!$B$10*12,MOD(A110-A60,'Summary'!$B$11)=0),I60,0)+IF(AND(A110&gt;A61,A110&lt;=A61+'Summary'!$B$10*12,MOD(A110-A61,'Summary'!$B$11)=0),I61,0)+IF(AND(A110&gt;A62,A110&lt;=A62+'Summary'!$B$10*12,MOD(A110-A62,'Summary'!$B$11)=0),I62,0)+IF(AND(A110&gt;A63,A110&lt;=A63+'Summary'!$B$10*12,MOD(A110-A63,'Summary'!$B$11)=0),I63,0)+IF(AND(A110&gt;A64,A110&lt;=A64+'Summary'!$B$10*12,MOD(A110-A64,'Summary'!$B$11)=0),I64,0)+IF(AND(A110&gt;A65,A110&lt;=A65+'Summary'!$B$10*12,MOD(A110-A65,'Summary'!$B$11)=0),I65,0)+IF(AND(A110&gt;A66,A110&lt;=A66+'Summary'!$B$10*12,MOD(A110-A66,'Summary'!$B$11)=0),I66,0)+IF(AND(A110&gt;A67,A110&lt;=A67+'Summary'!$B$10*12,MOD(A110-A67,'Summary'!$B$11)=0),I67,0)+IF(AND(A110&gt;A68,A110&lt;=A68+'Summary'!$B$10*12,MOD(A110-A68,'Summary'!$B$11)=0),I68,0)+IF(AND(A110&gt;A69,A110&lt;=A69+'Summary'!$B$10*12,MOD(A110-A69,'Summary'!$B$11)=0),I69,0)+IF(AND(A110&gt;A70,A110&lt;=A70+'Summary'!$B$10*12,MOD(A110-A70,'Summary'!$B$11)=0),I70,0)+IF(AND(A110&gt;A71,A110&lt;=A71+'Summary'!$B$10*12,MOD(A110-A71,'Summary'!$B$11)=0),I71,0)+IF(AND(A110&gt;A72,A110&lt;=A72+'Summary'!$B$10*12,MOD(A110-A72,'Summary'!$B$11)=0),I72,0)+IF(AND(A110&gt;A73,A110&lt;=A73+'Summary'!$B$10*12,MOD(A110-A73,'Summary'!$B$11)=0),I73,0)+IF(AND(A110&gt;A74,A110&lt;=A74+'Summary'!$B$10*12,MOD(A110-A74,'Summary'!$B$11)=0),I74,0)+IF(AND(A110&gt;A75,A110&lt;=A75+'Summary'!$B$10*12,MOD(A110-A75,'Summary'!$B$11)=0),I75,0)+IF(AND(A110&gt;A76,A110&lt;=A76+'Summary'!$B$10*12,MOD(A110-A76,'Summary'!$B$11)=0),I76,0)+IF(AND(A110&gt;A77,A110&lt;=A77+'Summary'!$B$10*12,MOD(A110-A77,'Summary'!$B$11)=0),I77,0)+IF(AND(A110&gt;A78,A110&lt;=A78+'Summary'!$B$10*12,MOD(A110-A78,'Summary'!$B$11)=0),I78,0)+IF(AND(A110&gt;A79,A110&lt;=A79+'Summary'!$B$10*12,MOD(A110-A79,'Summary'!$B$11)=0),I79,0)+IF(AND(A110&gt;A80,A110&lt;=A80+'Summary'!$B$10*12,MOD(A110-A80,'Summary'!$B$11)=0),I80,0)+IF(AND(A110&gt;A81,A110&lt;=A81+'Summary'!$B$10*12,MOD(A110-A81,'Summary'!$B$11)=0),I81,0)+IF(AND(A110&gt;A82,A110&lt;=A82+'Summary'!$B$10*12,MOD(A110-A82,'Summary'!$B$11)=0),I82,0)+IF(AND(A110&gt;A83,A110&lt;=A83+'Summary'!$B$10*12,MOD(A110-A83,'Summary'!$B$11)=0),I83,0)+IF(AND(A110&gt;A84,A110&lt;=A84+'Summary'!$B$10*12,MOD(A110-A84,'Summary'!$B$11)=0),I84,0)+IF(AND(A110&gt;A85,A110&lt;=A85+'Summary'!$B$10*12,MOD(A110-A85,'Summary'!$B$11)=0),I85,0)+IF(AND(A110&gt;A86,A110&lt;=A86+'Summary'!$B$10*12,MOD(A110-A86,'Summary'!$B$11)=0),I86,0)+IF(AND(A110&gt;A87,A110&lt;=A87+'Summary'!$B$10*12,MOD(A110-A87,'Summary'!$B$11)=0),I87,0)+IF(AND(A110&gt;A88,A110&lt;=A88+'Summary'!$B$10*12,MOD(A110-A88,'Summary'!$B$11)=0),I88,0)+IF(AND(A110&gt;A89,A110&lt;=A89+'Summary'!$B$10*12,MOD(A110-A89,'Summary'!$B$11)=0),I89,0)+IF(AND(A110&gt;A90,A110&lt;=A90+'Summary'!$B$10*12,MOD(A110-A90,'Summary'!$B$11)=0),I90,0)+IF(AND(A110&gt;A91,A110&lt;=A91+'Summary'!$B$10*12,MOD(A110-A91,'Summary'!$B$11)=0),I91,0)+IF(AND(A110&gt;A92,A110&lt;=A92+'Summary'!$B$10*12,MOD(A110-A92,'Summary'!$B$11)=0),I92,0)+IF(AND(A110&gt;A93,A110&lt;=A93+'Summary'!$B$10*12,MOD(A110-A93,'Summary'!$B$11)=0),I93,0)+IF(AND(A110&gt;A94,A110&lt;=A94+'Summary'!$B$10*12,MOD(A110-A94,'Summary'!$B$11)=0),I94,0)+IF(AND(A110&gt;A95,A110&lt;=A95+'Summary'!$B$10*12,MOD(A110-A95,'Summary'!$B$11)=0),I95,0)+IF(AND(A110&gt;A96,A110&lt;=A96+'Summary'!$B$10*12,MOD(A110-A96,'Summary'!$B$11)=0),I96,0)+IF(AND(A110&gt;A97,A110&lt;=A97+'Summary'!$B$10*12,MOD(A110-A97,'Summary'!$B$11)=0),I97,0)+IF(AND(A110&gt;A98,A110&lt;=A98+'Summary'!$B$10*12,MOD(A110-A98,'Summary'!$B$11)=0),I98,0)+IF(AND(A110&gt;A99,A110&lt;=A99+'Summary'!$B$10*12,MOD(A110-A99,'Summary'!$B$11)=0),I99,0)+IF(AND(A110&gt;A100,A110&lt;=A100+'Summary'!$B$10*12,MOD(A110-A100,'Summary'!$B$11)=0),I100,0)+IF(AND(A110&gt;A101,A110&lt;=A101+'Summary'!$B$10*12,MOD(A110-A101,'Summary'!$B$11)=0),I101,0)+IF(AND(A110&gt;A102,A110&lt;=A102+'Summary'!$B$10*12,MOD(A110-A102,'Summary'!$B$11)=0),I102,0)+IF(AND(A110&gt;A103,A110&lt;=A103+'Summary'!$B$10*12,MOD(A110-A103,'Summary'!$B$11)=0),I103,0)+IF(AND(A110&gt;A104,A110&lt;=A104+'Summary'!$B$10*12,MOD(A110-A104,'Summary'!$B$11)=0),I104,0)+IF(AND(A110&gt;A105,A110&lt;=A105+'Summary'!$B$10*12,MOD(A110-A105,'Summary'!$B$11)=0),I105,0)+IF(AND(A110&gt;A106,A110&lt;=A106+'Summary'!$B$10*12,MOD(A110-A106,'Summary'!$B$11)=0),I106,0)+IF(AND(A110&gt;A107,A110&lt;=A107+'Summary'!$B$10*12,MOD(A110-A107,'Summary'!$B$11)=0),I107,0)+IF(AND(A110&gt;A108,A110&lt;=A108+'Summary'!$B$10*12,MOD(A110-A108,'Summary'!$B$11)=0),I108,0)+IF(AND(A110&gt;A109,A110&lt;=A109+'Summary'!$B$10*12,MOD(A110-A109,'Summary'!$B$11)=0),I109,0))*'Summary'!$B$8/2</x:f>
        <x:v>286.58061309695734</x:v>
      </x:c>
      <x:c r="G110" s="62" t="n">
        <x:f>IF(A110=A8+'Summary'!$B$10*12,I8,0)+IF(A110=A9+'Summary'!$B$10*12,I9,0)+IF(A110=A10+'Summary'!$B$10*12,I10,0)+IF(A110=A11+'Summary'!$B$10*12,I11,0)+IF(A110=A12+'Summary'!$B$10*12,I12,0)+IF(A110=A13+'Summary'!$B$10*12,I13,0)+IF(A110=A14+'Summary'!$B$10*12,I14,0)+IF(A110=A15+'Summary'!$B$10*12,I15,0)+IF(A110=A16+'Summary'!$B$10*12,I16,0)+IF(A110=A17+'Summary'!$B$10*12,I17,0)+IF(A110=A18+'Summary'!$B$10*12,I18,0)+IF(A110=A19+'Summary'!$B$10*12,I19,0)+IF(A110=A20+'Summary'!$B$10*12,I20,0)+IF(A110=A21+'Summary'!$B$10*12,I21,0)+IF(A110=A22+'Summary'!$B$10*12,I22,0)+IF(A110=A23+'Summary'!$B$10*12,I23,0)+IF(A110=A24+'Summary'!$B$10*12,I24,0)+IF(A110=A25+'Summary'!$B$10*12,I25,0)+IF(A110=A26+'Summary'!$B$10*12,I26,0)+IF(A110=A27+'Summary'!$B$10*12,I27,0)+IF(A110=A28+'Summary'!$B$10*12,I28,0)+IF(A110=A29+'Summary'!$B$10*12,I29,0)+IF(A110=A30+'Summary'!$B$10*12,I30,0)+IF(A110=A31+'Summary'!$B$10*12,I31,0)+IF(A110=A32+'Summary'!$B$10*12,I32,0)+IF(A110=A33+'Summary'!$B$10*12,I33,0)+IF(A110=A34+'Summary'!$B$10*12,I34,0)+IF(A110=A35+'Summary'!$B$10*12,I35,0)+IF(A110=A36+'Summary'!$B$10*12,I36,0)+IF(A110=A37+'Summary'!$B$10*12,I37,0)+IF(A110=A38+'Summary'!$B$10*12,I38,0)+IF(A110=A39+'Summary'!$B$10*12,I39,0)+IF(A110=A40+'Summary'!$B$10*12,I40,0)+IF(A110=A41+'Summary'!$B$10*12,I41,0)+IF(A110=A42+'Summary'!$B$10*12,I42,0)+IF(A110=A43+'Summary'!$B$10*12,I43,0)+IF(A110=A44+'Summary'!$B$10*12,I44,0)+IF(A110=A45+'Summary'!$B$10*12,I45,0)+IF(A110=A46+'Summary'!$B$10*12,I46,0)+IF(A110=A47+'Summary'!$B$10*12,I47,0)+IF(A110=A48+'Summary'!$B$10*12,I48,0)+IF(A110=A49+'Summary'!$B$10*12,I49,0)+IF(A110=A50+'Summary'!$B$10*12,I50,0)+IF(A110=A51+'Summary'!$B$10*12,I51,0)+IF(A110=A52+'Summary'!$B$10*12,I52,0)+IF(A110=A53+'Summary'!$B$10*12,I53,0)+IF(A110=A54+'Summary'!$B$10*12,I54,0)+IF(A110=A55+'Summary'!$B$10*12,I55,0)+IF(A110=A56+'Summary'!$B$10*12,I56,0)+IF(A110=A57+'Summary'!$B$10*12,I57,0)+IF(A110=A58+'Summary'!$B$10*12,I58,0)+IF(A110=A59+'Summary'!$B$10*12,I59,0)+IF(A110=A60+'Summary'!$B$10*12,I60,0)+IF(A110=A61+'Summary'!$B$10*12,I61,0)+IF(A110=A62+'Summary'!$B$10*12,I62,0)+IF(A110=A63+'Summary'!$B$10*12,I63,0)+IF(A110=A64+'Summary'!$B$10*12,I64,0)+IF(A110=A65+'Summary'!$B$10*12,I65,0)+IF(A110=A66+'Summary'!$B$10*12,I66,0)+IF(A110=A67+'Summary'!$B$10*12,I67,0)+IF(A110=A68+'Summary'!$B$10*12,I68,0)+IF(A110=A69+'Summary'!$B$10*12,I69,0)+IF(A110=A70+'Summary'!$B$10*12,I70,0)+IF(A110=A71+'Summary'!$B$10*12,I71,0)+IF(A110=A72+'Summary'!$B$10*12,I72,0)+IF(A110=A73+'Summary'!$B$10*12,I73,0)+IF(A110=A74+'Summary'!$B$10*12,I74,0)+IF(A110=A75+'Summary'!$B$10*12,I75,0)+IF(A110=A76+'Summary'!$B$10*12,I76,0)+IF(A110=A77+'Summary'!$B$10*12,I77,0)+IF(A110=A78+'Summary'!$B$10*12,I78,0)+IF(A110=A79+'Summary'!$B$10*12,I79,0)+IF(A110=A80+'Summary'!$B$10*12,I80,0)+IF(A110=A81+'Summary'!$B$10*12,I81,0)+IF(A110=A82+'Summary'!$B$10*12,I82,0)+IF(A110=A83+'Summary'!$B$10*12,I83,0)+IF(A110=A84+'Summary'!$B$10*12,I84,0)+IF(A110=A85+'Summary'!$B$10*12,I85,0)+IF(A110=A86+'Summary'!$B$10*12,I86,0)+IF(A110=A87+'Summary'!$B$10*12,I87,0)+IF(A110=A88+'Summary'!$B$10*12,I88,0)+IF(A110=A89+'Summary'!$B$10*12,I89,0)+IF(A110=A90+'Summary'!$B$10*12,I90,0)+IF(A110=A91+'Summary'!$B$10*12,I91,0)+IF(A110=A92+'Summary'!$B$10*12,I92,0)+IF(A110=A93+'Summary'!$B$10*12,I93,0)+IF(A110=A94+'Summary'!$B$10*12,I94,0)+IF(A110=A95+'Summary'!$B$10*12,I95,0)+IF(A110=A96+'Summary'!$B$10*12,I96,0)+IF(A110=A97+'Summary'!$B$10*12,I97,0)+IF(A110=A98+'Summary'!$B$10*12,I98,0)+IF(A110=A99+'Summary'!$B$10*12,I99,0)+IF(A110=A100+'Summary'!$B$10*12,I100,0)+IF(A110=A101+'Summary'!$B$10*12,I101,0)+IF(A110=A102+'Summary'!$B$10*12,I102,0)+IF(A110=A103+'Summary'!$B$10*12,I103,0)+IF(A110=A104+'Summary'!$B$10*12,I104,0)+IF(A110=A105+'Summary'!$B$10*12,I105,0)+IF(A110=A106+'Summary'!$B$10*12,I106,0)+IF(A110=A107+'Summary'!$B$10*12,I107,0)+IF(A110=A108+'Summary'!$B$10*12,I108,0)+IF(A110=A109+'Summary'!$B$10*12,I109,0)</x:f>
        <x:v>321.51656409609495</x:v>
      </x:c>
      <x:c r="H110" s="62" t="n">
        <x:f>E110+D110+F110+G110</x:f>
        <x:v>708.0971771930523</x:v>
      </x:c>
      <x:c r="I110" s="62" t="n">
        <x:f>IF(B110,IF(H110&gt;='Summary'!$B$12,H110,0),0)</x:f>
        <x:v>708.0971771930523</x:v>
      </x:c>
      <x:c r="J110" s="62" t="n">
        <x:f>H110-I110</x:f>
        <x:v>0</x:v>
      </x:c>
      <x:c r="K110" s="63" t="n">
        <x:f>J110+IF(A8+'Summary'!$B$10*12&gt;A110,I8,0)+IF(A9+'Summary'!$B$10*12&gt;A110,I9,0)+IF(A10+'Summary'!$B$10*12&gt;A110,I10,0)+IF(A11+'Summary'!$B$10*12&gt;A110,I11,0)+IF(A12+'Summary'!$B$10*12&gt;A110,I12,0)+IF(A13+'Summary'!$B$10*12&gt;A110,I13,0)+IF(A14+'Summary'!$B$10*12&gt;A110,I14,0)+IF(A15+'Summary'!$B$10*12&gt;A110,I15,0)+IF(A16+'Summary'!$B$10*12&gt;A110,I16,0)+IF(A17+'Summary'!$B$10*12&gt;A110,I17,0)+IF(A18+'Summary'!$B$10*12&gt;A110,I18,0)+IF(A19+'Summary'!$B$10*12&gt;A110,I19,0)+IF(A20+'Summary'!$B$10*12&gt;A110,I20,0)+IF(A21+'Summary'!$B$10*12&gt;A110,I21,0)+IF(A22+'Summary'!$B$10*12&gt;A110,I22,0)+IF(A23+'Summary'!$B$10*12&gt;A110,I23,0)+IF(A24+'Summary'!$B$10*12&gt;A110,I24,0)+IF(A25+'Summary'!$B$10*12&gt;A110,I25,0)+IF(A26+'Summary'!$B$10*12&gt;A110,I26,0)+IF(A27+'Summary'!$B$10*12&gt;A110,I27,0)+IF(A28+'Summary'!$B$10*12&gt;A110,I28,0)+IF(A29+'Summary'!$B$10*12&gt;A110,I29,0)+IF(A30+'Summary'!$B$10*12&gt;A110,I30,0)+IF(A31+'Summary'!$B$10*12&gt;A110,I31,0)+IF(A32+'Summary'!$B$10*12&gt;A110,I32,0)+IF(A33+'Summary'!$B$10*12&gt;A110,I33,0)+IF(A34+'Summary'!$B$10*12&gt;A110,I34,0)+IF(A35+'Summary'!$B$10*12&gt;A110,I35,0)+IF(A36+'Summary'!$B$10*12&gt;A110,I36,0)+IF(A37+'Summary'!$B$10*12&gt;A110,I37,0)+IF(A38+'Summary'!$B$10*12&gt;A110,I38,0)+IF(A39+'Summary'!$B$10*12&gt;A110,I39,0)+IF(A40+'Summary'!$B$10*12&gt;A110,I40,0)+IF(A41+'Summary'!$B$10*12&gt;A110,I41,0)+IF(A42+'Summary'!$B$10*12&gt;A110,I42,0)+IF(A43+'Summary'!$B$10*12&gt;A110,I43,0)+IF(A44+'Summary'!$B$10*12&gt;A110,I44,0)+IF(A45+'Summary'!$B$10*12&gt;A110,I45,0)+IF(A46+'Summary'!$B$10*12&gt;A110,I46,0)+IF(A47+'Summary'!$B$10*12&gt;A110,I47,0)+IF(A48+'Summary'!$B$10*12&gt;A110,I48,0)+IF(A49+'Summary'!$B$10*12&gt;A110,I49,0)+IF(A50+'Summary'!$B$10*12&gt;A110,I50,0)+IF(A51+'Summary'!$B$10*12&gt;A110,I51,0)+IF(A52+'Summary'!$B$10*12&gt;A110,I52,0)+IF(A53+'Summary'!$B$10*12&gt;A110,I53,0)+IF(A54+'Summary'!$B$10*12&gt;A110,I54,0)+IF(A55+'Summary'!$B$10*12&gt;A110,I55,0)+IF(A56+'Summary'!$B$10*12&gt;A110,I56,0)+IF(A57+'Summary'!$B$10*12&gt;A110,I57,0)+IF(A58+'Summary'!$B$10*12&gt;A110,I58,0)+IF(A59+'Summary'!$B$10*12&gt;A110,I59,0)+IF(A60+'Summary'!$B$10*12&gt;A110,I60,0)+IF(A61+'Summary'!$B$10*12&gt;A110,I61,0)+IF(A62+'Summary'!$B$10*12&gt;A110,I62,0)+IF(A63+'Summary'!$B$10*12&gt;A110,I63,0)+IF(A64+'Summary'!$B$10*12&gt;A110,I64,0)+IF(A65+'Summary'!$B$10*12&gt;A110,I65,0)+IF(A66+'Summary'!$B$10*12&gt;A110,I66,0)+IF(A67+'Summary'!$B$10*12&gt;A110,I67,0)+IF(A68+'Summary'!$B$10*12&gt;A110,I68,0)+IF(A69+'Summary'!$B$10*12&gt;A110,I69,0)+IF(A70+'Summary'!$B$10*12&gt;A110,I70,0)+IF(A71+'Summary'!$B$10*12&gt;A110,I71,0)+IF(A72+'Summary'!$B$10*12&gt;A110,I72,0)+IF(A73+'Summary'!$B$10*12&gt;A110,I73,0)+IF(A74+'Summary'!$B$10*12&gt;A110,I74,0)+IF(A75+'Summary'!$B$10*12&gt;A110,I75,0)+IF(A76+'Summary'!$B$10*12&gt;A110,I76,0)+IF(A77+'Summary'!$B$10*12&gt;A110,I77,0)+IF(A78+'Summary'!$B$10*12&gt;A110,I78,0)+IF(A79+'Summary'!$B$10*12&gt;A110,I79,0)+IF(A80+'Summary'!$B$10*12&gt;A110,I80,0)+IF(A81+'Summary'!$B$10*12&gt;A110,I81,0)+IF(A82+'Summary'!$B$10*12&gt;A110,I82,0)+IF(A83+'Summary'!$B$10*12&gt;A110,I83,0)+IF(A84+'Summary'!$B$10*12&gt;A110,I84,0)+IF(A85+'Summary'!$B$10*12&gt;A110,I85,0)+IF(A86+'Summary'!$B$10*12&gt;A110,I86,0)+IF(A87+'Summary'!$B$10*12&gt;A110,I87,0)+IF(A88+'Summary'!$B$10*12&gt;A110,I88,0)+IF(A89+'Summary'!$B$10*12&gt;A110,I89,0)+IF(A90+'Summary'!$B$10*12&gt;A110,I90,0)+IF(A91+'Summary'!$B$10*12&gt;A110,I91,0)+IF(A92+'Summary'!$B$10*12&gt;A110,I92,0)+IF(A93+'Summary'!$B$10*12&gt;A110,I93,0)+IF(A94+'Summary'!$B$10*12&gt;A110,I94,0)+IF(A95+'Summary'!$B$10*12&gt;A110,I95,0)+IF(A96+'Summary'!$B$10*12&gt;A110,I96,0)+IF(A97+'Summary'!$B$10*12&gt;A110,I97,0)+IF(A98+'Summary'!$B$10*12&gt;A110,I98,0)+IF(A99+'Summary'!$B$10*12&gt;A110,I99,0)+IF(A100+'Summary'!$B$10*12&gt;A110,I100,0)+IF(A101+'Summary'!$B$10*12&gt;A110,I101,0)+IF(A102+'Summary'!$B$10*12&gt;A110,I102,0)+IF(A103+'Summary'!$B$10*12&gt;A110,I103,0)+IF(A104+'Summary'!$B$10*12&gt;A110,I104,0)+IF(A105+'Summary'!$B$10*12&gt;A110,I105,0)+IF(A106+'Summary'!$B$10*12&gt;A110,I106,0)+IF(A107+'Summary'!$B$10*12&gt;A110,I107,0)+IF(A108+'Summary'!$B$10*12&gt;A110,I108,0)+IF(A109+'Summary'!$B$10*12&gt;A110,I109,0)+IF(A110+'Summary'!$B$10*12&gt;A110,I110,0)</x:f>
        <x:v>25684.608839252767</x:v>
      </x:c>
    </x:row>
    <x:row r="111">
      <x:c r="A111" s="55" t="n">
        <x:v>103</x:v>
      </x:c>
      <x:c r="B111" s="71" t="b">
        <x:f>A111&lt;='Summary'!$B$9*12</x:f>
        <x:v>1</x:v>
      </x:c>
      <x:c r="C111" s="62" t="n">
        <x:f>IF(A111=0,IF('Summary'!$B$6&gt;=5,'Summary'!$B$6,0),C110)+IF(A111&lt;'Summary'!$B$9*12,IF('Summary'!$B$7&gt;=5,'Summary'!$B$7,0),0)</x:f>
        <x:v>20400</x:v>
      </x:c>
      <x:c r="D111" s="62" t="n">
        <x:f>IF(A111=0,IF('Summary'!$B$6&gt;=5,'Summary'!$B$6,0),0)+IF(A111&lt;'Summary'!$B$9*12,IF('Summary'!$B$7&gt;=5,'Summary'!$B$7,0),0)</x:f>
        <x:v>100</x:v>
      </x:c>
      <x:c r="E111" s="62" t="n">
        <x:f>J110</x:f>
        <x:v>0</x:v>
      </x:c>
      <x:c r="F111" s="62" t="n">
        <x:f>(IF(AND(A111&gt;A8,A111&lt;=A8+'Summary'!$B$10*12,MOD(A111-A8,'Summary'!$B$11)=0),I8,0)+IF(AND(A111&gt;A9,A111&lt;=A9+'Summary'!$B$10*12,MOD(A111-A9,'Summary'!$B$11)=0),I9,0)+IF(AND(A111&gt;A10,A111&lt;=A10+'Summary'!$B$10*12,MOD(A111-A10,'Summary'!$B$11)=0),I10,0)+IF(AND(A111&gt;A11,A111&lt;=A11+'Summary'!$B$10*12,MOD(A111-A11,'Summary'!$B$11)=0),I11,0)+IF(AND(A111&gt;A12,A111&lt;=A12+'Summary'!$B$10*12,MOD(A111-A12,'Summary'!$B$11)=0),I12,0)+IF(AND(A111&gt;A13,A111&lt;=A13+'Summary'!$B$10*12,MOD(A111-A13,'Summary'!$B$11)=0),I13,0)+IF(AND(A111&gt;A14,A111&lt;=A14+'Summary'!$B$10*12,MOD(A111-A14,'Summary'!$B$11)=0),I14,0)+IF(AND(A111&gt;A15,A111&lt;=A15+'Summary'!$B$10*12,MOD(A111-A15,'Summary'!$B$11)=0),I15,0)+IF(AND(A111&gt;A16,A111&lt;=A16+'Summary'!$B$10*12,MOD(A111-A16,'Summary'!$B$11)=0),I16,0)+IF(AND(A111&gt;A17,A111&lt;=A17+'Summary'!$B$10*12,MOD(A111-A17,'Summary'!$B$11)=0),I17,0)+IF(AND(A111&gt;A18,A111&lt;=A18+'Summary'!$B$10*12,MOD(A111-A18,'Summary'!$B$11)=0),I18,0)+IF(AND(A111&gt;A19,A111&lt;=A19+'Summary'!$B$10*12,MOD(A111-A19,'Summary'!$B$11)=0),I19,0)+IF(AND(A111&gt;A20,A111&lt;=A20+'Summary'!$B$10*12,MOD(A111-A20,'Summary'!$B$11)=0),I20,0)+IF(AND(A111&gt;A21,A111&lt;=A21+'Summary'!$B$10*12,MOD(A111-A21,'Summary'!$B$11)=0),I21,0)+IF(AND(A111&gt;A22,A111&lt;=A22+'Summary'!$B$10*12,MOD(A111-A22,'Summary'!$B$11)=0),I22,0)+IF(AND(A111&gt;A23,A111&lt;=A23+'Summary'!$B$10*12,MOD(A111-A23,'Summary'!$B$11)=0),I23,0)+IF(AND(A111&gt;A24,A111&lt;=A24+'Summary'!$B$10*12,MOD(A111-A24,'Summary'!$B$11)=0),I24,0)+IF(AND(A111&gt;A25,A111&lt;=A25+'Summary'!$B$10*12,MOD(A111-A25,'Summary'!$B$11)=0),I25,0)+IF(AND(A111&gt;A26,A111&lt;=A26+'Summary'!$B$10*12,MOD(A111-A26,'Summary'!$B$11)=0),I26,0)+IF(AND(A111&gt;A27,A111&lt;=A27+'Summary'!$B$10*12,MOD(A111-A27,'Summary'!$B$11)=0),I27,0)+IF(AND(A111&gt;A28,A111&lt;=A28+'Summary'!$B$10*12,MOD(A111-A28,'Summary'!$B$11)=0),I28,0)+IF(AND(A111&gt;A29,A111&lt;=A29+'Summary'!$B$10*12,MOD(A111-A29,'Summary'!$B$11)=0),I29,0)+IF(AND(A111&gt;A30,A111&lt;=A30+'Summary'!$B$10*12,MOD(A111-A30,'Summary'!$B$11)=0),I30,0)+IF(AND(A111&gt;A31,A111&lt;=A31+'Summary'!$B$10*12,MOD(A111-A31,'Summary'!$B$11)=0),I31,0)+IF(AND(A111&gt;A32,A111&lt;=A32+'Summary'!$B$10*12,MOD(A111-A32,'Summary'!$B$11)=0),I32,0)+IF(AND(A111&gt;A33,A111&lt;=A33+'Summary'!$B$10*12,MOD(A111-A33,'Summary'!$B$11)=0),I33,0)+IF(AND(A111&gt;A34,A111&lt;=A34+'Summary'!$B$10*12,MOD(A111-A34,'Summary'!$B$11)=0),I34,0)+IF(AND(A111&gt;A35,A111&lt;=A35+'Summary'!$B$10*12,MOD(A111-A35,'Summary'!$B$11)=0),I35,0)+IF(AND(A111&gt;A36,A111&lt;=A36+'Summary'!$B$10*12,MOD(A111-A36,'Summary'!$B$11)=0),I36,0)+IF(AND(A111&gt;A37,A111&lt;=A37+'Summary'!$B$10*12,MOD(A111-A37,'Summary'!$B$11)=0),I37,0)+IF(AND(A111&gt;A38,A111&lt;=A38+'Summary'!$B$10*12,MOD(A111-A38,'Summary'!$B$11)=0),I38,0)+IF(AND(A111&gt;A39,A111&lt;=A39+'Summary'!$B$10*12,MOD(A111-A39,'Summary'!$B$11)=0),I39,0)+IF(AND(A111&gt;A40,A111&lt;=A40+'Summary'!$B$10*12,MOD(A111-A40,'Summary'!$B$11)=0),I40,0)+IF(AND(A111&gt;A41,A111&lt;=A41+'Summary'!$B$10*12,MOD(A111-A41,'Summary'!$B$11)=0),I41,0)+IF(AND(A111&gt;A42,A111&lt;=A42+'Summary'!$B$10*12,MOD(A111-A42,'Summary'!$B$11)=0),I42,0)+IF(AND(A111&gt;A43,A111&lt;=A43+'Summary'!$B$10*12,MOD(A111-A43,'Summary'!$B$11)=0),I43,0)+IF(AND(A111&gt;A44,A111&lt;=A44+'Summary'!$B$10*12,MOD(A111-A44,'Summary'!$B$11)=0),I44,0)+IF(AND(A111&gt;A45,A111&lt;=A45+'Summary'!$B$10*12,MOD(A111-A45,'Summary'!$B$11)=0),I45,0)+IF(AND(A111&gt;A46,A111&lt;=A46+'Summary'!$B$10*12,MOD(A111-A46,'Summary'!$B$11)=0),I46,0)+IF(AND(A111&gt;A47,A111&lt;=A47+'Summary'!$B$10*12,MOD(A111-A47,'Summary'!$B$11)=0),I47,0)+IF(AND(A111&gt;A48,A111&lt;=A48+'Summary'!$B$10*12,MOD(A111-A48,'Summary'!$B$11)=0),I48,0)+IF(AND(A111&gt;A49,A111&lt;=A49+'Summary'!$B$10*12,MOD(A111-A49,'Summary'!$B$11)=0),I49,0)+IF(AND(A111&gt;A50,A111&lt;=A50+'Summary'!$B$10*12,MOD(A111-A50,'Summary'!$B$11)=0),I50,0)+IF(AND(A111&gt;A51,A111&lt;=A51+'Summary'!$B$10*12,MOD(A111-A51,'Summary'!$B$11)=0),I51,0)+IF(AND(A111&gt;A52,A111&lt;=A52+'Summary'!$B$10*12,MOD(A111-A52,'Summary'!$B$11)=0),I52,0)+IF(AND(A111&gt;A53,A111&lt;=A53+'Summary'!$B$10*12,MOD(A111-A53,'Summary'!$B$11)=0),I53,0)+IF(AND(A111&gt;A54,A111&lt;=A54+'Summary'!$B$10*12,MOD(A111-A54,'Summary'!$B$11)=0),I54,0)+IF(AND(A111&gt;A55,A111&lt;=A55+'Summary'!$B$10*12,MOD(A111-A55,'Summary'!$B$11)=0),I55,0)+IF(AND(A111&gt;A56,A111&lt;=A56+'Summary'!$B$10*12,MOD(A111-A56,'Summary'!$B$11)=0),I56,0)+IF(AND(A111&gt;A57,A111&lt;=A57+'Summary'!$B$10*12,MOD(A111-A57,'Summary'!$B$11)=0),I57,0)+IF(AND(A111&gt;A58,A111&lt;=A58+'Summary'!$B$10*12,MOD(A111-A58,'Summary'!$B$11)=0),I58,0)+IF(AND(A111&gt;A59,A111&lt;=A59+'Summary'!$B$10*12,MOD(A111-A59,'Summary'!$B$11)=0),I59,0)+IF(AND(A111&gt;A60,A111&lt;=A60+'Summary'!$B$10*12,MOD(A111-A60,'Summary'!$B$11)=0),I60,0)+IF(AND(A111&gt;A61,A111&lt;=A61+'Summary'!$B$10*12,MOD(A111-A61,'Summary'!$B$11)=0),I61,0)+IF(AND(A111&gt;A62,A111&lt;=A62+'Summary'!$B$10*12,MOD(A111-A62,'Summary'!$B$11)=0),I62,0)+IF(AND(A111&gt;A63,A111&lt;=A63+'Summary'!$B$10*12,MOD(A111-A63,'Summary'!$B$11)=0),I63,0)+IF(AND(A111&gt;A64,A111&lt;=A64+'Summary'!$B$10*12,MOD(A111-A64,'Summary'!$B$11)=0),I64,0)+IF(AND(A111&gt;A65,A111&lt;=A65+'Summary'!$B$10*12,MOD(A111-A65,'Summary'!$B$11)=0),I65,0)+IF(AND(A111&gt;A66,A111&lt;=A66+'Summary'!$B$10*12,MOD(A111-A66,'Summary'!$B$11)=0),I66,0)+IF(AND(A111&gt;A67,A111&lt;=A67+'Summary'!$B$10*12,MOD(A111-A67,'Summary'!$B$11)=0),I67,0)+IF(AND(A111&gt;A68,A111&lt;=A68+'Summary'!$B$10*12,MOD(A111-A68,'Summary'!$B$11)=0),I68,0)+IF(AND(A111&gt;A69,A111&lt;=A69+'Summary'!$B$10*12,MOD(A111-A69,'Summary'!$B$11)=0),I69,0)+IF(AND(A111&gt;A70,A111&lt;=A70+'Summary'!$B$10*12,MOD(A111-A70,'Summary'!$B$11)=0),I70,0)+IF(AND(A111&gt;A71,A111&lt;=A71+'Summary'!$B$10*12,MOD(A111-A71,'Summary'!$B$11)=0),I71,0)+IF(AND(A111&gt;A72,A111&lt;=A72+'Summary'!$B$10*12,MOD(A111-A72,'Summary'!$B$11)=0),I72,0)+IF(AND(A111&gt;A73,A111&lt;=A73+'Summary'!$B$10*12,MOD(A111-A73,'Summary'!$B$11)=0),I73,0)+IF(AND(A111&gt;A74,A111&lt;=A74+'Summary'!$B$10*12,MOD(A111-A74,'Summary'!$B$11)=0),I74,0)+IF(AND(A111&gt;A75,A111&lt;=A75+'Summary'!$B$10*12,MOD(A111-A75,'Summary'!$B$11)=0),I75,0)+IF(AND(A111&gt;A76,A111&lt;=A76+'Summary'!$B$10*12,MOD(A111-A76,'Summary'!$B$11)=0),I76,0)+IF(AND(A111&gt;A77,A111&lt;=A77+'Summary'!$B$10*12,MOD(A111-A77,'Summary'!$B$11)=0),I77,0)+IF(AND(A111&gt;A78,A111&lt;=A78+'Summary'!$B$10*12,MOD(A111-A78,'Summary'!$B$11)=0),I78,0)+IF(AND(A111&gt;A79,A111&lt;=A79+'Summary'!$B$10*12,MOD(A111-A79,'Summary'!$B$11)=0),I79,0)+IF(AND(A111&gt;A80,A111&lt;=A80+'Summary'!$B$10*12,MOD(A111-A80,'Summary'!$B$11)=0),I80,0)+IF(AND(A111&gt;A81,A111&lt;=A81+'Summary'!$B$10*12,MOD(A111-A81,'Summary'!$B$11)=0),I81,0)+IF(AND(A111&gt;A82,A111&lt;=A82+'Summary'!$B$10*12,MOD(A111-A82,'Summary'!$B$11)=0),I82,0)+IF(AND(A111&gt;A83,A111&lt;=A83+'Summary'!$B$10*12,MOD(A111-A83,'Summary'!$B$11)=0),I83,0)+IF(AND(A111&gt;A84,A111&lt;=A84+'Summary'!$B$10*12,MOD(A111-A84,'Summary'!$B$11)=0),I84,0)+IF(AND(A111&gt;A85,A111&lt;=A85+'Summary'!$B$10*12,MOD(A111-A85,'Summary'!$B$11)=0),I85,0)+IF(AND(A111&gt;A86,A111&lt;=A86+'Summary'!$B$10*12,MOD(A111-A86,'Summary'!$B$11)=0),I86,0)+IF(AND(A111&gt;A87,A111&lt;=A87+'Summary'!$B$10*12,MOD(A111-A87,'Summary'!$B$11)=0),I87,0)+IF(AND(A111&gt;A88,A111&lt;=A88+'Summary'!$B$10*12,MOD(A111-A88,'Summary'!$B$11)=0),I88,0)+IF(AND(A111&gt;A89,A111&lt;=A89+'Summary'!$B$10*12,MOD(A111-A89,'Summary'!$B$11)=0),I89,0)+IF(AND(A111&gt;A90,A111&lt;=A90+'Summary'!$B$10*12,MOD(A111-A90,'Summary'!$B$11)=0),I90,0)+IF(AND(A111&gt;A91,A111&lt;=A91+'Summary'!$B$10*12,MOD(A111-A91,'Summary'!$B$11)=0),I91,0)+IF(AND(A111&gt;A92,A111&lt;=A92+'Summary'!$B$10*12,MOD(A111-A92,'Summary'!$B$11)=0),I92,0)+IF(AND(A111&gt;A93,A111&lt;=A93+'Summary'!$B$10*12,MOD(A111-A93,'Summary'!$B$11)=0),I93,0)+IF(AND(A111&gt;A94,A111&lt;=A94+'Summary'!$B$10*12,MOD(A111-A94,'Summary'!$B$11)=0),I94,0)+IF(AND(A111&gt;A95,A111&lt;=A95+'Summary'!$B$10*12,MOD(A111-A95,'Summary'!$B$11)=0),I95,0)+IF(AND(A111&gt;A96,A111&lt;=A96+'Summary'!$B$10*12,MOD(A111-A96,'Summary'!$B$11)=0),I96,0)+IF(AND(A111&gt;A97,A111&lt;=A97+'Summary'!$B$10*12,MOD(A111-A97,'Summary'!$B$11)=0),I97,0)+IF(AND(A111&gt;A98,A111&lt;=A98+'Summary'!$B$10*12,MOD(A111-A98,'Summary'!$B$11)=0),I98,0)+IF(AND(A111&gt;A99,A111&lt;=A99+'Summary'!$B$10*12,MOD(A111-A99,'Summary'!$B$11)=0),I99,0)+IF(AND(A111&gt;A100,A111&lt;=A100+'Summary'!$B$10*12,MOD(A111-A100,'Summary'!$B$11)=0),I100,0)+IF(AND(A111&gt;A101,A111&lt;=A101+'Summary'!$B$10*12,MOD(A111-A101,'Summary'!$B$11)=0),I101,0)+IF(AND(A111&gt;A102,A111&lt;=A102+'Summary'!$B$10*12,MOD(A111-A102,'Summary'!$B$11)=0),I102,0)+IF(AND(A111&gt;A103,A111&lt;=A103+'Summary'!$B$10*12,MOD(A111-A103,'Summary'!$B$11)=0),I103,0)+IF(AND(A111&gt;A104,A111&lt;=A104+'Summary'!$B$10*12,MOD(A111-A104,'Summary'!$B$11)=0),I104,0)+IF(AND(A111&gt;A105,A111&lt;=A105+'Summary'!$B$10*12,MOD(A111-A105,'Summary'!$B$11)=0),I105,0)+IF(AND(A111&gt;A106,A111&lt;=A106+'Summary'!$B$10*12,MOD(A111-A106,'Summary'!$B$11)=0),I106,0)+IF(AND(A111&gt;A107,A111&lt;=A107+'Summary'!$B$10*12,MOD(A111-A107,'Summary'!$B$11)=0),I107,0)+IF(AND(A111&gt;A108,A111&lt;=A108+'Summary'!$B$10*12,MOD(A111-A108,'Summary'!$B$11)=0),I108,0)+IF(AND(A111&gt;A109,A111&lt;=A109+'Summary'!$B$10*12,MOD(A111-A109,'Summary'!$B$11)=0),I109,0)+IF(AND(A111&gt;A110,A111&lt;=A110+'Summary'!$B$10*12,MOD(A111-A110,'Summary'!$B$11)=0),I110,0))*'Summary'!$B$8/2</x:f>
        <x:v>36.792542381908156</x:v>
      </x:c>
      <x:c r="G111" s="62" t="n">
        <x:f>IF(A111=A8+'Summary'!$B$10*12,I8,0)+IF(A111=A9+'Summary'!$B$10*12,I9,0)+IF(A111=A10+'Summary'!$B$10*12,I10,0)+IF(A111=A11+'Summary'!$B$10*12,I11,0)+IF(A111=A12+'Summary'!$B$10*12,I12,0)+IF(A111=A13+'Summary'!$B$10*12,I13,0)+IF(A111=A14+'Summary'!$B$10*12,I14,0)+IF(A111=A15+'Summary'!$B$10*12,I15,0)+IF(A111=A16+'Summary'!$B$10*12,I16,0)+IF(A111=A17+'Summary'!$B$10*12,I17,0)+IF(A111=A18+'Summary'!$B$10*12,I18,0)+IF(A111=A19+'Summary'!$B$10*12,I19,0)+IF(A111=A20+'Summary'!$B$10*12,I20,0)+IF(A111=A21+'Summary'!$B$10*12,I21,0)+IF(A111=A22+'Summary'!$B$10*12,I22,0)+IF(A111=A23+'Summary'!$B$10*12,I23,0)+IF(A111=A24+'Summary'!$B$10*12,I24,0)+IF(A111=A25+'Summary'!$B$10*12,I25,0)+IF(A111=A26+'Summary'!$B$10*12,I26,0)+IF(A111=A27+'Summary'!$B$10*12,I27,0)+IF(A111=A28+'Summary'!$B$10*12,I28,0)+IF(A111=A29+'Summary'!$B$10*12,I29,0)+IF(A111=A30+'Summary'!$B$10*12,I30,0)+IF(A111=A31+'Summary'!$B$10*12,I31,0)+IF(A111=A32+'Summary'!$B$10*12,I32,0)+IF(A111=A33+'Summary'!$B$10*12,I33,0)+IF(A111=A34+'Summary'!$B$10*12,I34,0)+IF(A111=A35+'Summary'!$B$10*12,I35,0)+IF(A111=A36+'Summary'!$B$10*12,I36,0)+IF(A111=A37+'Summary'!$B$10*12,I37,0)+IF(A111=A38+'Summary'!$B$10*12,I38,0)+IF(A111=A39+'Summary'!$B$10*12,I39,0)+IF(A111=A40+'Summary'!$B$10*12,I40,0)+IF(A111=A41+'Summary'!$B$10*12,I41,0)+IF(A111=A42+'Summary'!$B$10*12,I42,0)+IF(A111=A43+'Summary'!$B$10*12,I43,0)+IF(A111=A44+'Summary'!$B$10*12,I44,0)+IF(A111=A45+'Summary'!$B$10*12,I45,0)+IF(A111=A46+'Summary'!$B$10*12,I46,0)+IF(A111=A47+'Summary'!$B$10*12,I47,0)+IF(A111=A48+'Summary'!$B$10*12,I48,0)+IF(A111=A49+'Summary'!$B$10*12,I49,0)+IF(A111=A50+'Summary'!$B$10*12,I50,0)+IF(A111=A51+'Summary'!$B$10*12,I51,0)+IF(A111=A52+'Summary'!$B$10*12,I52,0)+IF(A111=A53+'Summary'!$B$10*12,I53,0)+IF(A111=A54+'Summary'!$B$10*12,I54,0)+IF(A111=A55+'Summary'!$B$10*12,I55,0)+IF(A111=A56+'Summary'!$B$10*12,I56,0)+IF(A111=A57+'Summary'!$B$10*12,I57,0)+IF(A111=A58+'Summary'!$B$10*12,I58,0)+IF(A111=A59+'Summary'!$B$10*12,I59,0)+IF(A111=A60+'Summary'!$B$10*12,I60,0)+IF(A111=A61+'Summary'!$B$10*12,I61,0)+IF(A111=A62+'Summary'!$B$10*12,I62,0)+IF(A111=A63+'Summary'!$B$10*12,I63,0)+IF(A111=A64+'Summary'!$B$10*12,I64,0)+IF(A111=A65+'Summary'!$B$10*12,I65,0)+IF(A111=A66+'Summary'!$B$10*12,I66,0)+IF(A111=A67+'Summary'!$B$10*12,I67,0)+IF(A111=A68+'Summary'!$B$10*12,I68,0)+IF(A111=A69+'Summary'!$B$10*12,I69,0)+IF(A111=A70+'Summary'!$B$10*12,I70,0)+IF(A111=A71+'Summary'!$B$10*12,I71,0)+IF(A111=A72+'Summary'!$B$10*12,I72,0)+IF(A111=A73+'Summary'!$B$10*12,I73,0)+IF(A111=A74+'Summary'!$B$10*12,I74,0)+IF(A111=A75+'Summary'!$B$10*12,I75,0)+IF(A111=A76+'Summary'!$B$10*12,I76,0)+IF(A111=A77+'Summary'!$B$10*12,I77,0)+IF(A111=A78+'Summary'!$B$10*12,I78,0)+IF(A111=A79+'Summary'!$B$10*12,I79,0)+IF(A111=A80+'Summary'!$B$10*12,I80,0)+IF(A111=A81+'Summary'!$B$10*12,I81,0)+IF(A111=A82+'Summary'!$B$10*12,I82,0)+IF(A111=A83+'Summary'!$B$10*12,I83,0)+IF(A111=A84+'Summary'!$B$10*12,I84,0)+IF(A111=A85+'Summary'!$B$10*12,I85,0)+IF(A111=A86+'Summary'!$B$10*12,I86,0)+IF(A111=A87+'Summary'!$B$10*12,I87,0)+IF(A111=A88+'Summary'!$B$10*12,I88,0)+IF(A111=A89+'Summary'!$B$10*12,I89,0)+IF(A111=A90+'Summary'!$B$10*12,I90,0)+IF(A111=A91+'Summary'!$B$10*12,I91,0)+IF(A111=A92+'Summary'!$B$10*12,I92,0)+IF(A111=A93+'Summary'!$B$10*12,I93,0)+IF(A111=A94+'Summary'!$B$10*12,I94,0)+IF(A111=A95+'Summary'!$B$10*12,I95,0)+IF(A111=A96+'Summary'!$B$10*12,I96,0)+IF(A111=A97+'Summary'!$B$10*12,I97,0)+IF(A111=A98+'Summary'!$B$10*12,I98,0)+IF(A111=A99+'Summary'!$B$10*12,I99,0)+IF(A111=A100+'Summary'!$B$10*12,I100,0)+IF(A111=A101+'Summary'!$B$10*12,I101,0)+IF(A111=A102+'Summary'!$B$10*12,I102,0)+IF(A111=A103+'Summary'!$B$10*12,I103,0)+IF(A111=A104+'Summary'!$B$10*12,I104,0)+IF(A111=A105+'Summary'!$B$10*12,I105,0)+IF(A111=A106+'Summary'!$B$10*12,I106,0)+IF(A111=A107+'Summary'!$B$10*12,I107,0)+IF(A111=A108+'Summary'!$B$10*12,I108,0)+IF(A111=A109+'Summary'!$B$10*12,I109,0)+IF(A111=A110+'Summary'!$B$10*12,I110,0)</x:f>
        <x:v>113.76946160921362</x:v>
      </x:c>
      <x:c r="H111" s="62" t="n">
        <x:f>E111+D111+F111+G111</x:f>
        <x:v>250.5620039911218</x:v>
      </x:c>
      <x:c r="I111" s="62" t="n">
        <x:f>IF(B111,IF(H111&gt;='Summary'!$B$12,H111,0),0)</x:f>
        <x:v>250.5620039911218</x:v>
      </x:c>
      <x:c r="J111" s="62" t="n">
        <x:f>H111-I111</x:f>
        <x:v>0</x:v>
      </x:c>
      <x:c r="K111" s="63" t="n">
        <x:f>J111+IF(A8+'Summary'!$B$10*12&gt;A111,I8,0)+IF(A9+'Summary'!$B$10*12&gt;A111,I9,0)+IF(A10+'Summary'!$B$10*12&gt;A111,I10,0)+IF(A11+'Summary'!$B$10*12&gt;A111,I11,0)+IF(A12+'Summary'!$B$10*12&gt;A111,I12,0)+IF(A13+'Summary'!$B$10*12&gt;A111,I13,0)+IF(A14+'Summary'!$B$10*12&gt;A111,I14,0)+IF(A15+'Summary'!$B$10*12&gt;A111,I15,0)+IF(A16+'Summary'!$B$10*12&gt;A111,I16,0)+IF(A17+'Summary'!$B$10*12&gt;A111,I17,0)+IF(A18+'Summary'!$B$10*12&gt;A111,I18,0)+IF(A19+'Summary'!$B$10*12&gt;A111,I19,0)+IF(A20+'Summary'!$B$10*12&gt;A111,I20,0)+IF(A21+'Summary'!$B$10*12&gt;A111,I21,0)+IF(A22+'Summary'!$B$10*12&gt;A111,I22,0)+IF(A23+'Summary'!$B$10*12&gt;A111,I23,0)+IF(A24+'Summary'!$B$10*12&gt;A111,I24,0)+IF(A25+'Summary'!$B$10*12&gt;A111,I25,0)+IF(A26+'Summary'!$B$10*12&gt;A111,I26,0)+IF(A27+'Summary'!$B$10*12&gt;A111,I27,0)+IF(A28+'Summary'!$B$10*12&gt;A111,I28,0)+IF(A29+'Summary'!$B$10*12&gt;A111,I29,0)+IF(A30+'Summary'!$B$10*12&gt;A111,I30,0)+IF(A31+'Summary'!$B$10*12&gt;A111,I31,0)+IF(A32+'Summary'!$B$10*12&gt;A111,I32,0)+IF(A33+'Summary'!$B$10*12&gt;A111,I33,0)+IF(A34+'Summary'!$B$10*12&gt;A111,I34,0)+IF(A35+'Summary'!$B$10*12&gt;A111,I35,0)+IF(A36+'Summary'!$B$10*12&gt;A111,I36,0)+IF(A37+'Summary'!$B$10*12&gt;A111,I37,0)+IF(A38+'Summary'!$B$10*12&gt;A111,I38,0)+IF(A39+'Summary'!$B$10*12&gt;A111,I39,0)+IF(A40+'Summary'!$B$10*12&gt;A111,I40,0)+IF(A41+'Summary'!$B$10*12&gt;A111,I41,0)+IF(A42+'Summary'!$B$10*12&gt;A111,I42,0)+IF(A43+'Summary'!$B$10*12&gt;A111,I43,0)+IF(A44+'Summary'!$B$10*12&gt;A111,I44,0)+IF(A45+'Summary'!$B$10*12&gt;A111,I45,0)+IF(A46+'Summary'!$B$10*12&gt;A111,I46,0)+IF(A47+'Summary'!$B$10*12&gt;A111,I47,0)+IF(A48+'Summary'!$B$10*12&gt;A111,I48,0)+IF(A49+'Summary'!$B$10*12&gt;A111,I49,0)+IF(A50+'Summary'!$B$10*12&gt;A111,I50,0)+IF(A51+'Summary'!$B$10*12&gt;A111,I51,0)+IF(A52+'Summary'!$B$10*12&gt;A111,I52,0)+IF(A53+'Summary'!$B$10*12&gt;A111,I53,0)+IF(A54+'Summary'!$B$10*12&gt;A111,I54,0)+IF(A55+'Summary'!$B$10*12&gt;A111,I55,0)+IF(A56+'Summary'!$B$10*12&gt;A111,I56,0)+IF(A57+'Summary'!$B$10*12&gt;A111,I57,0)+IF(A58+'Summary'!$B$10*12&gt;A111,I58,0)+IF(A59+'Summary'!$B$10*12&gt;A111,I59,0)+IF(A60+'Summary'!$B$10*12&gt;A111,I60,0)+IF(A61+'Summary'!$B$10*12&gt;A111,I61,0)+IF(A62+'Summary'!$B$10*12&gt;A111,I62,0)+IF(A63+'Summary'!$B$10*12&gt;A111,I63,0)+IF(A64+'Summary'!$B$10*12&gt;A111,I64,0)+IF(A65+'Summary'!$B$10*12&gt;A111,I65,0)+IF(A66+'Summary'!$B$10*12&gt;A111,I66,0)+IF(A67+'Summary'!$B$10*12&gt;A111,I67,0)+IF(A68+'Summary'!$B$10*12&gt;A111,I68,0)+IF(A69+'Summary'!$B$10*12&gt;A111,I69,0)+IF(A70+'Summary'!$B$10*12&gt;A111,I70,0)+IF(A71+'Summary'!$B$10*12&gt;A111,I71,0)+IF(A72+'Summary'!$B$10*12&gt;A111,I72,0)+IF(A73+'Summary'!$B$10*12&gt;A111,I73,0)+IF(A74+'Summary'!$B$10*12&gt;A111,I74,0)+IF(A75+'Summary'!$B$10*12&gt;A111,I75,0)+IF(A76+'Summary'!$B$10*12&gt;A111,I76,0)+IF(A77+'Summary'!$B$10*12&gt;A111,I77,0)+IF(A78+'Summary'!$B$10*12&gt;A111,I78,0)+IF(A79+'Summary'!$B$10*12&gt;A111,I79,0)+IF(A80+'Summary'!$B$10*12&gt;A111,I80,0)+IF(A81+'Summary'!$B$10*12&gt;A111,I81,0)+IF(A82+'Summary'!$B$10*12&gt;A111,I82,0)+IF(A83+'Summary'!$B$10*12&gt;A111,I83,0)+IF(A84+'Summary'!$B$10*12&gt;A111,I84,0)+IF(A85+'Summary'!$B$10*12&gt;A111,I85,0)+IF(A86+'Summary'!$B$10*12&gt;A111,I86,0)+IF(A87+'Summary'!$B$10*12&gt;A111,I87,0)+IF(A88+'Summary'!$B$10*12&gt;A111,I88,0)+IF(A89+'Summary'!$B$10*12&gt;A111,I89,0)+IF(A90+'Summary'!$B$10*12&gt;A111,I90,0)+IF(A91+'Summary'!$B$10*12&gt;A111,I91,0)+IF(A92+'Summary'!$B$10*12&gt;A111,I92,0)+IF(A93+'Summary'!$B$10*12&gt;A111,I93,0)+IF(A94+'Summary'!$B$10*12&gt;A111,I94,0)+IF(A95+'Summary'!$B$10*12&gt;A111,I95,0)+IF(A96+'Summary'!$B$10*12&gt;A111,I96,0)+IF(A97+'Summary'!$B$10*12&gt;A111,I97,0)+IF(A98+'Summary'!$B$10*12&gt;A111,I98,0)+IF(A99+'Summary'!$B$10*12&gt;A111,I99,0)+IF(A100+'Summary'!$B$10*12&gt;A111,I100,0)+IF(A101+'Summary'!$B$10*12&gt;A111,I101,0)+IF(A102+'Summary'!$B$10*12&gt;A111,I102,0)+IF(A103+'Summary'!$B$10*12&gt;A111,I103,0)+IF(A104+'Summary'!$B$10*12&gt;A111,I104,0)+IF(A105+'Summary'!$B$10*12&gt;A111,I105,0)+IF(A106+'Summary'!$B$10*12&gt;A111,I106,0)+IF(A107+'Summary'!$B$10*12&gt;A111,I107,0)+IF(A108+'Summary'!$B$10*12&gt;A111,I108,0)+IF(A109+'Summary'!$B$10*12&gt;A111,I109,0)+IF(A110+'Summary'!$B$10*12&gt;A111,I110,0)+IF(A111+'Summary'!$B$10*12&gt;A111,I111,0)</x:f>
        <x:v>25821.401381634678</x:v>
      </x:c>
    </x:row>
    <x:row r="112">
      <x:c r="A112" s="55" t="n">
        <x:v>104</x:v>
      </x:c>
      <x:c r="B112" s="71" t="b">
        <x:f>A112&lt;='Summary'!$B$9*12</x:f>
        <x:v>1</x:v>
      </x:c>
      <x:c r="C112" s="62" t="n">
        <x:f>IF(A112=0,IF('Summary'!$B$6&gt;=5,'Summary'!$B$6,0),C111)+IF(A112&lt;'Summary'!$B$9*12,IF('Summary'!$B$7&gt;=5,'Summary'!$B$7,0),0)</x:f>
        <x:v>20500</x:v>
      </x:c>
      <x:c r="D112" s="62" t="n">
        <x:f>IF(A112=0,IF('Summary'!$B$6&gt;=5,'Summary'!$B$6,0),0)+IF(A112&lt;'Summary'!$B$9*12,IF('Summary'!$B$7&gt;=5,'Summary'!$B$7,0),0)</x:f>
        <x:v>100</x:v>
      </x:c>
      <x:c r="E112" s="62" t="n">
        <x:f>J111</x:f>
        <x:v>0</x:v>
      </x:c>
      <x:c r="F112" s="62" t="n">
        <x:f>(IF(AND(A112&gt;A8,A112&lt;=A8+'Summary'!$B$10*12,MOD(A112-A8,'Summary'!$B$11)=0),I8,0)+IF(AND(A112&gt;A9,A112&lt;=A9+'Summary'!$B$10*12,MOD(A112-A9,'Summary'!$B$11)=0),I9,0)+IF(AND(A112&gt;A10,A112&lt;=A10+'Summary'!$B$10*12,MOD(A112-A10,'Summary'!$B$11)=0),I10,0)+IF(AND(A112&gt;A11,A112&lt;=A11+'Summary'!$B$10*12,MOD(A112-A11,'Summary'!$B$11)=0),I11,0)+IF(AND(A112&gt;A12,A112&lt;=A12+'Summary'!$B$10*12,MOD(A112-A12,'Summary'!$B$11)=0),I12,0)+IF(AND(A112&gt;A13,A112&lt;=A13+'Summary'!$B$10*12,MOD(A112-A13,'Summary'!$B$11)=0),I13,0)+IF(AND(A112&gt;A14,A112&lt;=A14+'Summary'!$B$10*12,MOD(A112-A14,'Summary'!$B$11)=0),I14,0)+IF(AND(A112&gt;A15,A112&lt;=A15+'Summary'!$B$10*12,MOD(A112-A15,'Summary'!$B$11)=0),I15,0)+IF(AND(A112&gt;A16,A112&lt;=A16+'Summary'!$B$10*12,MOD(A112-A16,'Summary'!$B$11)=0),I16,0)+IF(AND(A112&gt;A17,A112&lt;=A17+'Summary'!$B$10*12,MOD(A112-A17,'Summary'!$B$11)=0),I17,0)+IF(AND(A112&gt;A18,A112&lt;=A18+'Summary'!$B$10*12,MOD(A112-A18,'Summary'!$B$11)=0),I18,0)+IF(AND(A112&gt;A19,A112&lt;=A19+'Summary'!$B$10*12,MOD(A112-A19,'Summary'!$B$11)=0),I19,0)+IF(AND(A112&gt;A20,A112&lt;=A20+'Summary'!$B$10*12,MOD(A112-A20,'Summary'!$B$11)=0),I20,0)+IF(AND(A112&gt;A21,A112&lt;=A21+'Summary'!$B$10*12,MOD(A112-A21,'Summary'!$B$11)=0),I21,0)+IF(AND(A112&gt;A22,A112&lt;=A22+'Summary'!$B$10*12,MOD(A112-A22,'Summary'!$B$11)=0),I22,0)+IF(AND(A112&gt;A23,A112&lt;=A23+'Summary'!$B$10*12,MOD(A112-A23,'Summary'!$B$11)=0),I23,0)+IF(AND(A112&gt;A24,A112&lt;=A24+'Summary'!$B$10*12,MOD(A112-A24,'Summary'!$B$11)=0),I24,0)+IF(AND(A112&gt;A25,A112&lt;=A25+'Summary'!$B$10*12,MOD(A112-A25,'Summary'!$B$11)=0),I25,0)+IF(AND(A112&gt;A26,A112&lt;=A26+'Summary'!$B$10*12,MOD(A112-A26,'Summary'!$B$11)=0),I26,0)+IF(AND(A112&gt;A27,A112&lt;=A27+'Summary'!$B$10*12,MOD(A112-A27,'Summary'!$B$11)=0),I27,0)+IF(AND(A112&gt;A28,A112&lt;=A28+'Summary'!$B$10*12,MOD(A112-A28,'Summary'!$B$11)=0),I28,0)+IF(AND(A112&gt;A29,A112&lt;=A29+'Summary'!$B$10*12,MOD(A112-A29,'Summary'!$B$11)=0),I29,0)+IF(AND(A112&gt;A30,A112&lt;=A30+'Summary'!$B$10*12,MOD(A112-A30,'Summary'!$B$11)=0),I30,0)+IF(AND(A112&gt;A31,A112&lt;=A31+'Summary'!$B$10*12,MOD(A112-A31,'Summary'!$B$11)=0),I31,0)+IF(AND(A112&gt;A32,A112&lt;=A32+'Summary'!$B$10*12,MOD(A112-A32,'Summary'!$B$11)=0),I32,0)+IF(AND(A112&gt;A33,A112&lt;=A33+'Summary'!$B$10*12,MOD(A112-A33,'Summary'!$B$11)=0),I33,0)+IF(AND(A112&gt;A34,A112&lt;=A34+'Summary'!$B$10*12,MOD(A112-A34,'Summary'!$B$11)=0),I34,0)+IF(AND(A112&gt;A35,A112&lt;=A35+'Summary'!$B$10*12,MOD(A112-A35,'Summary'!$B$11)=0),I35,0)+IF(AND(A112&gt;A36,A112&lt;=A36+'Summary'!$B$10*12,MOD(A112-A36,'Summary'!$B$11)=0),I36,0)+IF(AND(A112&gt;A37,A112&lt;=A37+'Summary'!$B$10*12,MOD(A112-A37,'Summary'!$B$11)=0),I37,0)+IF(AND(A112&gt;A38,A112&lt;=A38+'Summary'!$B$10*12,MOD(A112-A38,'Summary'!$B$11)=0),I38,0)+IF(AND(A112&gt;A39,A112&lt;=A39+'Summary'!$B$10*12,MOD(A112-A39,'Summary'!$B$11)=0),I39,0)+IF(AND(A112&gt;A40,A112&lt;=A40+'Summary'!$B$10*12,MOD(A112-A40,'Summary'!$B$11)=0),I40,0)+IF(AND(A112&gt;A41,A112&lt;=A41+'Summary'!$B$10*12,MOD(A112-A41,'Summary'!$B$11)=0),I41,0)+IF(AND(A112&gt;A42,A112&lt;=A42+'Summary'!$B$10*12,MOD(A112-A42,'Summary'!$B$11)=0),I42,0)+IF(AND(A112&gt;A43,A112&lt;=A43+'Summary'!$B$10*12,MOD(A112-A43,'Summary'!$B$11)=0),I43,0)+IF(AND(A112&gt;A44,A112&lt;=A44+'Summary'!$B$10*12,MOD(A112-A44,'Summary'!$B$11)=0),I44,0)+IF(AND(A112&gt;A45,A112&lt;=A45+'Summary'!$B$10*12,MOD(A112-A45,'Summary'!$B$11)=0),I45,0)+IF(AND(A112&gt;A46,A112&lt;=A46+'Summary'!$B$10*12,MOD(A112-A46,'Summary'!$B$11)=0),I46,0)+IF(AND(A112&gt;A47,A112&lt;=A47+'Summary'!$B$10*12,MOD(A112-A47,'Summary'!$B$11)=0),I47,0)+IF(AND(A112&gt;A48,A112&lt;=A48+'Summary'!$B$10*12,MOD(A112-A48,'Summary'!$B$11)=0),I48,0)+IF(AND(A112&gt;A49,A112&lt;=A49+'Summary'!$B$10*12,MOD(A112-A49,'Summary'!$B$11)=0),I49,0)+IF(AND(A112&gt;A50,A112&lt;=A50+'Summary'!$B$10*12,MOD(A112-A50,'Summary'!$B$11)=0),I50,0)+IF(AND(A112&gt;A51,A112&lt;=A51+'Summary'!$B$10*12,MOD(A112-A51,'Summary'!$B$11)=0),I51,0)+IF(AND(A112&gt;A52,A112&lt;=A52+'Summary'!$B$10*12,MOD(A112-A52,'Summary'!$B$11)=0),I52,0)+IF(AND(A112&gt;A53,A112&lt;=A53+'Summary'!$B$10*12,MOD(A112-A53,'Summary'!$B$11)=0),I53,0)+IF(AND(A112&gt;A54,A112&lt;=A54+'Summary'!$B$10*12,MOD(A112-A54,'Summary'!$B$11)=0),I54,0)+IF(AND(A112&gt;A55,A112&lt;=A55+'Summary'!$B$10*12,MOD(A112-A55,'Summary'!$B$11)=0),I55,0)+IF(AND(A112&gt;A56,A112&lt;=A56+'Summary'!$B$10*12,MOD(A112-A56,'Summary'!$B$11)=0),I56,0)+IF(AND(A112&gt;A57,A112&lt;=A57+'Summary'!$B$10*12,MOD(A112-A57,'Summary'!$B$11)=0),I57,0)+IF(AND(A112&gt;A58,A112&lt;=A58+'Summary'!$B$10*12,MOD(A112-A58,'Summary'!$B$11)=0),I58,0)+IF(AND(A112&gt;A59,A112&lt;=A59+'Summary'!$B$10*12,MOD(A112-A59,'Summary'!$B$11)=0),I59,0)+IF(AND(A112&gt;A60,A112&lt;=A60+'Summary'!$B$10*12,MOD(A112-A60,'Summary'!$B$11)=0),I60,0)+IF(AND(A112&gt;A61,A112&lt;=A61+'Summary'!$B$10*12,MOD(A112-A61,'Summary'!$B$11)=0),I61,0)+IF(AND(A112&gt;A62,A112&lt;=A62+'Summary'!$B$10*12,MOD(A112-A62,'Summary'!$B$11)=0),I62,0)+IF(AND(A112&gt;A63,A112&lt;=A63+'Summary'!$B$10*12,MOD(A112-A63,'Summary'!$B$11)=0),I63,0)+IF(AND(A112&gt;A64,A112&lt;=A64+'Summary'!$B$10*12,MOD(A112-A64,'Summary'!$B$11)=0),I64,0)+IF(AND(A112&gt;A65,A112&lt;=A65+'Summary'!$B$10*12,MOD(A112-A65,'Summary'!$B$11)=0),I65,0)+IF(AND(A112&gt;A66,A112&lt;=A66+'Summary'!$B$10*12,MOD(A112-A66,'Summary'!$B$11)=0),I66,0)+IF(AND(A112&gt;A67,A112&lt;=A67+'Summary'!$B$10*12,MOD(A112-A67,'Summary'!$B$11)=0),I67,0)+IF(AND(A112&gt;A68,A112&lt;=A68+'Summary'!$B$10*12,MOD(A112-A68,'Summary'!$B$11)=0),I68,0)+IF(AND(A112&gt;A69,A112&lt;=A69+'Summary'!$B$10*12,MOD(A112-A69,'Summary'!$B$11)=0),I69,0)+IF(AND(A112&gt;A70,A112&lt;=A70+'Summary'!$B$10*12,MOD(A112-A70,'Summary'!$B$11)=0),I70,0)+IF(AND(A112&gt;A71,A112&lt;=A71+'Summary'!$B$10*12,MOD(A112-A71,'Summary'!$B$11)=0),I71,0)+IF(AND(A112&gt;A72,A112&lt;=A72+'Summary'!$B$10*12,MOD(A112-A72,'Summary'!$B$11)=0),I72,0)+IF(AND(A112&gt;A73,A112&lt;=A73+'Summary'!$B$10*12,MOD(A112-A73,'Summary'!$B$11)=0),I73,0)+IF(AND(A112&gt;A74,A112&lt;=A74+'Summary'!$B$10*12,MOD(A112-A74,'Summary'!$B$11)=0),I74,0)+IF(AND(A112&gt;A75,A112&lt;=A75+'Summary'!$B$10*12,MOD(A112-A75,'Summary'!$B$11)=0),I75,0)+IF(AND(A112&gt;A76,A112&lt;=A76+'Summary'!$B$10*12,MOD(A112-A76,'Summary'!$B$11)=0),I76,0)+IF(AND(A112&gt;A77,A112&lt;=A77+'Summary'!$B$10*12,MOD(A112-A77,'Summary'!$B$11)=0),I77,0)+IF(AND(A112&gt;A78,A112&lt;=A78+'Summary'!$B$10*12,MOD(A112-A78,'Summary'!$B$11)=0),I78,0)+IF(AND(A112&gt;A79,A112&lt;=A79+'Summary'!$B$10*12,MOD(A112-A79,'Summary'!$B$11)=0),I79,0)+IF(AND(A112&gt;A80,A112&lt;=A80+'Summary'!$B$10*12,MOD(A112-A80,'Summary'!$B$11)=0),I80,0)+IF(AND(A112&gt;A81,A112&lt;=A81+'Summary'!$B$10*12,MOD(A112-A81,'Summary'!$B$11)=0),I81,0)+IF(AND(A112&gt;A82,A112&lt;=A82+'Summary'!$B$10*12,MOD(A112-A82,'Summary'!$B$11)=0),I82,0)+IF(AND(A112&gt;A83,A112&lt;=A83+'Summary'!$B$10*12,MOD(A112-A83,'Summary'!$B$11)=0),I83,0)+IF(AND(A112&gt;A84,A112&lt;=A84+'Summary'!$B$10*12,MOD(A112-A84,'Summary'!$B$11)=0),I84,0)+IF(AND(A112&gt;A85,A112&lt;=A85+'Summary'!$B$10*12,MOD(A112-A85,'Summary'!$B$11)=0),I85,0)+IF(AND(A112&gt;A86,A112&lt;=A86+'Summary'!$B$10*12,MOD(A112-A86,'Summary'!$B$11)=0),I86,0)+IF(AND(A112&gt;A87,A112&lt;=A87+'Summary'!$B$10*12,MOD(A112-A87,'Summary'!$B$11)=0),I87,0)+IF(AND(A112&gt;A88,A112&lt;=A88+'Summary'!$B$10*12,MOD(A112-A88,'Summary'!$B$11)=0),I88,0)+IF(AND(A112&gt;A89,A112&lt;=A89+'Summary'!$B$10*12,MOD(A112-A89,'Summary'!$B$11)=0),I89,0)+IF(AND(A112&gt;A90,A112&lt;=A90+'Summary'!$B$10*12,MOD(A112-A90,'Summary'!$B$11)=0),I90,0)+IF(AND(A112&gt;A91,A112&lt;=A91+'Summary'!$B$10*12,MOD(A112-A91,'Summary'!$B$11)=0),I91,0)+IF(AND(A112&gt;A92,A112&lt;=A92+'Summary'!$B$10*12,MOD(A112-A92,'Summary'!$B$11)=0),I92,0)+IF(AND(A112&gt;A93,A112&lt;=A93+'Summary'!$B$10*12,MOD(A112-A93,'Summary'!$B$11)=0),I93,0)+IF(AND(A112&gt;A94,A112&lt;=A94+'Summary'!$B$10*12,MOD(A112-A94,'Summary'!$B$11)=0),I94,0)+IF(AND(A112&gt;A95,A112&lt;=A95+'Summary'!$B$10*12,MOD(A112-A95,'Summary'!$B$11)=0),I95,0)+IF(AND(A112&gt;A96,A112&lt;=A96+'Summary'!$B$10*12,MOD(A112-A96,'Summary'!$B$11)=0),I96,0)+IF(AND(A112&gt;A97,A112&lt;=A97+'Summary'!$B$10*12,MOD(A112-A97,'Summary'!$B$11)=0),I97,0)+IF(AND(A112&gt;A98,A112&lt;=A98+'Summary'!$B$10*12,MOD(A112-A98,'Summary'!$B$11)=0),I98,0)+IF(AND(A112&gt;A99,A112&lt;=A99+'Summary'!$B$10*12,MOD(A112-A99,'Summary'!$B$11)=0),I99,0)+IF(AND(A112&gt;A100,A112&lt;=A100+'Summary'!$B$10*12,MOD(A112-A100,'Summary'!$B$11)=0),I100,0)+IF(AND(A112&gt;A101,A112&lt;=A101+'Summary'!$B$10*12,MOD(A112-A101,'Summary'!$B$11)=0),I101,0)+IF(AND(A112&gt;A102,A112&lt;=A102+'Summary'!$B$10*12,MOD(A112-A102,'Summary'!$B$11)=0),I102,0)+IF(AND(A112&gt;A103,A112&lt;=A103+'Summary'!$B$10*12,MOD(A112-A103,'Summary'!$B$11)=0),I103,0)+IF(AND(A112&gt;A104,A112&lt;=A104+'Summary'!$B$10*12,MOD(A112-A104,'Summary'!$B$11)=0),I104,0)+IF(AND(A112&gt;A105,A112&lt;=A105+'Summary'!$B$10*12,MOD(A112-A105,'Summary'!$B$11)=0),I105,0)+IF(AND(A112&gt;A106,A112&lt;=A106+'Summary'!$B$10*12,MOD(A112-A106,'Summary'!$B$11)=0),I106,0)+IF(AND(A112&gt;A107,A112&lt;=A107+'Summary'!$B$10*12,MOD(A112-A107,'Summary'!$B$11)=0),I107,0)+IF(AND(A112&gt;A108,A112&lt;=A108+'Summary'!$B$10*12,MOD(A112-A108,'Summary'!$B$11)=0),I108,0)+IF(AND(A112&gt;A109,A112&lt;=A109+'Summary'!$B$10*12,MOD(A112-A109,'Summary'!$B$11)=0),I109,0)+IF(AND(A112&gt;A110,A112&lt;=A110+'Summary'!$B$10*12,MOD(A112-A110,'Summary'!$B$11)=0),I110,0)+IF(AND(A112&gt;A111,A112&lt;=A111+'Summary'!$B$10*12,MOD(A112-A111,'Summary'!$B$11)=0),I111,0))*'Summary'!$B$8/2</x:f>
        <x:v>36.792542381908156</x:v>
      </x:c>
      <x:c r="G112" s="62" t="n">
        <x:f>IF(A112=A8+'Summary'!$B$10*12,I8,0)+IF(A112=A9+'Summary'!$B$10*12,I9,0)+IF(A112=A10+'Summary'!$B$10*12,I10,0)+IF(A112=A11+'Summary'!$B$10*12,I11,0)+IF(A112=A12+'Summary'!$B$10*12,I12,0)+IF(A112=A13+'Summary'!$B$10*12,I13,0)+IF(A112=A14+'Summary'!$B$10*12,I14,0)+IF(A112=A15+'Summary'!$B$10*12,I15,0)+IF(A112=A16+'Summary'!$B$10*12,I16,0)+IF(A112=A17+'Summary'!$B$10*12,I17,0)+IF(A112=A18+'Summary'!$B$10*12,I18,0)+IF(A112=A19+'Summary'!$B$10*12,I19,0)+IF(A112=A20+'Summary'!$B$10*12,I20,0)+IF(A112=A21+'Summary'!$B$10*12,I21,0)+IF(A112=A22+'Summary'!$B$10*12,I22,0)+IF(A112=A23+'Summary'!$B$10*12,I23,0)+IF(A112=A24+'Summary'!$B$10*12,I24,0)+IF(A112=A25+'Summary'!$B$10*12,I25,0)+IF(A112=A26+'Summary'!$B$10*12,I26,0)+IF(A112=A27+'Summary'!$B$10*12,I27,0)+IF(A112=A28+'Summary'!$B$10*12,I28,0)+IF(A112=A29+'Summary'!$B$10*12,I29,0)+IF(A112=A30+'Summary'!$B$10*12,I30,0)+IF(A112=A31+'Summary'!$B$10*12,I31,0)+IF(A112=A32+'Summary'!$B$10*12,I32,0)+IF(A112=A33+'Summary'!$B$10*12,I33,0)+IF(A112=A34+'Summary'!$B$10*12,I34,0)+IF(A112=A35+'Summary'!$B$10*12,I35,0)+IF(A112=A36+'Summary'!$B$10*12,I36,0)+IF(A112=A37+'Summary'!$B$10*12,I37,0)+IF(A112=A38+'Summary'!$B$10*12,I38,0)+IF(A112=A39+'Summary'!$B$10*12,I39,0)+IF(A112=A40+'Summary'!$B$10*12,I40,0)+IF(A112=A41+'Summary'!$B$10*12,I41,0)+IF(A112=A42+'Summary'!$B$10*12,I42,0)+IF(A112=A43+'Summary'!$B$10*12,I43,0)+IF(A112=A44+'Summary'!$B$10*12,I44,0)+IF(A112=A45+'Summary'!$B$10*12,I45,0)+IF(A112=A46+'Summary'!$B$10*12,I46,0)+IF(A112=A47+'Summary'!$B$10*12,I47,0)+IF(A112=A48+'Summary'!$B$10*12,I48,0)+IF(A112=A49+'Summary'!$B$10*12,I49,0)+IF(A112=A50+'Summary'!$B$10*12,I50,0)+IF(A112=A51+'Summary'!$B$10*12,I51,0)+IF(A112=A52+'Summary'!$B$10*12,I52,0)+IF(A112=A53+'Summary'!$B$10*12,I53,0)+IF(A112=A54+'Summary'!$B$10*12,I54,0)+IF(A112=A55+'Summary'!$B$10*12,I55,0)+IF(A112=A56+'Summary'!$B$10*12,I56,0)+IF(A112=A57+'Summary'!$B$10*12,I57,0)+IF(A112=A58+'Summary'!$B$10*12,I58,0)+IF(A112=A59+'Summary'!$B$10*12,I59,0)+IF(A112=A60+'Summary'!$B$10*12,I60,0)+IF(A112=A61+'Summary'!$B$10*12,I61,0)+IF(A112=A62+'Summary'!$B$10*12,I62,0)+IF(A112=A63+'Summary'!$B$10*12,I63,0)+IF(A112=A64+'Summary'!$B$10*12,I64,0)+IF(A112=A65+'Summary'!$B$10*12,I65,0)+IF(A112=A66+'Summary'!$B$10*12,I66,0)+IF(A112=A67+'Summary'!$B$10*12,I67,0)+IF(A112=A68+'Summary'!$B$10*12,I68,0)+IF(A112=A69+'Summary'!$B$10*12,I69,0)+IF(A112=A70+'Summary'!$B$10*12,I70,0)+IF(A112=A71+'Summary'!$B$10*12,I71,0)+IF(A112=A72+'Summary'!$B$10*12,I72,0)+IF(A112=A73+'Summary'!$B$10*12,I73,0)+IF(A112=A74+'Summary'!$B$10*12,I74,0)+IF(A112=A75+'Summary'!$B$10*12,I75,0)+IF(A112=A76+'Summary'!$B$10*12,I76,0)+IF(A112=A77+'Summary'!$B$10*12,I77,0)+IF(A112=A78+'Summary'!$B$10*12,I78,0)+IF(A112=A79+'Summary'!$B$10*12,I79,0)+IF(A112=A80+'Summary'!$B$10*12,I80,0)+IF(A112=A81+'Summary'!$B$10*12,I81,0)+IF(A112=A82+'Summary'!$B$10*12,I82,0)+IF(A112=A83+'Summary'!$B$10*12,I83,0)+IF(A112=A84+'Summary'!$B$10*12,I84,0)+IF(A112=A85+'Summary'!$B$10*12,I85,0)+IF(A112=A86+'Summary'!$B$10*12,I86,0)+IF(A112=A87+'Summary'!$B$10*12,I87,0)+IF(A112=A88+'Summary'!$B$10*12,I88,0)+IF(A112=A89+'Summary'!$B$10*12,I89,0)+IF(A112=A90+'Summary'!$B$10*12,I90,0)+IF(A112=A91+'Summary'!$B$10*12,I91,0)+IF(A112=A92+'Summary'!$B$10*12,I92,0)+IF(A112=A93+'Summary'!$B$10*12,I93,0)+IF(A112=A94+'Summary'!$B$10*12,I94,0)+IF(A112=A95+'Summary'!$B$10*12,I95,0)+IF(A112=A96+'Summary'!$B$10*12,I96,0)+IF(A112=A97+'Summary'!$B$10*12,I97,0)+IF(A112=A98+'Summary'!$B$10*12,I98,0)+IF(A112=A99+'Summary'!$B$10*12,I99,0)+IF(A112=A100+'Summary'!$B$10*12,I100,0)+IF(A112=A101+'Summary'!$B$10*12,I101,0)+IF(A112=A102+'Summary'!$B$10*12,I102,0)+IF(A112=A103+'Summary'!$B$10*12,I103,0)+IF(A112=A104+'Summary'!$B$10*12,I104,0)+IF(A112=A105+'Summary'!$B$10*12,I105,0)+IF(A112=A106+'Summary'!$B$10*12,I106,0)+IF(A112=A107+'Summary'!$B$10*12,I107,0)+IF(A112=A108+'Summary'!$B$10*12,I108,0)+IF(A112=A109+'Summary'!$B$10*12,I109,0)+IF(A112=A110+'Summary'!$B$10*12,I110,0)+IF(A112=A111+'Summary'!$B$10*12,I111,0)</x:f>
        <x:v>113.76946160921362</x:v>
      </x:c>
      <x:c r="H112" s="62" t="n">
        <x:f>E112+D112+F112+G112</x:f>
        <x:v>250.5620039911218</x:v>
      </x:c>
      <x:c r="I112" s="62" t="n">
        <x:f>IF(B112,IF(H112&gt;='Summary'!$B$12,H112,0),0)</x:f>
        <x:v>250.5620039911218</x:v>
      </x:c>
      <x:c r="J112" s="62" t="n">
        <x:f>H112-I112</x:f>
        <x:v>0</x:v>
      </x:c>
      <x:c r="K112" s="63" t="n">
        <x:f>J112+IF(A8+'Summary'!$B$10*12&gt;A112,I8,0)+IF(A9+'Summary'!$B$10*12&gt;A112,I9,0)+IF(A10+'Summary'!$B$10*12&gt;A112,I10,0)+IF(A11+'Summary'!$B$10*12&gt;A112,I11,0)+IF(A12+'Summary'!$B$10*12&gt;A112,I12,0)+IF(A13+'Summary'!$B$10*12&gt;A112,I13,0)+IF(A14+'Summary'!$B$10*12&gt;A112,I14,0)+IF(A15+'Summary'!$B$10*12&gt;A112,I15,0)+IF(A16+'Summary'!$B$10*12&gt;A112,I16,0)+IF(A17+'Summary'!$B$10*12&gt;A112,I17,0)+IF(A18+'Summary'!$B$10*12&gt;A112,I18,0)+IF(A19+'Summary'!$B$10*12&gt;A112,I19,0)+IF(A20+'Summary'!$B$10*12&gt;A112,I20,0)+IF(A21+'Summary'!$B$10*12&gt;A112,I21,0)+IF(A22+'Summary'!$B$10*12&gt;A112,I22,0)+IF(A23+'Summary'!$B$10*12&gt;A112,I23,0)+IF(A24+'Summary'!$B$10*12&gt;A112,I24,0)+IF(A25+'Summary'!$B$10*12&gt;A112,I25,0)+IF(A26+'Summary'!$B$10*12&gt;A112,I26,0)+IF(A27+'Summary'!$B$10*12&gt;A112,I27,0)+IF(A28+'Summary'!$B$10*12&gt;A112,I28,0)+IF(A29+'Summary'!$B$10*12&gt;A112,I29,0)+IF(A30+'Summary'!$B$10*12&gt;A112,I30,0)+IF(A31+'Summary'!$B$10*12&gt;A112,I31,0)+IF(A32+'Summary'!$B$10*12&gt;A112,I32,0)+IF(A33+'Summary'!$B$10*12&gt;A112,I33,0)+IF(A34+'Summary'!$B$10*12&gt;A112,I34,0)+IF(A35+'Summary'!$B$10*12&gt;A112,I35,0)+IF(A36+'Summary'!$B$10*12&gt;A112,I36,0)+IF(A37+'Summary'!$B$10*12&gt;A112,I37,0)+IF(A38+'Summary'!$B$10*12&gt;A112,I38,0)+IF(A39+'Summary'!$B$10*12&gt;A112,I39,0)+IF(A40+'Summary'!$B$10*12&gt;A112,I40,0)+IF(A41+'Summary'!$B$10*12&gt;A112,I41,0)+IF(A42+'Summary'!$B$10*12&gt;A112,I42,0)+IF(A43+'Summary'!$B$10*12&gt;A112,I43,0)+IF(A44+'Summary'!$B$10*12&gt;A112,I44,0)+IF(A45+'Summary'!$B$10*12&gt;A112,I45,0)+IF(A46+'Summary'!$B$10*12&gt;A112,I46,0)+IF(A47+'Summary'!$B$10*12&gt;A112,I47,0)+IF(A48+'Summary'!$B$10*12&gt;A112,I48,0)+IF(A49+'Summary'!$B$10*12&gt;A112,I49,0)+IF(A50+'Summary'!$B$10*12&gt;A112,I50,0)+IF(A51+'Summary'!$B$10*12&gt;A112,I51,0)+IF(A52+'Summary'!$B$10*12&gt;A112,I52,0)+IF(A53+'Summary'!$B$10*12&gt;A112,I53,0)+IF(A54+'Summary'!$B$10*12&gt;A112,I54,0)+IF(A55+'Summary'!$B$10*12&gt;A112,I55,0)+IF(A56+'Summary'!$B$10*12&gt;A112,I56,0)+IF(A57+'Summary'!$B$10*12&gt;A112,I57,0)+IF(A58+'Summary'!$B$10*12&gt;A112,I58,0)+IF(A59+'Summary'!$B$10*12&gt;A112,I59,0)+IF(A60+'Summary'!$B$10*12&gt;A112,I60,0)+IF(A61+'Summary'!$B$10*12&gt;A112,I61,0)+IF(A62+'Summary'!$B$10*12&gt;A112,I62,0)+IF(A63+'Summary'!$B$10*12&gt;A112,I63,0)+IF(A64+'Summary'!$B$10*12&gt;A112,I64,0)+IF(A65+'Summary'!$B$10*12&gt;A112,I65,0)+IF(A66+'Summary'!$B$10*12&gt;A112,I66,0)+IF(A67+'Summary'!$B$10*12&gt;A112,I67,0)+IF(A68+'Summary'!$B$10*12&gt;A112,I68,0)+IF(A69+'Summary'!$B$10*12&gt;A112,I69,0)+IF(A70+'Summary'!$B$10*12&gt;A112,I70,0)+IF(A71+'Summary'!$B$10*12&gt;A112,I71,0)+IF(A72+'Summary'!$B$10*12&gt;A112,I72,0)+IF(A73+'Summary'!$B$10*12&gt;A112,I73,0)+IF(A74+'Summary'!$B$10*12&gt;A112,I74,0)+IF(A75+'Summary'!$B$10*12&gt;A112,I75,0)+IF(A76+'Summary'!$B$10*12&gt;A112,I76,0)+IF(A77+'Summary'!$B$10*12&gt;A112,I77,0)+IF(A78+'Summary'!$B$10*12&gt;A112,I78,0)+IF(A79+'Summary'!$B$10*12&gt;A112,I79,0)+IF(A80+'Summary'!$B$10*12&gt;A112,I80,0)+IF(A81+'Summary'!$B$10*12&gt;A112,I81,0)+IF(A82+'Summary'!$B$10*12&gt;A112,I82,0)+IF(A83+'Summary'!$B$10*12&gt;A112,I83,0)+IF(A84+'Summary'!$B$10*12&gt;A112,I84,0)+IF(A85+'Summary'!$B$10*12&gt;A112,I85,0)+IF(A86+'Summary'!$B$10*12&gt;A112,I86,0)+IF(A87+'Summary'!$B$10*12&gt;A112,I87,0)+IF(A88+'Summary'!$B$10*12&gt;A112,I88,0)+IF(A89+'Summary'!$B$10*12&gt;A112,I89,0)+IF(A90+'Summary'!$B$10*12&gt;A112,I90,0)+IF(A91+'Summary'!$B$10*12&gt;A112,I91,0)+IF(A92+'Summary'!$B$10*12&gt;A112,I92,0)+IF(A93+'Summary'!$B$10*12&gt;A112,I93,0)+IF(A94+'Summary'!$B$10*12&gt;A112,I94,0)+IF(A95+'Summary'!$B$10*12&gt;A112,I95,0)+IF(A96+'Summary'!$B$10*12&gt;A112,I96,0)+IF(A97+'Summary'!$B$10*12&gt;A112,I97,0)+IF(A98+'Summary'!$B$10*12&gt;A112,I98,0)+IF(A99+'Summary'!$B$10*12&gt;A112,I99,0)+IF(A100+'Summary'!$B$10*12&gt;A112,I100,0)+IF(A101+'Summary'!$B$10*12&gt;A112,I101,0)+IF(A102+'Summary'!$B$10*12&gt;A112,I102,0)+IF(A103+'Summary'!$B$10*12&gt;A112,I103,0)+IF(A104+'Summary'!$B$10*12&gt;A112,I104,0)+IF(A105+'Summary'!$B$10*12&gt;A112,I105,0)+IF(A106+'Summary'!$B$10*12&gt;A112,I106,0)+IF(A107+'Summary'!$B$10*12&gt;A112,I107,0)+IF(A108+'Summary'!$B$10*12&gt;A112,I108,0)+IF(A109+'Summary'!$B$10*12&gt;A112,I109,0)+IF(A110+'Summary'!$B$10*12&gt;A112,I110,0)+IF(A111+'Summary'!$B$10*12&gt;A112,I111,0)+IF(A112+'Summary'!$B$10*12&gt;A112,I112,0)</x:f>
        <x:v>25958.19392401659</x:v>
      </x:c>
    </x:row>
    <x:row r="113">
      <x:c r="A113" s="55" t="n">
        <x:v>105</x:v>
      </x:c>
      <x:c r="B113" s="71" t="b">
        <x:f>A113&lt;='Summary'!$B$9*12</x:f>
        <x:v>1</x:v>
      </x:c>
      <x:c r="C113" s="62" t="n">
        <x:f>IF(A113=0,IF('Summary'!$B$6&gt;=5,'Summary'!$B$6,0),C112)+IF(A113&lt;'Summary'!$B$9*12,IF('Summary'!$B$7&gt;=5,'Summary'!$B$7,0),0)</x:f>
        <x:v>20600</x:v>
      </x:c>
      <x:c r="D113" s="62" t="n">
        <x:f>IF(A113=0,IF('Summary'!$B$6&gt;=5,'Summary'!$B$6,0),0)+IF(A113&lt;'Summary'!$B$9*12,IF('Summary'!$B$7&gt;=5,'Summary'!$B$7,0),0)</x:f>
        <x:v>100</x:v>
      </x:c>
      <x:c r="E113" s="62" t="n">
        <x:f>J112</x:f>
        <x:v>0</x:v>
      </x:c>
      <x:c r="F113" s="62" t="n">
        <x:f>(IF(AND(A113&gt;A8,A113&lt;=A8+'Summary'!$B$10*12,MOD(A113-A8,'Summary'!$B$11)=0),I8,0)+IF(AND(A113&gt;A9,A113&lt;=A9+'Summary'!$B$10*12,MOD(A113-A9,'Summary'!$B$11)=0),I9,0)+IF(AND(A113&gt;A10,A113&lt;=A10+'Summary'!$B$10*12,MOD(A113-A10,'Summary'!$B$11)=0),I10,0)+IF(AND(A113&gt;A11,A113&lt;=A11+'Summary'!$B$10*12,MOD(A113-A11,'Summary'!$B$11)=0),I11,0)+IF(AND(A113&gt;A12,A113&lt;=A12+'Summary'!$B$10*12,MOD(A113-A12,'Summary'!$B$11)=0),I12,0)+IF(AND(A113&gt;A13,A113&lt;=A13+'Summary'!$B$10*12,MOD(A113-A13,'Summary'!$B$11)=0),I13,0)+IF(AND(A113&gt;A14,A113&lt;=A14+'Summary'!$B$10*12,MOD(A113-A14,'Summary'!$B$11)=0),I14,0)+IF(AND(A113&gt;A15,A113&lt;=A15+'Summary'!$B$10*12,MOD(A113-A15,'Summary'!$B$11)=0),I15,0)+IF(AND(A113&gt;A16,A113&lt;=A16+'Summary'!$B$10*12,MOD(A113-A16,'Summary'!$B$11)=0),I16,0)+IF(AND(A113&gt;A17,A113&lt;=A17+'Summary'!$B$10*12,MOD(A113-A17,'Summary'!$B$11)=0),I17,0)+IF(AND(A113&gt;A18,A113&lt;=A18+'Summary'!$B$10*12,MOD(A113-A18,'Summary'!$B$11)=0),I18,0)+IF(AND(A113&gt;A19,A113&lt;=A19+'Summary'!$B$10*12,MOD(A113-A19,'Summary'!$B$11)=0),I19,0)+IF(AND(A113&gt;A20,A113&lt;=A20+'Summary'!$B$10*12,MOD(A113-A20,'Summary'!$B$11)=0),I20,0)+IF(AND(A113&gt;A21,A113&lt;=A21+'Summary'!$B$10*12,MOD(A113-A21,'Summary'!$B$11)=0),I21,0)+IF(AND(A113&gt;A22,A113&lt;=A22+'Summary'!$B$10*12,MOD(A113-A22,'Summary'!$B$11)=0),I22,0)+IF(AND(A113&gt;A23,A113&lt;=A23+'Summary'!$B$10*12,MOD(A113-A23,'Summary'!$B$11)=0),I23,0)+IF(AND(A113&gt;A24,A113&lt;=A24+'Summary'!$B$10*12,MOD(A113-A24,'Summary'!$B$11)=0),I24,0)+IF(AND(A113&gt;A25,A113&lt;=A25+'Summary'!$B$10*12,MOD(A113-A25,'Summary'!$B$11)=0),I25,0)+IF(AND(A113&gt;A26,A113&lt;=A26+'Summary'!$B$10*12,MOD(A113-A26,'Summary'!$B$11)=0),I26,0)+IF(AND(A113&gt;A27,A113&lt;=A27+'Summary'!$B$10*12,MOD(A113-A27,'Summary'!$B$11)=0),I27,0)+IF(AND(A113&gt;A28,A113&lt;=A28+'Summary'!$B$10*12,MOD(A113-A28,'Summary'!$B$11)=0),I28,0)+IF(AND(A113&gt;A29,A113&lt;=A29+'Summary'!$B$10*12,MOD(A113-A29,'Summary'!$B$11)=0),I29,0)+IF(AND(A113&gt;A30,A113&lt;=A30+'Summary'!$B$10*12,MOD(A113-A30,'Summary'!$B$11)=0),I30,0)+IF(AND(A113&gt;A31,A113&lt;=A31+'Summary'!$B$10*12,MOD(A113-A31,'Summary'!$B$11)=0),I31,0)+IF(AND(A113&gt;A32,A113&lt;=A32+'Summary'!$B$10*12,MOD(A113-A32,'Summary'!$B$11)=0),I32,0)+IF(AND(A113&gt;A33,A113&lt;=A33+'Summary'!$B$10*12,MOD(A113-A33,'Summary'!$B$11)=0),I33,0)+IF(AND(A113&gt;A34,A113&lt;=A34+'Summary'!$B$10*12,MOD(A113-A34,'Summary'!$B$11)=0),I34,0)+IF(AND(A113&gt;A35,A113&lt;=A35+'Summary'!$B$10*12,MOD(A113-A35,'Summary'!$B$11)=0),I35,0)+IF(AND(A113&gt;A36,A113&lt;=A36+'Summary'!$B$10*12,MOD(A113-A36,'Summary'!$B$11)=0),I36,0)+IF(AND(A113&gt;A37,A113&lt;=A37+'Summary'!$B$10*12,MOD(A113-A37,'Summary'!$B$11)=0),I37,0)+IF(AND(A113&gt;A38,A113&lt;=A38+'Summary'!$B$10*12,MOD(A113-A38,'Summary'!$B$11)=0),I38,0)+IF(AND(A113&gt;A39,A113&lt;=A39+'Summary'!$B$10*12,MOD(A113-A39,'Summary'!$B$11)=0),I39,0)+IF(AND(A113&gt;A40,A113&lt;=A40+'Summary'!$B$10*12,MOD(A113-A40,'Summary'!$B$11)=0),I40,0)+IF(AND(A113&gt;A41,A113&lt;=A41+'Summary'!$B$10*12,MOD(A113-A41,'Summary'!$B$11)=0),I41,0)+IF(AND(A113&gt;A42,A113&lt;=A42+'Summary'!$B$10*12,MOD(A113-A42,'Summary'!$B$11)=0),I42,0)+IF(AND(A113&gt;A43,A113&lt;=A43+'Summary'!$B$10*12,MOD(A113-A43,'Summary'!$B$11)=0),I43,0)+IF(AND(A113&gt;A44,A113&lt;=A44+'Summary'!$B$10*12,MOD(A113-A44,'Summary'!$B$11)=0),I44,0)+IF(AND(A113&gt;A45,A113&lt;=A45+'Summary'!$B$10*12,MOD(A113-A45,'Summary'!$B$11)=0),I45,0)+IF(AND(A113&gt;A46,A113&lt;=A46+'Summary'!$B$10*12,MOD(A113-A46,'Summary'!$B$11)=0),I46,0)+IF(AND(A113&gt;A47,A113&lt;=A47+'Summary'!$B$10*12,MOD(A113-A47,'Summary'!$B$11)=0),I47,0)+IF(AND(A113&gt;A48,A113&lt;=A48+'Summary'!$B$10*12,MOD(A113-A48,'Summary'!$B$11)=0),I48,0)+IF(AND(A113&gt;A49,A113&lt;=A49+'Summary'!$B$10*12,MOD(A113-A49,'Summary'!$B$11)=0),I49,0)+IF(AND(A113&gt;A50,A113&lt;=A50+'Summary'!$B$10*12,MOD(A113-A50,'Summary'!$B$11)=0),I50,0)+IF(AND(A113&gt;A51,A113&lt;=A51+'Summary'!$B$10*12,MOD(A113-A51,'Summary'!$B$11)=0),I51,0)+IF(AND(A113&gt;A52,A113&lt;=A52+'Summary'!$B$10*12,MOD(A113-A52,'Summary'!$B$11)=0),I52,0)+IF(AND(A113&gt;A53,A113&lt;=A53+'Summary'!$B$10*12,MOD(A113-A53,'Summary'!$B$11)=0),I53,0)+IF(AND(A113&gt;A54,A113&lt;=A54+'Summary'!$B$10*12,MOD(A113-A54,'Summary'!$B$11)=0),I54,0)+IF(AND(A113&gt;A55,A113&lt;=A55+'Summary'!$B$10*12,MOD(A113-A55,'Summary'!$B$11)=0),I55,0)+IF(AND(A113&gt;A56,A113&lt;=A56+'Summary'!$B$10*12,MOD(A113-A56,'Summary'!$B$11)=0),I56,0)+IF(AND(A113&gt;A57,A113&lt;=A57+'Summary'!$B$10*12,MOD(A113-A57,'Summary'!$B$11)=0),I57,0)+IF(AND(A113&gt;A58,A113&lt;=A58+'Summary'!$B$10*12,MOD(A113-A58,'Summary'!$B$11)=0),I58,0)+IF(AND(A113&gt;A59,A113&lt;=A59+'Summary'!$B$10*12,MOD(A113-A59,'Summary'!$B$11)=0),I59,0)+IF(AND(A113&gt;A60,A113&lt;=A60+'Summary'!$B$10*12,MOD(A113-A60,'Summary'!$B$11)=0),I60,0)+IF(AND(A113&gt;A61,A113&lt;=A61+'Summary'!$B$10*12,MOD(A113-A61,'Summary'!$B$11)=0),I61,0)+IF(AND(A113&gt;A62,A113&lt;=A62+'Summary'!$B$10*12,MOD(A113-A62,'Summary'!$B$11)=0),I62,0)+IF(AND(A113&gt;A63,A113&lt;=A63+'Summary'!$B$10*12,MOD(A113-A63,'Summary'!$B$11)=0),I63,0)+IF(AND(A113&gt;A64,A113&lt;=A64+'Summary'!$B$10*12,MOD(A113-A64,'Summary'!$B$11)=0),I64,0)+IF(AND(A113&gt;A65,A113&lt;=A65+'Summary'!$B$10*12,MOD(A113-A65,'Summary'!$B$11)=0),I65,0)+IF(AND(A113&gt;A66,A113&lt;=A66+'Summary'!$B$10*12,MOD(A113-A66,'Summary'!$B$11)=0),I66,0)+IF(AND(A113&gt;A67,A113&lt;=A67+'Summary'!$B$10*12,MOD(A113-A67,'Summary'!$B$11)=0),I67,0)+IF(AND(A113&gt;A68,A113&lt;=A68+'Summary'!$B$10*12,MOD(A113-A68,'Summary'!$B$11)=0),I68,0)+IF(AND(A113&gt;A69,A113&lt;=A69+'Summary'!$B$10*12,MOD(A113-A69,'Summary'!$B$11)=0),I69,0)+IF(AND(A113&gt;A70,A113&lt;=A70+'Summary'!$B$10*12,MOD(A113-A70,'Summary'!$B$11)=0),I70,0)+IF(AND(A113&gt;A71,A113&lt;=A71+'Summary'!$B$10*12,MOD(A113-A71,'Summary'!$B$11)=0),I71,0)+IF(AND(A113&gt;A72,A113&lt;=A72+'Summary'!$B$10*12,MOD(A113-A72,'Summary'!$B$11)=0),I72,0)+IF(AND(A113&gt;A73,A113&lt;=A73+'Summary'!$B$10*12,MOD(A113-A73,'Summary'!$B$11)=0),I73,0)+IF(AND(A113&gt;A74,A113&lt;=A74+'Summary'!$B$10*12,MOD(A113-A74,'Summary'!$B$11)=0),I74,0)+IF(AND(A113&gt;A75,A113&lt;=A75+'Summary'!$B$10*12,MOD(A113-A75,'Summary'!$B$11)=0),I75,0)+IF(AND(A113&gt;A76,A113&lt;=A76+'Summary'!$B$10*12,MOD(A113-A76,'Summary'!$B$11)=0),I76,0)+IF(AND(A113&gt;A77,A113&lt;=A77+'Summary'!$B$10*12,MOD(A113-A77,'Summary'!$B$11)=0),I77,0)+IF(AND(A113&gt;A78,A113&lt;=A78+'Summary'!$B$10*12,MOD(A113-A78,'Summary'!$B$11)=0),I78,0)+IF(AND(A113&gt;A79,A113&lt;=A79+'Summary'!$B$10*12,MOD(A113-A79,'Summary'!$B$11)=0),I79,0)+IF(AND(A113&gt;A80,A113&lt;=A80+'Summary'!$B$10*12,MOD(A113-A80,'Summary'!$B$11)=0),I80,0)+IF(AND(A113&gt;A81,A113&lt;=A81+'Summary'!$B$10*12,MOD(A113-A81,'Summary'!$B$11)=0),I81,0)+IF(AND(A113&gt;A82,A113&lt;=A82+'Summary'!$B$10*12,MOD(A113-A82,'Summary'!$B$11)=0),I82,0)+IF(AND(A113&gt;A83,A113&lt;=A83+'Summary'!$B$10*12,MOD(A113-A83,'Summary'!$B$11)=0),I83,0)+IF(AND(A113&gt;A84,A113&lt;=A84+'Summary'!$B$10*12,MOD(A113-A84,'Summary'!$B$11)=0),I84,0)+IF(AND(A113&gt;A85,A113&lt;=A85+'Summary'!$B$10*12,MOD(A113-A85,'Summary'!$B$11)=0),I85,0)+IF(AND(A113&gt;A86,A113&lt;=A86+'Summary'!$B$10*12,MOD(A113-A86,'Summary'!$B$11)=0),I86,0)+IF(AND(A113&gt;A87,A113&lt;=A87+'Summary'!$B$10*12,MOD(A113-A87,'Summary'!$B$11)=0),I87,0)+IF(AND(A113&gt;A88,A113&lt;=A88+'Summary'!$B$10*12,MOD(A113-A88,'Summary'!$B$11)=0),I88,0)+IF(AND(A113&gt;A89,A113&lt;=A89+'Summary'!$B$10*12,MOD(A113-A89,'Summary'!$B$11)=0),I89,0)+IF(AND(A113&gt;A90,A113&lt;=A90+'Summary'!$B$10*12,MOD(A113-A90,'Summary'!$B$11)=0),I90,0)+IF(AND(A113&gt;A91,A113&lt;=A91+'Summary'!$B$10*12,MOD(A113-A91,'Summary'!$B$11)=0),I91,0)+IF(AND(A113&gt;A92,A113&lt;=A92+'Summary'!$B$10*12,MOD(A113-A92,'Summary'!$B$11)=0),I92,0)+IF(AND(A113&gt;A93,A113&lt;=A93+'Summary'!$B$10*12,MOD(A113-A93,'Summary'!$B$11)=0),I93,0)+IF(AND(A113&gt;A94,A113&lt;=A94+'Summary'!$B$10*12,MOD(A113-A94,'Summary'!$B$11)=0),I94,0)+IF(AND(A113&gt;A95,A113&lt;=A95+'Summary'!$B$10*12,MOD(A113-A95,'Summary'!$B$11)=0),I95,0)+IF(AND(A113&gt;A96,A113&lt;=A96+'Summary'!$B$10*12,MOD(A113-A96,'Summary'!$B$11)=0),I96,0)+IF(AND(A113&gt;A97,A113&lt;=A97+'Summary'!$B$10*12,MOD(A113-A97,'Summary'!$B$11)=0),I97,0)+IF(AND(A113&gt;A98,A113&lt;=A98+'Summary'!$B$10*12,MOD(A113-A98,'Summary'!$B$11)=0),I98,0)+IF(AND(A113&gt;A99,A113&lt;=A99+'Summary'!$B$10*12,MOD(A113-A99,'Summary'!$B$11)=0),I99,0)+IF(AND(A113&gt;A100,A113&lt;=A100+'Summary'!$B$10*12,MOD(A113-A100,'Summary'!$B$11)=0),I100,0)+IF(AND(A113&gt;A101,A113&lt;=A101+'Summary'!$B$10*12,MOD(A113-A101,'Summary'!$B$11)=0),I101,0)+IF(AND(A113&gt;A102,A113&lt;=A102+'Summary'!$B$10*12,MOD(A113-A102,'Summary'!$B$11)=0),I102,0)+IF(AND(A113&gt;A103,A113&lt;=A103+'Summary'!$B$10*12,MOD(A113-A103,'Summary'!$B$11)=0),I103,0)+IF(AND(A113&gt;A104,A113&lt;=A104+'Summary'!$B$10*12,MOD(A113-A104,'Summary'!$B$11)=0),I104,0)+IF(AND(A113&gt;A105,A113&lt;=A105+'Summary'!$B$10*12,MOD(A113-A105,'Summary'!$B$11)=0),I105,0)+IF(AND(A113&gt;A106,A113&lt;=A106+'Summary'!$B$10*12,MOD(A113-A106,'Summary'!$B$11)=0),I106,0)+IF(AND(A113&gt;A107,A113&lt;=A107+'Summary'!$B$10*12,MOD(A113-A107,'Summary'!$B$11)=0),I107,0)+IF(AND(A113&gt;A108,A113&lt;=A108+'Summary'!$B$10*12,MOD(A113-A108,'Summary'!$B$11)=0),I108,0)+IF(AND(A113&gt;A109,A113&lt;=A109+'Summary'!$B$10*12,MOD(A113-A109,'Summary'!$B$11)=0),I109,0)+IF(AND(A113&gt;A110,A113&lt;=A110+'Summary'!$B$10*12,MOD(A113-A110,'Summary'!$B$11)=0),I110,0)+IF(AND(A113&gt;A111,A113&lt;=A111+'Summary'!$B$10*12,MOD(A113-A111,'Summary'!$B$11)=0),I111,0)+IF(AND(A113&gt;A112,A113&lt;=A112+'Summary'!$B$10*12,MOD(A113-A112,'Summary'!$B$11)=0),I112,0))*'Summary'!$B$8/2</x:f>
        <x:v>36.792542381908156</x:v>
      </x:c>
      <x:c r="G113" s="62" t="n">
        <x:f>IF(A113=A8+'Summary'!$B$10*12,I8,0)+IF(A113=A9+'Summary'!$B$10*12,I9,0)+IF(A113=A10+'Summary'!$B$10*12,I10,0)+IF(A113=A11+'Summary'!$B$10*12,I11,0)+IF(A113=A12+'Summary'!$B$10*12,I12,0)+IF(A113=A13+'Summary'!$B$10*12,I13,0)+IF(A113=A14+'Summary'!$B$10*12,I14,0)+IF(A113=A15+'Summary'!$B$10*12,I15,0)+IF(A113=A16+'Summary'!$B$10*12,I16,0)+IF(A113=A17+'Summary'!$B$10*12,I17,0)+IF(A113=A18+'Summary'!$B$10*12,I18,0)+IF(A113=A19+'Summary'!$B$10*12,I19,0)+IF(A113=A20+'Summary'!$B$10*12,I20,0)+IF(A113=A21+'Summary'!$B$10*12,I21,0)+IF(A113=A22+'Summary'!$B$10*12,I22,0)+IF(A113=A23+'Summary'!$B$10*12,I23,0)+IF(A113=A24+'Summary'!$B$10*12,I24,0)+IF(A113=A25+'Summary'!$B$10*12,I25,0)+IF(A113=A26+'Summary'!$B$10*12,I26,0)+IF(A113=A27+'Summary'!$B$10*12,I27,0)+IF(A113=A28+'Summary'!$B$10*12,I28,0)+IF(A113=A29+'Summary'!$B$10*12,I29,0)+IF(A113=A30+'Summary'!$B$10*12,I30,0)+IF(A113=A31+'Summary'!$B$10*12,I31,0)+IF(A113=A32+'Summary'!$B$10*12,I32,0)+IF(A113=A33+'Summary'!$B$10*12,I33,0)+IF(A113=A34+'Summary'!$B$10*12,I34,0)+IF(A113=A35+'Summary'!$B$10*12,I35,0)+IF(A113=A36+'Summary'!$B$10*12,I36,0)+IF(A113=A37+'Summary'!$B$10*12,I37,0)+IF(A113=A38+'Summary'!$B$10*12,I38,0)+IF(A113=A39+'Summary'!$B$10*12,I39,0)+IF(A113=A40+'Summary'!$B$10*12,I40,0)+IF(A113=A41+'Summary'!$B$10*12,I41,0)+IF(A113=A42+'Summary'!$B$10*12,I42,0)+IF(A113=A43+'Summary'!$B$10*12,I43,0)+IF(A113=A44+'Summary'!$B$10*12,I44,0)+IF(A113=A45+'Summary'!$B$10*12,I45,0)+IF(A113=A46+'Summary'!$B$10*12,I46,0)+IF(A113=A47+'Summary'!$B$10*12,I47,0)+IF(A113=A48+'Summary'!$B$10*12,I48,0)+IF(A113=A49+'Summary'!$B$10*12,I49,0)+IF(A113=A50+'Summary'!$B$10*12,I50,0)+IF(A113=A51+'Summary'!$B$10*12,I51,0)+IF(A113=A52+'Summary'!$B$10*12,I52,0)+IF(A113=A53+'Summary'!$B$10*12,I53,0)+IF(A113=A54+'Summary'!$B$10*12,I54,0)+IF(A113=A55+'Summary'!$B$10*12,I55,0)+IF(A113=A56+'Summary'!$B$10*12,I56,0)+IF(A113=A57+'Summary'!$B$10*12,I57,0)+IF(A113=A58+'Summary'!$B$10*12,I58,0)+IF(A113=A59+'Summary'!$B$10*12,I59,0)+IF(A113=A60+'Summary'!$B$10*12,I60,0)+IF(A113=A61+'Summary'!$B$10*12,I61,0)+IF(A113=A62+'Summary'!$B$10*12,I62,0)+IF(A113=A63+'Summary'!$B$10*12,I63,0)+IF(A113=A64+'Summary'!$B$10*12,I64,0)+IF(A113=A65+'Summary'!$B$10*12,I65,0)+IF(A113=A66+'Summary'!$B$10*12,I66,0)+IF(A113=A67+'Summary'!$B$10*12,I67,0)+IF(A113=A68+'Summary'!$B$10*12,I68,0)+IF(A113=A69+'Summary'!$B$10*12,I69,0)+IF(A113=A70+'Summary'!$B$10*12,I70,0)+IF(A113=A71+'Summary'!$B$10*12,I71,0)+IF(A113=A72+'Summary'!$B$10*12,I72,0)+IF(A113=A73+'Summary'!$B$10*12,I73,0)+IF(A113=A74+'Summary'!$B$10*12,I74,0)+IF(A113=A75+'Summary'!$B$10*12,I75,0)+IF(A113=A76+'Summary'!$B$10*12,I76,0)+IF(A113=A77+'Summary'!$B$10*12,I77,0)+IF(A113=A78+'Summary'!$B$10*12,I78,0)+IF(A113=A79+'Summary'!$B$10*12,I79,0)+IF(A113=A80+'Summary'!$B$10*12,I80,0)+IF(A113=A81+'Summary'!$B$10*12,I81,0)+IF(A113=A82+'Summary'!$B$10*12,I82,0)+IF(A113=A83+'Summary'!$B$10*12,I83,0)+IF(A113=A84+'Summary'!$B$10*12,I84,0)+IF(A113=A85+'Summary'!$B$10*12,I85,0)+IF(A113=A86+'Summary'!$B$10*12,I86,0)+IF(A113=A87+'Summary'!$B$10*12,I87,0)+IF(A113=A88+'Summary'!$B$10*12,I88,0)+IF(A113=A89+'Summary'!$B$10*12,I89,0)+IF(A113=A90+'Summary'!$B$10*12,I90,0)+IF(A113=A91+'Summary'!$B$10*12,I91,0)+IF(A113=A92+'Summary'!$B$10*12,I92,0)+IF(A113=A93+'Summary'!$B$10*12,I93,0)+IF(A113=A94+'Summary'!$B$10*12,I94,0)+IF(A113=A95+'Summary'!$B$10*12,I95,0)+IF(A113=A96+'Summary'!$B$10*12,I96,0)+IF(A113=A97+'Summary'!$B$10*12,I97,0)+IF(A113=A98+'Summary'!$B$10*12,I98,0)+IF(A113=A99+'Summary'!$B$10*12,I99,0)+IF(A113=A100+'Summary'!$B$10*12,I100,0)+IF(A113=A101+'Summary'!$B$10*12,I101,0)+IF(A113=A102+'Summary'!$B$10*12,I102,0)+IF(A113=A103+'Summary'!$B$10*12,I103,0)+IF(A113=A104+'Summary'!$B$10*12,I104,0)+IF(A113=A105+'Summary'!$B$10*12,I105,0)+IF(A113=A106+'Summary'!$B$10*12,I106,0)+IF(A113=A107+'Summary'!$B$10*12,I107,0)+IF(A113=A108+'Summary'!$B$10*12,I108,0)+IF(A113=A109+'Summary'!$B$10*12,I109,0)+IF(A113=A110+'Summary'!$B$10*12,I110,0)+IF(A113=A111+'Summary'!$B$10*12,I111,0)+IF(A113=A112+'Summary'!$B$10*12,I112,0)</x:f>
        <x:v>113.76946160921362</x:v>
      </x:c>
      <x:c r="H113" s="62" t="n">
        <x:f>E113+D113+F113+G113</x:f>
        <x:v>250.5620039911218</x:v>
      </x:c>
      <x:c r="I113" s="62" t="n">
        <x:f>IF(B113,IF(H113&gt;='Summary'!$B$12,H113,0),0)</x:f>
        <x:v>250.5620039911218</x:v>
      </x:c>
      <x:c r="J113" s="62" t="n">
        <x:f>H113-I113</x:f>
        <x:v>0</x:v>
      </x:c>
      <x:c r="K113" s="63" t="n">
        <x:f>J113+IF(A8+'Summary'!$B$10*12&gt;A113,I8,0)+IF(A9+'Summary'!$B$10*12&gt;A113,I9,0)+IF(A10+'Summary'!$B$10*12&gt;A113,I10,0)+IF(A11+'Summary'!$B$10*12&gt;A113,I11,0)+IF(A12+'Summary'!$B$10*12&gt;A113,I12,0)+IF(A13+'Summary'!$B$10*12&gt;A113,I13,0)+IF(A14+'Summary'!$B$10*12&gt;A113,I14,0)+IF(A15+'Summary'!$B$10*12&gt;A113,I15,0)+IF(A16+'Summary'!$B$10*12&gt;A113,I16,0)+IF(A17+'Summary'!$B$10*12&gt;A113,I17,0)+IF(A18+'Summary'!$B$10*12&gt;A113,I18,0)+IF(A19+'Summary'!$B$10*12&gt;A113,I19,0)+IF(A20+'Summary'!$B$10*12&gt;A113,I20,0)+IF(A21+'Summary'!$B$10*12&gt;A113,I21,0)+IF(A22+'Summary'!$B$10*12&gt;A113,I22,0)+IF(A23+'Summary'!$B$10*12&gt;A113,I23,0)+IF(A24+'Summary'!$B$10*12&gt;A113,I24,0)+IF(A25+'Summary'!$B$10*12&gt;A113,I25,0)+IF(A26+'Summary'!$B$10*12&gt;A113,I26,0)+IF(A27+'Summary'!$B$10*12&gt;A113,I27,0)+IF(A28+'Summary'!$B$10*12&gt;A113,I28,0)+IF(A29+'Summary'!$B$10*12&gt;A113,I29,0)+IF(A30+'Summary'!$B$10*12&gt;A113,I30,0)+IF(A31+'Summary'!$B$10*12&gt;A113,I31,0)+IF(A32+'Summary'!$B$10*12&gt;A113,I32,0)+IF(A33+'Summary'!$B$10*12&gt;A113,I33,0)+IF(A34+'Summary'!$B$10*12&gt;A113,I34,0)+IF(A35+'Summary'!$B$10*12&gt;A113,I35,0)+IF(A36+'Summary'!$B$10*12&gt;A113,I36,0)+IF(A37+'Summary'!$B$10*12&gt;A113,I37,0)+IF(A38+'Summary'!$B$10*12&gt;A113,I38,0)+IF(A39+'Summary'!$B$10*12&gt;A113,I39,0)+IF(A40+'Summary'!$B$10*12&gt;A113,I40,0)+IF(A41+'Summary'!$B$10*12&gt;A113,I41,0)+IF(A42+'Summary'!$B$10*12&gt;A113,I42,0)+IF(A43+'Summary'!$B$10*12&gt;A113,I43,0)+IF(A44+'Summary'!$B$10*12&gt;A113,I44,0)+IF(A45+'Summary'!$B$10*12&gt;A113,I45,0)+IF(A46+'Summary'!$B$10*12&gt;A113,I46,0)+IF(A47+'Summary'!$B$10*12&gt;A113,I47,0)+IF(A48+'Summary'!$B$10*12&gt;A113,I48,0)+IF(A49+'Summary'!$B$10*12&gt;A113,I49,0)+IF(A50+'Summary'!$B$10*12&gt;A113,I50,0)+IF(A51+'Summary'!$B$10*12&gt;A113,I51,0)+IF(A52+'Summary'!$B$10*12&gt;A113,I52,0)+IF(A53+'Summary'!$B$10*12&gt;A113,I53,0)+IF(A54+'Summary'!$B$10*12&gt;A113,I54,0)+IF(A55+'Summary'!$B$10*12&gt;A113,I55,0)+IF(A56+'Summary'!$B$10*12&gt;A113,I56,0)+IF(A57+'Summary'!$B$10*12&gt;A113,I57,0)+IF(A58+'Summary'!$B$10*12&gt;A113,I58,0)+IF(A59+'Summary'!$B$10*12&gt;A113,I59,0)+IF(A60+'Summary'!$B$10*12&gt;A113,I60,0)+IF(A61+'Summary'!$B$10*12&gt;A113,I61,0)+IF(A62+'Summary'!$B$10*12&gt;A113,I62,0)+IF(A63+'Summary'!$B$10*12&gt;A113,I63,0)+IF(A64+'Summary'!$B$10*12&gt;A113,I64,0)+IF(A65+'Summary'!$B$10*12&gt;A113,I65,0)+IF(A66+'Summary'!$B$10*12&gt;A113,I66,0)+IF(A67+'Summary'!$B$10*12&gt;A113,I67,0)+IF(A68+'Summary'!$B$10*12&gt;A113,I68,0)+IF(A69+'Summary'!$B$10*12&gt;A113,I69,0)+IF(A70+'Summary'!$B$10*12&gt;A113,I70,0)+IF(A71+'Summary'!$B$10*12&gt;A113,I71,0)+IF(A72+'Summary'!$B$10*12&gt;A113,I72,0)+IF(A73+'Summary'!$B$10*12&gt;A113,I73,0)+IF(A74+'Summary'!$B$10*12&gt;A113,I74,0)+IF(A75+'Summary'!$B$10*12&gt;A113,I75,0)+IF(A76+'Summary'!$B$10*12&gt;A113,I76,0)+IF(A77+'Summary'!$B$10*12&gt;A113,I77,0)+IF(A78+'Summary'!$B$10*12&gt;A113,I78,0)+IF(A79+'Summary'!$B$10*12&gt;A113,I79,0)+IF(A80+'Summary'!$B$10*12&gt;A113,I80,0)+IF(A81+'Summary'!$B$10*12&gt;A113,I81,0)+IF(A82+'Summary'!$B$10*12&gt;A113,I82,0)+IF(A83+'Summary'!$B$10*12&gt;A113,I83,0)+IF(A84+'Summary'!$B$10*12&gt;A113,I84,0)+IF(A85+'Summary'!$B$10*12&gt;A113,I85,0)+IF(A86+'Summary'!$B$10*12&gt;A113,I86,0)+IF(A87+'Summary'!$B$10*12&gt;A113,I87,0)+IF(A88+'Summary'!$B$10*12&gt;A113,I88,0)+IF(A89+'Summary'!$B$10*12&gt;A113,I89,0)+IF(A90+'Summary'!$B$10*12&gt;A113,I90,0)+IF(A91+'Summary'!$B$10*12&gt;A113,I91,0)+IF(A92+'Summary'!$B$10*12&gt;A113,I92,0)+IF(A93+'Summary'!$B$10*12&gt;A113,I93,0)+IF(A94+'Summary'!$B$10*12&gt;A113,I94,0)+IF(A95+'Summary'!$B$10*12&gt;A113,I95,0)+IF(A96+'Summary'!$B$10*12&gt;A113,I96,0)+IF(A97+'Summary'!$B$10*12&gt;A113,I97,0)+IF(A98+'Summary'!$B$10*12&gt;A113,I98,0)+IF(A99+'Summary'!$B$10*12&gt;A113,I99,0)+IF(A100+'Summary'!$B$10*12&gt;A113,I100,0)+IF(A101+'Summary'!$B$10*12&gt;A113,I101,0)+IF(A102+'Summary'!$B$10*12&gt;A113,I102,0)+IF(A103+'Summary'!$B$10*12&gt;A113,I103,0)+IF(A104+'Summary'!$B$10*12&gt;A113,I104,0)+IF(A105+'Summary'!$B$10*12&gt;A113,I105,0)+IF(A106+'Summary'!$B$10*12&gt;A113,I106,0)+IF(A107+'Summary'!$B$10*12&gt;A113,I107,0)+IF(A108+'Summary'!$B$10*12&gt;A113,I108,0)+IF(A109+'Summary'!$B$10*12&gt;A113,I109,0)+IF(A110+'Summary'!$B$10*12&gt;A113,I110,0)+IF(A111+'Summary'!$B$10*12&gt;A113,I111,0)+IF(A112+'Summary'!$B$10*12&gt;A113,I112,0)+IF(A113+'Summary'!$B$10*12&gt;A113,I113,0)</x:f>
        <x:v>26094.986466398495</x:v>
      </x:c>
    </x:row>
    <x:row r="114">
      <x:c r="A114" s="55" t="n">
        <x:v>106</x:v>
      </x:c>
      <x:c r="B114" s="71" t="b">
        <x:f>A114&lt;='Summary'!$B$9*12</x:f>
        <x:v>1</x:v>
      </x:c>
      <x:c r="C114" s="62" t="n">
        <x:f>IF(A114=0,IF('Summary'!$B$6&gt;=5,'Summary'!$B$6,0),C113)+IF(A114&lt;'Summary'!$B$9*12,IF('Summary'!$B$7&gt;=5,'Summary'!$B$7,0),0)</x:f>
        <x:v>20700</x:v>
      </x:c>
      <x:c r="D114" s="62" t="n">
        <x:f>IF(A114=0,IF('Summary'!$B$6&gt;=5,'Summary'!$B$6,0),0)+IF(A114&lt;'Summary'!$B$9*12,IF('Summary'!$B$7&gt;=5,'Summary'!$B$7,0),0)</x:f>
        <x:v>100</x:v>
      </x:c>
      <x:c r="E114" s="62" t="n">
        <x:f>J113</x:f>
        <x:v>0</x:v>
      </x:c>
      <x:c r="F114" s="62" t="n">
        <x:f>(IF(AND(A114&gt;A8,A114&lt;=A8+'Summary'!$B$10*12,MOD(A114-A8,'Summary'!$B$11)=0),I8,0)+IF(AND(A114&gt;A9,A114&lt;=A9+'Summary'!$B$10*12,MOD(A114-A9,'Summary'!$B$11)=0),I9,0)+IF(AND(A114&gt;A10,A114&lt;=A10+'Summary'!$B$10*12,MOD(A114-A10,'Summary'!$B$11)=0),I10,0)+IF(AND(A114&gt;A11,A114&lt;=A11+'Summary'!$B$10*12,MOD(A114-A11,'Summary'!$B$11)=0),I11,0)+IF(AND(A114&gt;A12,A114&lt;=A12+'Summary'!$B$10*12,MOD(A114-A12,'Summary'!$B$11)=0),I12,0)+IF(AND(A114&gt;A13,A114&lt;=A13+'Summary'!$B$10*12,MOD(A114-A13,'Summary'!$B$11)=0),I13,0)+IF(AND(A114&gt;A14,A114&lt;=A14+'Summary'!$B$10*12,MOD(A114-A14,'Summary'!$B$11)=0),I14,0)+IF(AND(A114&gt;A15,A114&lt;=A15+'Summary'!$B$10*12,MOD(A114-A15,'Summary'!$B$11)=0),I15,0)+IF(AND(A114&gt;A16,A114&lt;=A16+'Summary'!$B$10*12,MOD(A114-A16,'Summary'!$B$11)=0),I16,0)+IF(AND(A114&gt;A17,A114&lt;=A17+'Summary'!$B$10*12,MOD(A114-A17,'Summary'!$B$11)=0),I17,0)+IF(AND(A114&gt;A18,A114&lt;=A18+'Summary'!$B$10*12,MOD(A114-A18,'Summary'!$B$11)=0),I18,0)+IF(AND(A114&gt;A19,A114&lt;=A19+'Summary'!$B$10*12,MOD(A114-A19,'Summary'!$B$11)=0),I19,0)+IF(AND(A114&gt;A20,A114&lt;=A20+'Summary'!$B$10*12,MOD(A114-A20,'Summary'!$B$11)=0),I20,0)+IF(AND(A114&gt;A21,A114&lt;=A21+'Summary'!$B$10*12,MOD(A114-A21,'Summary'!$B$11)=0),I21,0)+IF(AND(A114&gt;A22,A114&lt;=A22+'Summary'!$B$10*12,MOD(A114-A22,'Summary'!$B$11)=0),I22,0)+IF(AND(A114&gt;A23,A114&lt;=A23+'Summary'!$B$10*12,MOD(A114-A23,'Summary'!$B$11)=0),I23,0)+IF(AND(A114&gt;A24,A114&lt;=A24+'Summary'!$B$10*12,MOD(A114-A24,'Summary'!$B$11)=0),I24,0)+IF(AND(A114&gt;A25,A114&lt;=A25+'Summary'!$B$10*12,MOD(A114-A25,'Summary'!$B$11)=0),I25,0)+IF(AND(A114&gt;A26,A114&lt;=A26+'Summary'!$B$10*12,MOD(A114-A26,'Summary'!$B$11)=0),I26,0)+IF(AND(A114&gt;A27,A114&lt;=A27+'Summary'!$B$10*12,MOD(A114-A27,'Summary'!$B$11)=0),I27,0)+IF(AND(A114&gt;A28,A114&lt;=A28+'Summary'!$B$10*12,MOD(A114-A28,'Summary'!$B$11)=0),I28,0)+IF(AND(A114&gt;A29,A114&lt;=A29+'Summary'!$B$10*12,MOD(A114-A29,'Summary'!$B$11)=0),I29,0)+IF(AND(A114&gt;A30,A114&lt;=A30+'Summary'!$B$10*12,MOD(A114-A30,'Summary'!$B$11)=0),I30,0)+IF(AND(A114&gt;A31,A114&lt;=A31+'Summary'!$B$10*12,MOD(A114-A31,'Summary'!$B$11)=0),I31,0)+IF(AND(A114&gt;A32,A114&lt;=A32+'Summary'!$B$10*12,MOD(A114-A32,'Summary'!$B$11)=0),I32,0)+IF(AND(A114&gt;A33,A114&lt;=A33+'Summary'!$B$10*12,MOD(A114-A33,'Summary'!$B$11)=0),I33,0)+IF(AND(A114&gt;A34,A114&lt;=A34+'Summary'!$B$10*12,MOD(A114-A34,'Summary'!$B$11)=0),I34,0)+IF(AND(A114&gt;A35,A114&lt;=A35+'Summary'!$B$10*12,MOD(A114-A35,'Summary'!$B$11)=0),I35,0)+IF(AND(A114&gt;A36,A114&lt;=A36+'Summary'!$B$10*12,MOD(A114-A36,'Summary'!$B$11)=0),I36,0)+IF(AND(A114&gt;A37,A114&lt;=A37+'Summary'!$B$10*12,MOD(A114-A37,'Summary'!$B$11)=0),I37,0)+IF(AND(A114&gt;A38,A114&lt;=A38+'Summary'!$B$10*12,MOD(A114-A38,'Summary'!$B$11)=0),I38,0)+IF(AND(A114&gt;A39,A114&lt;=A39+'Summary'!$B$10*12,MOD(A114-A39,'Summary'!$B$11)=0),I39,0)+IF(AND(A114&gt;A40,A114&lt;=A40+'Summary'!$B$10*12,MOD(A114-A40,'Summary'!$B$11)=0),I40,0)+IF(AND(A114&gt;A41,A114&lt;=A41+'Summary'!$B$10*12,MOD(A114-A41,'Summary'!$B$11)=0),I41,0)+IF(AND(A114&gt;A42,A114&lt;=A42+'Summary'!$B$10*12,MOD(A114-A42,'Summary'!$B$11)=0),I42,0)+IF(AND(A114&gt;A43,A114&lt;=A43+'Summary'!$B$10*12,MOD(A114-A43,'Summary'!$B$11)=0),I43,0)+IF(AND(A114&gt;A44,A114&lt;=A44+'Summary'!$B$10*12,MOD(A114-A44,'Summary'!$B$11)=0),I44,0)+IF(AND(A114&gt;A45,A114&lt;=A45+'Summary'!$B$10*12,MOD(A114-A45,'Summary'!$B$11)=0),I45,0)+IF(AND(A114&gt;A46,A114&lt;=A46+'Summary'!$B$10*12,MOD(A114-A46,'Summary'!$B$11)=0),I46,0)+IF(AND(A114&gt;A47,A114&lt;=A47+'Summary'!$B$10*12,MOD(A114-A47,'Summary'!$B$11)=0),I47,0)+IF(AND(A114&gt;A48,A114&lt;=A48+'Summary'!$B$10*12,MOD(A114-A48,'Summary'!$B$11)=0),I48,0)+IF(AND(A114&gt;A49,A114&lt;=A49+'Summary'!$B$10*12,MOD(A114-A49,'Summary'!$B$11)=0),I49,0)+IF(AND(A114&gt;A50,A114&lt;=A50+'Summary'!$B$10*12,MOD(A114-A50,'Summary'!$B$11)=0),I50,0)+IF(AND(A114&gt;A51,A114&lt;=A51+'Summary'!$B$10*12,MOD(A114-A51,'Summary'!$B$11)=0),I51,0)+IF(AND(A114&gt;A52,A114&lt;=A52+'Summary'!$B$10*12,MOD(A114-A52,'Summary'!$B$11)=0),I52,0)+IF(AND(A114&gt;A53,A114&lt;=A53+'Summary'!$B$10*12,MOD(A114-A53,'Summary'!$B$11)=0),I53,0)+IF(AND(A114&gt;A54,A114&lt;=A54+'Summary'!$B$10*12,MOD(A114-A54,'Summary'!$B$11)=0),I54,0)+IF(AND(A114&gt;A55,A114&lt;=A55+'Summary'!$B$10*12,MOD(A114-A55,'Summary'!$B$11)=0),I55,0)+IF(AND(A114&gt;A56,A114&lt;=A56+'Summary'!$B$10*12,MOD(A114-A56,'Summary'!$B$11)=0),I56,0)+IF(AND(A114&gt;A57,A114&lt;=A57+'Summary'!$B$10*12,MOD(A114-A57,'Summary'!$B$11)=0),I57,0)+IF(AND(A114&gt;A58,A114&lt;=A58+'Summary'!$B$10*12,MOD(A114-A58,'Summary'!$B$11)=0),I58,0)+IF(AND(A114&gt;A59,A114&lt;=A59+'Summary'!$B$10*12,MOD(A114-A59,'Summary'!$B$11)=0),I59,0)+IF(AND(A114&gt;A60,A114&lt;=A60+'Summary'!$B$10*12,MOD(A114-A60,'Summary'!$B$11)=0),I60,0)+IF(AND(A114&gt;A61,A114&lt;=A61+'Summary'!$B$10*12,MOD(A114-A61,'Summary'!$B$11)=0),I61,0)+IF(AND(A114&gt;A62,A114&lt;=A62+'Summary'!$B$10*12,MOD(A114-A62,'Summary'!$B$11)=0),I62,0)+IF(AND(A114&gt;A63,A114&lt;=A63+'Summary'!$B$10*12,MOD(A114-A63,'Summary'!$B$11)=0),I63,0)+IF(AND(A114&gt;A64,A114&lt;=A64+'Summary'!$B$10*12,MOD(A114-A64,'Summary'!$B$11)=0),I64,0)+IF(AND(A114&gt;A65,A114&lt;=A65+'Summary'!$B$10*12,MOD(A114-A65,'Summary'!$B$11)=0),I65,0)+IF(AND(A114&gt;A66,A114&lt;=A66+'Summary'!$B$10*12,MOD(A114-A66,'Summary'!$B$11)=0),I66,0)+IF(AND(A114&gt;A67,A114&lt;=A67+'Summary'!$B$10*12,MOD(A114-A67,'Summary'!$B$11)=0),I67,0)+IF(AND(A114&gt;A68,A114&lt;=A68+'Summary'!$B$10*12,MOD(A114-A68,'Summary'!$B$11)=0),I68,0)+IF(AND(A114&gt;A69,A114&lt;=A69+'Summary'!$B$10*12,MOD(A114-A69,'Summary'!$B$11)=0),I69,0)+IF(AND(A114&gt;A70,A114&lt;=A70+'Summary'!$B$10*12,MOD(A114-A70,'Summary'!$B$11)=0),I70,0)+IF(AND(A114&gt;A71,A114&lt;=A71+'Summary'!$B$10*12,MOD(A114-A71,'Summary'!$B$11)=0),I71,0)+IF(AND(A114&gt;A72,A114&lt;=A72+'Summary'!$B$10*12,MOD(A114-A72,'Summary'!$B$11)=0),I72,0)+IF(AND(A114&gt;A73,A114&lt;=A73+'Summary'!$B$10*12,MOD(A114-A73,'Summary'!$B$11)=0),I73,0)+IF(AND(A114&gt;A74,A114&lt;=A74+'Summary'!$B$10*12,MOD(A114-A74,'Summary'!$B$11)=0),I74,0)+IF(AND(A114&gt;A75,A114&lt;=A75+'Summary'!$B$10*12,MOD(A114-A75,'Summary'!$B$11)=0),I75,0)+IF(AND(A114&gt;A76,A114&lt;=A76+'Summary'!$B$10*12,MOD(A114-A76,'Summary'!$B$11)=0),I76,0)+IF(AND(A114&gt;A77,A114&lt;=A77+'Summary'!$B$10*12,MOD(A114-A77,'Summary'!$B$11)=0),I77,0)+IF(AND(A114&gt;A78,A114&lt;=A78+'Summary'!$B$10*12,MOD(A114-A78,'Summary'!$B$11)=0),I78,0)+IF(AND(A114&gt;A79,A114&lt;=A79+'Summary'!$B$10*12,MOD(A114-A79,'Summary'!$B$11)=0),I79,0)+IF(AND(A114&gt;A80,A114&lt;=A80+'Summary'!$B$10*12,MOD(A114-A80,'Summary'!$B$11)=0),I80,0)+IF(AND(A114&gt;A81,A114&lt;=A81+'Summary'!$B$10*12,MOD(A114-A81,'Summary'!$B$11)=0),I81,0)+IF(AND(A114&gt;A82,A114&lt;=A82+'Summary'!$B$10*12,MOD(A114-A82,'Summary'!$B$11)=0),I82,0)+IF(AND(A114&gt;A83,A114&lt;=A83+'Summary'!$B$10*12,MOD(A114-A83,'Summary'!$B$11)=0),I83,0)+IF(AND(A114&gt;A84,A114&lt;=A84+'Summary'!$B$10*12,MOD(A114-A84,'Summary'!$B$11)=0),I84,0)+IF(AND(A114&gt;A85,A114&lt;=A85+'Summary'!$B$10*12,MOD(A114-A85,'Summary'!$B$11)=0),I85,0)+IF(AND(A114&gt;A86,A114&lt;=A86+'Summary'!$B$10*12,MOD(A114-A86,'Summary'!$B$11)=0),I86,0)+IF(AND(A114&gt;A87,A114&lt;=A87+'Summary'!$B$10*12,MOD(A114-A87,'Summary'!$B$11)=0),I87,0)+IF(AND(A114&gt;A88,A114&lt;=A88+'Summary'!$B$10*12,MOD(A114-A88,'Summary'!$B$11)=0),I88,0)+IF(AND(A114&gt;A89,A114&lt;=A89+'Summary'!$B$10*12,MOD(A114-A89,'Summary'!$B$11)=0),I89,0)+IF(AND(A114&gt;A90,A114&lt;=A90+'Summary'!$B$10*12,MOD(A114-A90,'Summary'!$B$11)=0),I90,0)+IF(AND(A114&gt;A91,A114&lt;=A91+'Summary'!$B$10*12,MOD(A114-A91,'Summary'!$B$11)=0),I91,0)+IF(AND(A114&gt;A92,A114&lt;=A92+'Summary'!$B$10*12,MOD(A114-A92,'Summary'!$B$11)=0),I92,0)+IF(AND(A114&gt;A93,A114&lt;=A93+'Summary'!$B$10*12,MOD(A114-A93,'Summary'!$B$11)=0),I93,0)+IF(AND(A114&gt;A94,A114&lt;=A94+'Summary'!$B$10*12,MOD(A114-A94,'Summary'!$B$11)=0),I94,0)+IF(AND(A114&gt;A95,A114&lt;=A95+'Summary'!$B$10*12,MOD(A114-A95,'Summary'!$B$11)=0),I95,0)+IF(AND(A114&gt;A96,A114&lt;=A96+'Summary'!$B$10*12,MOD(A114-A96,'Summary'!$B$11)=0),I96,0)+IF(AND(A114&gt;A97,A114&lt;=A97+'Summary'!$B$10*12,MOD(A114-A97,'Summary'!$B$11)=0),I97,0)+IF(AND(A114&gt;A98,A114&lt;=A98+'Summary'!$B$10*12,MOD(A114-A98,'Summary'!$B$11)=0),I98,0)+IF(AND(A114&gt;A99,A114&lt;=A99+'Summary'!$B$10*12,MOD(A114-A99,'Summary'!$B$11)=0),I99,0)+IF(AND(A114&gt;A100,A114&lt;=A100+'Summary'!$B$10*12,MOD(A114-A100,'Summary'!$B$11)=0),I100,0)+IF(AND(A114&gt;A101,A114&lt;=A101+'Summary'!$B$10*12,MOD(A114-A101,'Summary'!$B$11)=0),I101,0)+IF(AND(A114&gt;A102,A114&lt;=A102+'Summary'!$B$10*12,MOD(A114-A102,'Summary'!$B$11)=0),I102,0)+IF(AND(A114&gt;A103,A114&lt;=A103+'Summary'!$B$10*12,MOD(A114-A103,'Summary'!$B$11)=0),I103,0)+IF(AND(A114&gt;A104,A114&lt;=A104+'Summary'!$B$10*12,MOD(A114-A104,'Summary'!$B$11)=0),I104,0)+IF(AND(A114&gt;A105,A114&lt;=A105+'Summary'!$B$10*12,MOD(A114-A105,'Summary'!$B$11)=0),I105,0)+IF(AND(A114&gt;A106,A114&lt;=A106+'Summary'!$B$10*12,MOD(A114-A106,'Summary'!$B$11)=0),I106,0)+IF(AND(A114&gt;A107,A114&lt;=A107+'Summary'!$B$10*12,MOD(A114-A107,'Summary'!$B$11)=0),I107,0)+IF(AND(A114&gt;A108,A114&lt;=A108+'Summary'!$B$10*12,MOD(A114-A108,'Summary'!$B$11)=0),I108,0)+IF(AND(A114&gt;A109,A114&lt;=A109+'Summary'!$B$10*12,MOD(A114-A109,'Summary'!$B$11)=0),I109,0)+IF(AND(A114&gt;A110,A114&lt;=A110+'Summary'!$B$10*12,MOD(A114-A110,'Summary'!$B$11)=0),I110,0)+IF(AND(A114&gt;A111,A114&lt;=A111+'Summary'!$B$10*12,MOD(A114-A111,'Summary'!$B$11)=0),I111,0)+IF(AND(A114&gt;A112,A114&lt;=A112+'Summary'!$B$10*12,MOD(A114-A112,'Summary'!$B$11)=0),I112,0)+IF(AND(A114&gt;A113,A114&lt;=A113+'Summary'!$B$10*12,MOD(A114-A113,'Summary'!$B$11)=0),I113,0))*'Summary'!$B$8/2</x:f>
        <x:v>36.792542381908156</x:v>
      </x:c>
      <x:c r="G114" s="62" t="n">
        <x:f>IF(A114=A8+'Summary'!$B$10*12,I8,0)+IF(A114=A9+'Summary'!$B$10*12,I9,0)+IF(A114=A10+'Summary'!$B$10*12,I10,0)+IF(A114=A11+'Summary'!$B$10*12,I11,0)+IF(A114=A12+'Summary'!$B$10*12,I12,0)+IF(A114=A13+'Summary'!$B$10*12,I13,0)+IF(A114=A14+'Summary'!$B$10*12,I14,0)+IF(A114=A15+'Summary'!$B$10*12,I15,0)+IF(A114=A16+'Summary'!$B$10*12,I16,0)+IF(A114=A17+'Summary'!$B$10*12,I17,0)+IF(A114=A18+'Summary'!$B$10*12,I18,0)+IF(A114=A19+'Summary'!$B$10*12,I19,0)+IF(A114=A20+'Summary'!$B$10*12,I20,0)+IF(A114=A21+'Summary'!$B$10*12,I21,0)+IF(A114=A22+'Summary'!$B$10*12,I22,0)+IF(A114=A23+'Summary'!$B$10*12,I23,0)+IF(A114=A24+'Summary'!$B$10*12,I24,0)+IF(A114=A25+'Summary'!$B$10*12,I25,0)+IF(A114=A26+'Summary'!$B$10*12,I26,0)+IF(A114=A27+'Summary'!$B$10*12,I27,0)+IF(A114=A28+'Summary'!$B$10*12,I28,0)+IF(A114=A29+'Summary'!$B$10*12,I29,0)+IF(A114=A30+'Summary'!$B$10*12,I30,0)+IF(A114=A31+'Summary'!$B$10*12,I31,0)+IF(A114=A32+'Summary'!$B$10*12,I32,0)+IF(A114=A33+'Summary'!$B$10*12,I33,0)+IF(A114=A34+'Summary'!$B$10*12,I34,0)+IF(A114=A35+'Summary'!$B$10*12,I35,0)+IF(A114=A36+'Summary'!$B$10*12,I36,0)+IF(A114=A37+'Summary'!$B$10*12,I37,0)+IF(A114=A38+'Summary'!$B$10*12,I38,0)+IF(A114=A39+'Summary'!$B$10*12,I39,0)+IF(A114=A40+'Summary'!$B$10*12,I40,0)+IF(A114=A41+'Summary'!$B$10*12,I41,0)+IF(A114=A42+'Summary'!$B$10*12,I42,0)+IF(A114=A43+'Summary'!$B$10*12,I43,0)+IF(A114=A44+'Summary'!$B$10*12,I44,0)+IF(A114=A45+'Summary'!$B$10*12,I45,0)+IF(A114=A46+'Summary'!$B$10*12,I46,0)+IF(A114=A47+'Summary'!$B$10*12,I47,0)+IF(A114=A48+'Summary'!$B$10*12,I48,0)+IF(A114=A49+'Summary'!$B$10*12,I49,0)+IF(A114=A50+'Summary'!$B$10*12,I50,0)+IF(A114=A51+'Summary'!$B$10*12,I51,0)+IF(A114=A52+'Summary'!$B$10*12,I52,0)+IF(A114=A53+'Summary'!$B$10*12,I53,0)+IF(A114=A54+'Summary'!$B$10*12,I54,0)+IF(A114=A55+'Summary'!$B$10*12,I55,0)+IF(A114=A56+'Summary'!$B$10*12,I56,0)+IF(A114=A57+'Summary'!$B$10*12,I57,0)+IF(A114=A58+'Summary'!$B$10*12,I58,0)+IF(A114=A59+'Summary'!$B$10*12,I59,0)+IF(A114=A60+'Summary'!$B$10*12,I60,0)+IF(A114=A61+'Summary'!$B$10*12,I61,0)+IF(A114=A62+'Summary'!$B$10*12,I62,0)+IF(A114=A63+'Summary'!$B$10*12,I63,0)+IF(A114=A64+'Summary'!$B$10*12,I64,0)+IF(A114=A65+'Summary'!$B$10*12,I65,0)+IF(A114=A66+'Summary'!$B$10*12,I66,0)+IF(A114=A67+'Summary'!$B$10*12,I67,0)+IF(A114=A68+'Summary'!$B$10*12,I68,0)+IF(A114=A69+'Summary'!$B$10*12,I69,0)+IF(A114=A70+'Summary'!$B$10*12,I70,0)+IF(A114=A71+'Summary'!$B$10*12,I71,0)+IF(A114=A72+'Summary'!$B$10*12,I72,0)+IF(A114=A73+'Summary'!$B$10*12,I73,0)+IF(A114=A74+'Summary'!$B$10*12,I74,0)+IF(A114=A75+'Summary'!$B$10*12,I75,0)+IF(A114=A76+'Summary'!$B$10*12,I76,0)+IF(A114=A77+'Summary'!$B$10*12,I77,0)+IF(A114=A78+'Summary'!$B$10*12,I78,0)+IF(A114=A79+'Summary'!$B$10*12,I79,0)+IF(A114=A80+'Summary'!$B$10*12,I80,0)+IF(A114=A81+'Summary'!$B$10*12,I81,0)+IF(A114=A82+'Summary'!$B$10*12,I82,0)+IF(A114=A83+'Summary'!$B$10*12,I83,0)+IF(A114=A84+'Summary'!$B$10*12,I84,0)+IF(A114=A85+'Summary'!$B$10*12,I85,0)+IF(A114=A86+'Summary'!$B$10*12,I86,0)+IF(A114=A87+'Summary'!$B$10*12,I87,0)+IF(A114=A88+'Summary'!$B$10*12,I88,0)+IF(A114=A89+'Summary'!$B$10*12,I89,0)+IF(A114=A90+'Summary'!$B$10*12,I90,0)+IF(A114=A91+'Summary'!$B$10*12,I91,0)+IF(A114=A92+'Summary'!$B$10*12,I92,0)+IF(A114=A93+'Summary'!$B$10*12,I93,0)+IF(A114=A94+'Summary'!$B$10*12,I94,0)+IF(A114=A95+'Summary'!$B$10*12,I95,0)+IF(A114=A96+'Summary'!$B$10*12,I96,0)+IF(A114=A97+'Summary'!$B$10*12,I97,0)+IF(A114=A98+'Summary'!$B$10*12,I98,0)+IF(A114=A99+'Summary'!$B$10*12,I99,0)+IF(A114=A100+'Summary'!$B$10*12,I100,0)+IF(A114=A101+'Summary'!$B$10*12,I101,0)+IF(A114=A102+'Summary'!$B$10*12,I102,0)+IF(A114=A103+'Summary'!$B$10*12,I103,0)+IF(A114=A104+'Summary'!$B$10*12,I104,0)+IF(A114=A105+'Summary'!$B$10*12,I105,0)+IF(A114=A106+'Summary'!$B$10*12,I106,0)+IF(A114=A107+'Summary'!$B$10*12,I107,0)+IF(A114=A108+'Summary'!$B$10*12,I108,0)+IF(A114=A109+'Summary'!$B$10*12,I109,0)+IF(A114=A110+'Summary'!$B$10*12,I110,0)+IF(A114=A111+'Summary'!$B$10*12,I111,0)+IF(A114=A112+'Summary'!$B$10*12,I112,0)+IF(A114=A113+'Summary'!$B$10*12,I113,0)</x:f>
        <x:v>113.76946160921362</x:v>
      </x:c>
      <x:c r="H114" s="62" t="n">
        <x:f>E114+D114+F114+G114</x:f>
        <x:v>250.5620039911218</x:v>
      </x:c>
      <x:c r="I114" s="62" t="n">
        <x:f>IF(B114,IF(H114&gt;='Summary'!$B$12,H114,0),0)</x:f>
        <x:v>250.5620039911218</x:v>
      </x:c>
      <x:c r="J114" s="62" t="n">
        <x:f>H114-I114</x:f>
        <x:v>0</x:v>
      </x:c>
      <x:c r="K114" s="63" t="n">
        <x:f>J114+IF(A8+'Summary'!$B$10*12&gt;A114,I8,0)+IF(A9+'Summary'!$B$10*12&gt;A114,I9,0)+IF(A10+'Summary'!$B$10*12&gt;A114,I10,0)+IF(A11+'Summary'!$B$10*12&gt;A114,I11,0)+IF(A12+'Summary'!$B$10*12&gt;A114,I12,0)+IF(A13+'Summary'!$B$10*12&gt;A114,I13,0)+IF(A14+'Summary'!$B$10*12&gt;A114,I14,0)+IF(A15+'Summary'!$B$10*12&gt;A114,I15,0)+IF(A16+'Summary'!$B$10*12&gt;A114,I16,0)+IF(A17+'Summary'!$B$10*12&gt;A114,I17,0)+IF(A18+'Summary'!$B$10*12&gt;A114,I18,0)+IF(A19+'Summary'!$B$10*12&gt;A114,I19,0)+IF(A20+'Summary'!$B$10*12&gt;A114,I20,0)+IF(A21+'Summary'!$B$10*12&gt;A114,I21,0)+IF(A22+'Summary'!$B$10*12&gt;A114,I22,0)+IF(A23+'Summary'!$B$10*12&gt;A114,I23,0)+IF(A24+'Summary'!$B$10*12&gt;A114,I24,0)+IF(A25+'Summary'!$B$10*12&gt;A114,I25,0)+IF(A26+'Summary'!$B$10*12&gt;A114,I26,0)+IF(A27+'Summary'!$B$10*12&gt;A114,I27,0)+IF(A28+'Summary'!$B$10*12&gt;A114,I28,0)+IF(A29+'Summary'!$B$10*12&gt;A114,I29,0)+IF(A30+'Summary'!$B$10*12&gt;A114,I30,0)+IF(A31+'Summary'!$B$10*12&gt;A114,I31,0)+IF(A32+'Summary'!$B$10*12&gt;A114,I32,0)+IF(A33+'Summary'!$B$10*12&gt;A114,I33,0)+IF(A34+'Summary'!$B$10*12&gt;A114,I34,0)+IF(A35+'Summary'!$B$10*12&gt;A114,I35,0)+IF(A36+'Summary'!$B$10*12&gt;A114,I36,0)+IF(A37+'Summary'!$B$10*12&gt;A114,I37,0)+IF(A38+'Summary'!$B$10*12&gt;A114,I38,0)+IF(A39+'Summary'!$B$10*12&gt;A114,I39,0)+IF(A40+'Summary'!$B$10*12&gt;A114,I40,0)+IF(A41+'Summary'!$B$10*12&gt;A114,I41,0)+IF(A42+'Summary'!$B$10*12&gt;A114,I42,0)+IF(A43+'Summary'!$B$10*12&gt;A114,I43,0)+IF(A44+'Summary'!$B$10*12&gt;A114,I44,0)+IF(A45+'Summary'!$B$10*12&gt;A114,I45,0)+IF(A46+'Summary'!$B$10*12&gt;A114,I46,0)+IF(A47+'Summary'!$B$10*12&gt;A114,I47,0)+IF(A48+'Summary'!$B$10*12&gt;A114,I48,0)+IF(A49+'Summary'!$B$10*12&gt;A114,I49,0)+IF(A50+'Summary'!$B$10*12&gt;A114,I50,0)+IF(A51+'Summary'!$B$10*12&gt;A114,I51,0)+IF(A52+'Summary'!$B$10*12&gt;A114,I52,0)+IF(A53+'Summary'!$B$10*12&gt;A114,I53,0)+IF(A54+'Summary'!$B$10*12&gt;A114,I54,0)+IF(A55+'Summary'!$B$10*12&gt;A114,I55,0)+IF(A56+'Summary'!$B$10*12&gt;A114,I56,0)+IF(A57+'Summary'!$B$10*12&gt;A114,I57,0)+IF(A58+'Summary'!$B$10*12&gt;A114,I58,0)+IF(A59+'Summary'!$B$10*12&gt;A114,I59,0)+IF(A60+'Summary'!$B$10*12&gt;A114,I60,0)+IF(A61+'Summary'!$B$10*12&gt;A114,I61,0)+IF(A62+'Summary'!$B$10*12&gt;A114,I62,0)+IF(A63+'Summary'!$B$10*12&gt;A114,I63,0)+IF(A64+'Summary'!$B$10*12&gt;A114,I64,0)+IF(A65+'Summary'!$B$10*12&gt;A114,I65,0)+IF(A66+'Summary'!$B$10*12&gt;A114,I66,0)+IF(A67+'Summary'!$B$10*12&gt;A114,I67,0)+IF(A68+'Summary'!$B$10*12&gt;A114,I68,0)+IF(A69+'Summary'!$B$10*12&gt;A114,I69,0)+IF(A70+'Summary'!$B$10*12&gt;A114,I70,0)+IF(A71+'Summary'!$B$10*12&gt;A114,I71,0)+IF(A72+'Summary'!$B$10*12&gt;A114,I72,0)+IF(A73+'Summary'!$B$10*12&gt;A114,I73,0)+IF(A74+'Summary'!$B$10*12&gt;A114,I74,0)+IF(A75+'Summary'!$B$10*12&gt;A114,I75,0)+IF(A76+'Summary'!$B$10*12&gt;A114,I76,0)+IF(A77+'Summary'!$B$10*12&gt;A114,I77,0)+IF(A78+'Summary'!$B$10*12&gt;A114,I78,0)+IF(A79+'Summary'!$B$10*12&gt;A114,I79,0)+IF(A80+'Summary'!$B$10*12&gt;A114,I80,0)+IF(A81+'Summary'!$B$10*12&gt;A114,I81,0)+IF(A82+'Summary'!$B$10*12&gt;A114,I82,0)+IF(A83+'Summary'!$B$10*12&gt;A114,I83,0)+IF(A84+'Summary'!$B$10*12&gt;A114,I84,0)+IF(A85+'Summary'!$B$10*12&gt;A114,I85,0)+IF(A86+'Summary'!$B$10*12&gt;A114,I86,0)+IF(A87+'Summary'!$B$10*12&gt;A114,I87,0)+IF(A88+'Summary'!$B$10*12&gt;A114,I88,0)+IF(A89+'Summary'!$B$10*12&gt;A114,I89,0)+IF(A90+'Summary'!$B$10*12&gt;A114,I90,0)+IF(A91+'Summary'!$B$10*12&gt;A114,I91,0)+IF(A92+'Summary'!$B$10*12&gt;A114,I92,0)+IF(A93+'Summary'!$B$10*12&gt;A114,I93,0)+IF(A94+'Summary'!$B$10*12&gt;A114,I94,0)+IF(A95+'Summary'!$B$10*12&gt;A114,I95,0)+IF(A96+'Summary'!$B$10*12&gt;A114,I96,0)+IF(A97+'Summary'!$B$10*12&gt;A114,I97,0)+IF(A98+'Summary'!$B$10*12&gt;A114,I98,0)+IF(A99+'Summary'!$B$10*12&gt;A114,I99,0)+IF(A100+'Summary'!$B$10*12&gt;A114,I100,0)+IF(A101+'Summary'!$B$10*12&gt;A114,I101,0)+IF(A102+'Summary'!$B$10*12&gt;A114,I102,0)+IF(A103+'Summary'!$B$10*12&gt;A114,I103,0)+IF(A104+'Summary'!$B$10*12&gt;A114,I104,0)+IF(A105+'Summary'!$B$10*12&gt;A114,I105,0)+IF(A106+'Summary'!$B$10*12&gt;A114,I106,0)+IF(A107+'Summary'!$B$10*12&gt;A114,I107,0)+IF(A108+'Summary'!$B$10*12&gt;A114,I108,0)+IF(A109+'Summary'!$B$10*12&gt;A114,I109,0)+IF(A110+'Summary'!$B$10*12&gt;A114,I110,0)+IF(A111+'Summary'!$B$10*12&gt;A114,I111,0)+IF(A112+'Summary'!$B$10*12&gt;A114,I112,0)+IF(A113+'Summary'!$B$10*12&gt;A114,I113,0)+IF(A114+'Summary'!$B$10*12&gt;A114,I114,0)</x:f>
        <x:v>26231.77900878041</x:v>
      </x:c>
    </x:row>
    <x:row r="115">
      <x:c r="A115" s="55" t="n">
        <x:v>107</x:v>
      </x:c>
      <x:c r="B115" s="71" t="b">
        <x:f>A115&lt;='Summary'!$B$9*12</x:f>
        <x:v>1</x:v>
      </x:c>
      <x:c r="C115" s="62" t="n">
        <x:f>IF(A115=0,IF('Summary'!$B$6&gt;=5,'Summary'!$B$6,0),C114)+IF(A115&lt;'Summary'!$B$9*12,IF('Summary'!$B$7&gt;=5,'Summary'!$B$7,0),0)</x:f>
        <x:v>20800</x:v>
      </x:c>
      <x:c r="D115" s="62" t="n">
        <x:f>IF(A115=0,IF('Summary'!$B$6&gt;=5,'Summary'!$B$6,0),0)+IF(A115&lt;'Summary'!$B$9*12,IF('Summary'!$B$7&gt;=5,'Summary'!$B$7,0),0)</x:f>
        <x:v>100</x:v>
      </x:c>
      <x:c r="E115" s="62" t="n">
        <x:f>J114</x:f>
        <x:v>0</x:v>
      </x:c>
      <x:c r="F115" s="62" t="n">
        <x:f>(IF(AND(A115&gt;A8,A115&lt;=A8+'Summary'!$B$10*12,MOD(A115-A8,'Summary'!$B$11)=0),I8,0)+IF(AND(A115&gt;A9,A115&lt;=A9+'Summary'!$B$10*12,MOD(A115-A9,'Summary'!$B$11)=0),I9,0)+IF(AND(A115&gt;A10,A115&lt;=A10+'Summary'!$B$10*12,MOD(A115-A10,'Summary'!$B$11)=0),I10,0)+IF(AND(A115&gt;A11,A115&lt;=A11+'Summary'!$B$10*12,MOD(A115-A11,'Summary'!$B$11)=0),I11,0)+IF(AND(A115&gt;A12,A115&lt;=A12+'Summary'!$B$10*12,MOD(A115-A12,'Summary'!$B$11)=0),I12,0)+IF(AND(A115&gt;A13,A115&lt;=A13+'Summary'!$B$10*12,MOD(A115-A13,'Summary'!$B$11)=0),I13,0)+IF(AND(A115&gt;A14,A115&lt;=A14+'Summary'!$B$10*12,MOD(A115-A14,'Summary'!$B$11)=0),I14,0)+IF(AND(A115&gt;A15,A115&lt;=A15+'Summary'!$B$10*12,MOD(A115-A15,'Summary'!$B$11)=0),I15,0)+IF(AND(A115&gt;A16,A115&lt;=A16+'Summary'!$B$10*12,MOD(A115-A16,'Summary'!$B$11)=0),I16,0)+IF(AND(A115&gt;A17,A115&lt;=A17+'Summary'!$B$10*12,MOD(A115-A17,'Summary'!$B$11)=0),I17,0)+IF(AND(A115&gt;A18,A115&lt;=A18+'Summary'!$B$10*12,MOD(A115-A18,'Summary'!$B$11)=0),I18,0)+IF(AND(A115&gt;A19,A115&lt;=A19+'Summary'!$B$10*12,MOD(A115-A19,'Summary'!$B$11)=0),I19,0)+IF(AND(A115&gt;A20,A115&lt;=A20+'Summary'!$B$10*12,MOD(A115-A20,'Summary'!$B$11)=0),I20,0)+IF(AND(A115&gt;A21,A115&lt;=A21+'Summary'!$B$10*12,MOD(A115-A21,'Summary'!$B$11)=0),I21,0)+IF(AND(A115&gt;A22,A115&lt;=A22+'Summary'!$B$10*12,MOD(A115-A22,'Summary'!$B$11)=0),I22,0)+IF(AND(A115&gt;A23,A115&lt;=A23+'Summary'!$B$10*12,MOD(A115-A23,'Summary'!$B$11)=0),I23,0)+IF(AND(A115&gt;A24,A115&lt;=A24+'Summary'!$B$10*12,MOD(A115-A24,'Summary'!$B$11)=0),I24,0)+IF(AND(A115&gt;A25,A115&lt;=A25+'Summary'!$B$10*12,MOD(A115-A25,'Summary'!$B$11)=0),I25,0)+IF(AND(A115&gt;A26,A115&lt;=A26+'Summary'!$B$10*12,MOD(A115-A26,'Summary'!$B$11)=0),I26,0)+IF(AND(A115&gt;A27,A115&lt;=A27+'Summary'!$B$10*12,MOD(A115-A27,'Summary'!$B$11)=0),I27,0)+IF(AND(A115&gt;A28,A115&lt;=A28+'Summary'!$B$10*12,MOD(A115-A28,'Summary'!$B$11)=0),I28,0)+IF(AND(A115&gt;A29,A115&lt;=A29+'Summary'!$B$10*12,MOD(A115-A29,'Summary'!$B$11)=0),I29,0)+IF(AND(A115&gt;A30,A115&lt;=A30+'Summary'!$B$10*12,MOD(A115-A30,'Summary'!$B$11)=0),I30,0)+IF(AND(A115&gt;A31,A115&lt;=A31+'Summary'!$B$10*12,MOD(A115-A31,'Summary'!$B$11)=0),I31,0)+IF(AND(A115&gt;A32,A115&lt;=A32+'Summary'!$B$10*12,MOD(A115-A32,'Summary'!$B$11)=0),I32,0)+IF(AND(A115&gt;A33,A115&lt;=A33+'Summary'!$B$10*12,MOD(A115-A33,'Summary'!$B$11)=0),I33,0)+IF(AND(A115&gt;A34,A115&lt;=A34+'Summary'!$B$10*12,MOD(A115-A34,'Summary'!$B$11)=0),I34,0)+IF(AND(A115&gt;A35,A115&lt;=A35+'Summary'!$B$10*12,MOD(A115-A35,'Summary'!$B$11)=0),I35,0)+IF(AND(A115&gt;A36,A115&lt;=A36+'Summary'!$B$10*12,MOD(A115-A36,'Summary'!$B$11)=0),I36,0)+IF(AND(A115&gt;A37,A115&lt;=A37+'Summary'!$B$10*12,MOD(A115-A37,'Summary'!$B$11)=0),I37,0)+IF(AND(A115&gt;A38,A115&lt;=A38+'Summary'!$B$10*12,MOD(A115-A38,'Summary'!$B$11)=0),I38,0)+IF(AND(A115&gt;A39,A115&lt;=A39+'Summary'!$B$10*12,MOD(A115-A39,'Summary'!$B$11)=0),I39,0)+IF(AND(A115&gt;A40,A115&lt;=A40+'Summary'!$B$10*12,MOD(A115-A40,'Summary'!$B$11)=0),I40,0)+IF(AND(A115&gt;A41,A115&lt;=A41+'Summary'!$B$10*12,MOD(A115-A41,'Summary'!$B$11)=0),I41,0)+IF(AND(A115&gt;A42,A115&lt;=A42+'Summary'!$B$10*12,MOD(A115-A42,'Summary'!$B$11)=0),I42,0)+IF(AND(A115&gt;A43,A115&lt;=A43+'Summary'!$B$10*12,MOD(A115-A43,'Summary'!$B$11)=0),I43,0)+IF(AND(A115&gt;A44,A115&lt;=A44+'Summary'!$B$10*12,MOD(A115-A44,'Summary'!$B$11)=0),I44,0)+IF(AND(A115&gt;A45,A115&lt;=A45+'Summary'!$B$10*12,MOD(A115-A45,'Summary'!$B$11)=0),I45,0)+IF(AND(A115&gt;A46,A115&lt;=A46+'Summary'!$B$10*12,MOD(A115-A46,'Summary'!$B$11)=0),I46,0)+IF(AND(A115&gt;A47,A115&lt;=A47+'Summary'!$B$10*12,MOD(A115-A47,'Summary'!$B$11)=0),I47,0)+IF(AND(A115&gt;A48,A115&lt;=A48+'Summary'!$B$10*12,MOD(A115-A48,'Summary'!$B$11)=0),I48,0)+IF(AND(A115&gt;A49,A115&lt;=A49+'Summary'!$B$10*12,MOD(A115-A49,'Summary'!$B$11)=0),I49,0)+IF(AND(A115&gt;A50,A115&lt;=A50+'Summary'!$B$10*12,MOD(A115-A50,'Summary'!$B$11)=0),I50,0)+IF(AND(A115&gt;A51,A115&lt;=A51+'Summary'!$B$10*12,MOD(A115-A51,'Summary'!$B$11)=0),I51,0)+IF(AND(A115&gt;A52,A115&lt;=A52+'Summary'!$B$10*12,MOD(A115-A52,'Summary'!$B$11)=0),I52,0)+IF(AND(A115&gt;A53,A115&lt;=A53+'Summary'!$B$10*12,MOD(A115-A53,'Summary'!$B$11)=0),I53,0)+IF(AND(A115&gt;A54,A115&lt;=A54+'Summary'!$B$10*12,MOD(A115-A54,'Summary'!$B$11)=0),I54,0)+IF(AND(A115&gt;A55,A115&lt;=A55+'Summary'!$B$10*12,MOD(A115-A55,'Summary'!$B$11)=0),I55,0)+IF(AND(A115&gt;A56,A115&lt;=A56+'Summary'!$B$10*12,MOD(A115-A56,'Summary'!$B$11)=0),I56,0)+IF(AND(A115&gt;A57,A115&lt;=A57+'Summary'!$B$10*12,MOD(A115-A57,'Summary'!$B$11)=0),I57,0)+IF(AND(A115&gt;A58,A115&lt;=A58+'Summary'!$B$10*12,MOD(A115-A58,'Summary'!$B$11)=0),I58,0)+IF(AND(A115&gt;A59,A115&lt;=A59+'Summary'!$B$10*12,MOD(A115-A59,'Summary'!$B$11)=0),I59,0)+IF(AND(A115&gt;A60,A115&lt;=A60+'Summary'!$B$10*12,MOD(A115-A60,'Summary'!$B$11)=0),I60,0)+IF(AND(A115&gt;A61,A115&lt;=A61+'Summary'!$B$10*12,MOD(A115-A61,'Summary'!$B$11)=0),I61,0)+IF(AND(A115&gt;A62,A115&lt;=A62+'Summary'!$B$10*12,MOD(A115-A62,'Summary'!$B$11)=0),I62,0)+IF(AND(A115&gt;A63,A115&lt;=A63+'Summary'!$B$10*12,MOD(A115-A63,'Summary'!$B$11)=0),I63,0)+IF(AND(A115&gt;A64,A115&lt;=A64+'Summary'!$B$10*12,MOD(A115-A64,'Summary'!$B$11)=0),I64,0)+IF(AND(A115&gt;A65,A115&lt;=A65+'Summary'!$B$10*12,MOD(A115-A65,'Summary'!$B$11)=0),I65,0)+IF(AND(A115&gt;A66,A115&lt;=A66+'Summary'!$B$10*12,MOD(A115-A66,'Summary'!$B$11)=0),I66,0)+IF(AND(A115&gt;A67,A115&lt;=A67+'Summary'!$B$10*12,MOD(A115-A67,'Summary'!$B$11)=0),I67,0)+IF(AND(A115&gt;A68,A115&lt;=A68+'Summary'!$B$10*12,MOD(A115-A68,'Summary'!$B$11)=0),I68,0)+IF(AND(A115&gt;A69,A115&lt;=A69+'Summary'!$B$10*12,MOD(A115-A69,'Summary'!$B$11)=0),I69,0)+IF(AND(A115&gt;A70,A115&lt;=A70+'Summary'!$B$10*12,MOD(A115-A70,'Summary'!$B$11)=0),I70,0)+IF(AND(A115&gt;A71,A115&lt;=A71+'Summary'!$B$10*12,MOD(A115-A71,'Summary'!$B$11)=0),I71,0)+IF(AND(A115&gt;A72,A115&lt;=A72+'Summary'!$B$10*12,MOD(A115-A72,'Summary'!$B$11)=0),I72,0)+IF(AND(A115&gt;A73,A115&lt;=A73+'Summary'!$B$10*12,MOD(A115-A73,'Summary'!$B$11)=0),I73,0)+IF(AND(A115&gt;A74,A115&lt;=A74+'Summary'!$B$10*12,MOD(A115-A74,'Summary'!$B$11)=0),I74,0)+IF(AND(A115&gt;A75,A115&lt;=A75+'Summary'!$B$10*12,MOD(A115-A75,'Summary'!$B$11)=0),I75,0)+IF(AND(A115&gt;A76,A115&lt;=A76+'Summary'!$B$10*12,MOD(A115-A76,'Summary'!$B$11)=0),I76,0)+IF(AND(A115&gt;A77,A115&lt;=A77+'Summary'!$B$10*12,MOD(A115-A77,'Summary'!$B$11)=0),I77,0)+IF(AND(A115&gt;A78,A115&lt;=A78+'Summary'!$B$10*12,MOD(A115-A78,'Summary'!$B$11)=0),I78,0)+IF(AND(A115&gt;A79,A115&lt;=A79+'Summary'!$B$10*12,MOD(A115-A79,'Summary'!$B$11)=0),I79,0)+IF(AND(A115&gt;A80,A115&lt;=A80+'Summary'!$B$10*12,MOD(A115-A80,'Summary'!$B$11)=0),I80,0)+IF(AND(A115&gt;A81,A115&lt;=A81+'Summary'!$B$10*12,MOD(A115-A81,'Summary'!$B$11)=0),I81,0)+IF(AND(A115&gt;A82,A115&lt;=A82+'Summary'!$B$10*12,MOD(A115-A82,'Summary'!$B$11)=0),I82,0)+IF(AND(A115&gt;A83,A115&lt;=A83+'Summary'!$B$10*12,MOD(A115-A83,'Summary'!$B$11)=0),I83,0)+IF(AND(A115&gt;A84,A115&lt;=A84+'Summary'!$B$10*12,MOD(A115-A84,'Summary'!$B$11)=0),I84,0)+IF(AND(A115&gt;A85,A115&lt;=A85+'Summary'!$B$10*12,MOD(A115-A85,'Summary'!$B$11)=0),I85,0)+IF(AND(A115&gt;A86,A115&lt;=A86+'Summary'!$B$10*12,MOD(A115-A86,'Summary'!$B$11)=0),I86,0)+IF(AND(A115&gt;A87,A115&lt;=A87+'Summary'!$B$10*12,MOD(A115-A87,'Summary'!$B$11)=0),I87,0)+IF(AND(A115&gt;A88,A115&lt;=A88+'Summary'!$B$10*12,MOD(A115-A88,'Summary'!$B$11)=0),I88,0)+IF(AND(A115&gt;A89,A115&lt;=A89+'Summary'!$B$10*12,MOD(A115-A89,'Summary'!$B$11)=0),I89,0)+IF(AND(A115&gt;A90,A115&lt;=A90+'Summary'!$B$10*12,MOD(A115-A90,'Summary'!$B$11)=0),I90,0)+IF(AND(A115&gt;A91,A115&lt;=A91+'Summary'!$B$10*12,MOD(A115-A91,'Summary'!$B$11)=0),I91,0)+IF(AND(A115&gt;A92,A115&lt;=A92+'Summary'!$B$10*12,MOD(A115-A92,'Summary'!$B$11)=0),I92,0)+IF(AND(A115&gt;A93,A115&lt;=A93+'Summary'!$B$10*12,MOD(A115-A93,'Summary'!$B$11)=0),I93,0)+IF(AND(A115&gt;A94,A115&lt;=A94+'Summary'!$B$10*12,MOD(A115-A94,'Summary'!$B$11)=0),I94,0)+IF(AND(A115&gt;A95,A115&lt;=A95+'Summary'!$B$10*12,MOD(A115-A95,'Summary'!$B$11)=0),I95,0)+IF(AND(A115&gt;A96,A115&lt;=A96+'Summary'!$B$10*12,MOD(A115-A96,'Summary'!$B$11)=0),I96,0)+IF(AND(A115&gt;A97,A115&lt;=A97+'Summary'!$B$10*12,MOD(A115-A97,'Summary'!$B$11)=0),I97,0)+IF(AND(A115&gt;A98,A115&lt;=A98+'Summary'!$B$10*12,MOD(A115-A98,'Summary'!$B$11)=0),I98,0)+IF(AND(A115&gt;A99,A115&lt;=A99+'Summary'!$B$10*12,MOD(A115-A99,'Summary'!$B$11)=0),I99,0)+IF(AND(A115&gt;A100,A115&lt;=A100+'Summary'!$B$10*12,MOD(A115-A100,'Summary'!$B$11)=0),I100,0)+IF(AND(A115&gt;A101,A115&lt;=A101+'Summary'!$B$10*12,MOD(A115-A101,'Summary'!$B$11)=0),I101,0)+IF(AND(A115&gt;A102,A115&lt;=A102+'Summary'!$B$10*12,MOD(A115-A102,'Summary'!$B$11)=0),I102,0)+IF(AND(A115&gt;A103,A115&lt;=A103+'Summary'!$B$10*12,MOD(A115-A103,'Summary'!$B$11)=0),I103,0)+IF(AND(A115&gt;A104,A115&lt;=A104+'Summary'!$B$10*12,MOD(A115-A104,'Summary'!$B$11)=0),I104,0)+IF(AND(A115&gt;A105,A115&lt;=A105+'Summary'!$B$10*12,MOD(A115-A105,'Summary'!$B$11)=0),I105,0)+IF(AND(A115&gt;A106,A115&lt;=A106+'Summary'!$B$10*12,MOD(A115-A106,'Summary'!$B$11)=0),I106,0)+IF(AND(A115&gt;A107,A115&lt;=A107+'Summary'!$B$10*12,MOD(A115-A107,'Summary'!$B$11)=0),I107,0)+IF(AND(A115&gt;A108,A115&lt;=A108+'Summary'!$B$10*12,MOD(A115-A108,'Summary'!$B$11)=0),I108,0)+IF(AND(A115&gt;A109,A115&lt;=A109+'Summary'!$B$10*12,MOD(A115-A109,'Summary'!$B$11)=0),I109,0)+IF(AND(A115&gt;A110,A115&lt;=A110+'Summary'!$B$10*12,MOD(A115-A110,'Summary'!$B$11)=0),I110,0)+IF(AND(A115&gt;A111,A115&lt;=A111+'Summary'!$B$10*12,MOD(A115-A111,'Summary'!$B$11)=0),I111,0)+IF(AND(A115&gt;A112,A115&lt;=A112+'Summary'!$B$10*12,MOD(A115-A112,'Summary'!$B$11)=0),I112,0)+IF(AND(A115&gt;A113,A115&lt;=A113+'Summary'!$B$10*12,MOD(A115-A113,'Summary'!$B$11)=0),I113,0)+IF(AND(A115&gt;A114,A115&lt;=A114+'Summary'!$B$10*12,MOD(A115-A114,'Summary'!$B$11)=0),I114,0))*'Summary'!$B$8/2</x:f>
        <x:v>36.792542381908156</x:v>
      </x:c>
      <x:c r="G115" s="62" t="n">
        <x:f>IF(A115=A8+'Summary'!$B$10*12,I8,0)+IF(A115=A9+'Summary'!$B$10*12,I9,0)+IF(A115=A10+'Summary'!$B$10*12,I10,0)+IF(A115=A11+'Summary'!$B$10*12,I11,0)+IF(A115=A12+'Summary'!$B$10*12,I12,0)+IF(A115=A13+'Summary'!$B$10*12,I13,0)+IF(A115=A14+'Summary'!$B$10*12,I14,0)+IF(A115=A15+'Summary'!$B$10*12,I15,0)+IF(A115=A16+'Summary'!$B$10*12,I16,0)+IF(A115=A17+'Summary'!$B$10*12,I17,0)+IF(A115=A18+'Summary'!$B$10*12,I18,0)+IF(A115=A19+'Summary'!$B$10*12,I19,0)+IF(A115=A20+'Summary'!$B$10*12,I20,0)+IF(A115=A21+'Summary'!$B$10*12,I21,0)+IF(A115=A22+'Summary'!$B$10*12,I22,0)+IF(A115=A23+'Summary'!$B$10*12,I23,0)+IF(A115=A24+'Summary'!$B$10*12,I24,0)+IF(A115=A25+'Summary'!$B$10*12,I25,0)+IF(A115=A26+'Summary'!$B$10*12,I26,0)+IF(A115=A27+'Summary'!$B$10*12,I27,0)+IF(A115=A28+'Summary'!$B$10*12,I28,0)+IF(A115=A29+'Summary'!$B$10*12,I29,0)+IF(A115=A30+'Summary'!$B$10*12,I30,0)+IF(A115=A31+'Summary'!$B$10*12,I31,0)+IF(A115=A32+'Summary'!$B$10*12,I32,0)+IF(A115=A33+'Summary'!$B$10*12,I33,0)+IF(A115=A34+'Summary'!$B$10*12,I34,0)+IF(A115=A35+'Summary'!$B$10*12,I35,0)+IF(A115=A36+'Summary'!$B$10*12,I36,0)+IF(A115=A37+'Summary'!$B$10*12,I37,0)+IF(A115=A38+'Summary'!$B$10*12,I38,0)+IF(A115=A39+'Summary'!$B$10*12,I39,0)+IF(A115=A40+'Summary'!$B$10*12,I40,0)+IF(A115=A41+'Summary'!$B$10*12,I41,0)+IF(A115=A42+'Summary'!$B$10*12,I42,0)+IF(A115=A43+'Summary'!$B$10*12,I43,0)+IF(A115=A44+'Summary'!$B$10*12,I44,0)+IF(A115=A45+'Summary'!$B$10*12,I45,0)+IF(A115=A46+'Summary'!$B$10*12,I46,0)+IF(A115=A47+'Summary'!$B$10*12,I47,0)+IF(A115=A48+'Summary'!$B$10*12,I48,0)+IF(A115=A49+'Summary'!$B$10*12,I49,0)+IF(A115=A50+'Summary'!$B$10*12,I50,0)+IF(A115=A51+'Summary'!$B$10*12,I51,0)+IF(A115=A52+'Summary'!$B$10*12,I52,0)+IF(A115=A53+'Summary'!$B$10*12,I53,0)+IF(A115=A54+'Summary'!$B$10*12,I54,0)+IF(A115=A55+'Summary'!$B$10*12,I55,0)+IF(A115=A56+'Summary'!$B$10*12,I56,0)+IF(A115=A57+'Summary'!$B$10*12,I57,0)+IF(A115=A58+'Summary'!$B$10*12,I58,0)+IF(A115=A59+'Summary'!$B$10*12,I59,0)+IF(A115=A60+'Summary'!$B$10*12,I60,0)+IF(A115=A61+'Summary'!$B$10*12,I61,0)+IF(A115=A62+'Summary'!$B$10*12,I62,0)+IF(A115=A63+'Summary'!$B$10*12,I63,0)+IF(A115=A64+'Summary'!$B$10*12,I64,0)+IF(A115=A65+'Summary'!$B$10*12,I65,0)+IF(A115=A66+'Summary'!$B$10*12,I66,0)+IF(A115=A67+'Summary'!$B$10*12,I67,0)+IF(A115=A68+'Summary'!$B$10*12,I68,0)+IF(A115=A69+'Summary'!$B$10*12,I69,0)+IF(A115=A70+'Summary'!$B$10*12,I70,0)+IF(A115=A71+'Summary'!$B$10*12,I71,0)+IF(A115=A72+'Summary'!$B$10*12,I72,0)+IF(A115=A73+'Summary'!$B$10*12,I73,0)+IF(A115=A74+'Summary'!$B$10*12,I74,0)+IF(A115=A75+'Summary'!$B$10*12,I75,0)+IF(A115=A76+'Summary'!$B$10*12,I76,0)+IF(A115=A77+'Summary'!$B$10*12,I77,0)+IF(A115=A78+'Summary'!$B$10*12,I78,0)+IF(A115=A79+'Summary'!$B$10*12,I79,0)+IF(A115=A80+'Summary'!$B$10*12,I80,0)+IF(A115=A81+'Summary'!$B$10*12,I81,0)+IF(A115=A82+'Summary'!$B$10*12,I82,0)+IF(A115=A83+'Summary'!$B$10*12,I83,0)+IF(A115=A84+'Summary'!$B$10*12,I84,0)+IF(A115=A85+'Summary'!$B$10*12,I85,0)+IF(A115=A86+'Summary'!$B$10*12,I86,0)+IF(A115=A87+'Summary'!$B$10*12,I87,0)+IF(A115=A88+'Summary'!$B$10*12,I88,0)+IF(A115=A89+'Summary'!$B$10*12,I89,0)+IF(A115=A90+'Summary'!$B$10*12,I90,0)+IF(A115=A91+'Summary'!$B$10*12,I91,0)+IF(A115=A92+'Summary'!$B$10*12,I92,0)+IF(A115=A93+'Summary'!$B$10*12,I93,0)+IF(A115=A94+'Summary'!$B$10*12,I94,0)+IF(A115=A95+'Summary'!$B$10*12,I95,0)+IF(A115=A96+'Summary'!$B$10*12,I96,0)+IF(A115=A97+'Summary'!$B$10*12,I97,0)+IF(A115=A98+'Summary'!$B$10*12,I98,0)+IF(A115=A99+'Summary'!$B$10*12,I99,0)+IF(A115=A100+'Summary'!$B$10*12,I100,0)+IF(A115=A101+'Summary'!$B$10*12,I101,0)+IF(A115=A102+'Summary'!$B$10*12,I102,0)+IF(A115=A103+'Summary'!$B$10*12,I103,0)+IF(A115=A104+'Summary'!$B$10*12,I104,0)+IF(A115=A105+'Summary'!$B$10*12,I105,0)+IF(A115=A106+'Summary'!$B$10*12,I106,0)+IF(A115=A107+'Summary'!$B$10*12,I107,0)+IF(A115=A108+'Summary'!$B$10*12,I108,0)+IF(A115=A109+'Summary'!$B$10*12,I109,0)+IF(A115=A110+'Summary'!$B$10*12,I110,0)+IF(A115=A111+'Summary'!$B$10*12,I111,0)+IF(A115=A112+'Summary'!$B$10*12,I112,0)+IF(A115=A113+'Summary'!$B$10*12,I113,0)+IF(A115=A114+'Summary'!$B$10*12,I114,0)</x:f>
        <x:v>113.76946160921362</x:v>
      </x:c>
      <x:c r="H115" s="62" t="n">
        <x:f>E115+D115+F115+G115</x:f>
        <x:v>250.5620039911218</x:v>
      </x:c>
      <x:c r="I115" s="62" t="n">
        <x:f>IF(B115,IF(H115&gt;='Summary'!$B$12,H115,0),0)</x:f>
        <x:v>250.5620039911218</x:v>
      </x:c>
      <x:c r="J115" s="62" t="n">
        <x:f>H115-I115</x:f>
        <x:v>0</x:v>
      </x:c>
      <x:c r="K115" s="63" t="n">
        <x:f>J115+IF(A8+'Summary'!$B$10*12&gt;A115,I8,0)+IF(A9+'Summary'!$B$10*12&gt;A115,I9,0)+IF(A10+'Summary'!$B$10*12&gt;A115,I10,0)+IF(A11+'Summary'!$B$10*12&gt;A115,I11,0)+IF(A12+'Summary'!$B$10*12&gt;A115,I12,0)+IF(A13+'Summary'!$B$10*12&gt;A115,I13,0)+IF(A14+'Summary'!$B$10*12&gt;A115,I14,0)+IF(A15+'Summary'!$B$10*12&gt;A115,I15,0)+IF(A16+'Summary'!$B$10*12&gt;A115,I16,0)+IF(A17+'Summary'!$B$10*12&gt;A115,I17,0)+IF(A18+'Summary'!$B$10*12&gt;A115,I18,0)+IF(A19+'Summary'!$B$10*12&gt;A115,I19,0)+IF(A20+'Summary'!$B$10*12&gt;A115,I20,0)+IF(A21+'Summary'!$B$10*12&gt;A115,I21,0)+IF(A22+'Summary'!$B$10*12&gt;A115,I22,0)+IF(A23+'Summary'!$B$10*12&gt;A115,I23,0)+IF(A24+'Summary'!$B$10*12&gt;A115,I24,0)+IF(A25+'Summary'!$B$10*12&gt;A115,I25,0)+IF(A26+'Summary'!$B$10*12&gt;A115,I26,0)+IF(A27+'Summary'!$B$10*12&gt;A115,I27,0)+IF(A28+'Summary'!$B$10*12&gt;A115,I28,0)+IF(A29+'Summary'!$B$10*12&gt;A115,I29,0)+IF(A30+'Summary'!$B$10*12&gt;A115,I30,0)+IF(A31+'Summary'!$B$10*12&gt;A115,I31,0)+IF(A32+'Summary'!$B$10*12&gt;A115,I32,0)+IF(A33+'Summary'!$B$10*12&gt;A115,I33,0)+IF(A34+'Summary'!$B$10*12&gt;A115,I34,0)+IF(A35+'Summary'!$B$10*12&gt;A115,I35,0)+IF(A36+'Summary'!$B$10*12&gt;A115,I36,0)+IF(A37+'Summary'!$B$10*12&gt;A115,I37,0)+IF(A38+'Summary'!$B$10*12&gt;A115,I38,0)+IF(A39+'Summary'!$B$10*12&gt;A115,I39,0)+IF(A40+'Summary'!$B$10*12&gt;A115,I40,0)+IF(A41+'Summary'!$B$10*12&gt;A115,I41,0)+IF(A42+'Summary'!$B$10*12&gt;A115,I42,0)+IF(A43+'Summary'!$B$10*12&gt;A115,I43,0)+IF(A44+'Summary'!$B$10*12&gt;A115,I44,0)+IF(A45+'Summary'!$B$10*12&gt;A115,I45,0)+IF(A46+'Summary'!$B$10*12&gt;A115,I46,0)+IF(A47+'Summary'!$B$10*12&gt;A115,I47,0)+IF(A48+'Summary'!$B$10*12&gt;A115,I48,0)+IF(A49+'Summary'!$B$10*12&gt;A115,I49,0)+IF(A50+'Summary'!$B$10*12&gt;A115,I50,0)+IF(A51+'Summary'!$B$10*12&gt;A115,I51,0)+IF(A52+'Summary'!$B$10*12&gt;A115,I52,0)+IF(A53+'Summary'!$B$10*12&gt;A115,I53,0)+IF(A54+'Summary'!$B$10*12&gt;A115,I54,0)+IF(A55+'Summary'!$B$10*12&gt;A115,I55,0)+IF(A56+'Summary'!$B$10*12&gt;A115,I56,0)+IF(A57+'Summary'!$B$10*12&gt;A115,I57,0)+IF(A58+'Summary'!$B$10*12&gt;A115,I58,0)+IF(A59+'Summary'!$B$10*12&gt;A115,I59,0)+IF(A60+'Summary'!$B$10*12&gt;A115,I60,0)+IF(A61+'Summary'!$B$10*12&gt;A115,I61,0)+IF(A62+'Summary'!$B$10*12&gt;A115,I62,0)+IF(A63+'Summary'!$B$10*12&gt;A115,I63,0)+IF(A64+'Summary'!$B$10*12&gt;A115,I64,0)+IF(A65+'Summary'!$B$10*12&gt;A115,I65,0)+IF(A66+'Summary'!$B$10*12&gt;A115,I66,0)+IF(A67+'Summary'!$B$10*12&gt;A115,I67,0)+IF(A68+'Summary'!$B$10*12&gt;A115,I68,0)+IF(A69+'Summary'!$B$10*12&gt;A115,I69,0)+IF(A70+'Summary'!$B$10*12&gt;A115,I70,0)+IF(A71+'Summary'!$B$10*12&gt;A115,I71,0)+IF(A72+'Summary'!$B$10*12&gt;A115,I72,0)+IF(A73+'Summary'!$B$10*12&gt;A115,I73,0)+IF(A74+'Summary'!$B$10*12&gt;A115,I74,0)+IF(A75+'Summary'!$B$10*12&gt;A115,I75,0)+IF(A76+'Summary'!$B$10*12&gt;A115,I76,0)+IF(A77+'Summary'!$B$10*12&gt;A115,I77,0)+IF(A78+'Summary'!$B$10*12&gt;A115,I78,0)+IF(A79+'Summary'!$B$10*12&gt;A115,I79,0)+IF(A80+'Summary'!$B$10*12&gt;A115,I80,0)+IF(A81+'Summary'!$B$10*12&gt;A115,I81,0)+IF(A82+'Summary'!$B$10*12&gt;A115,I82,0)+IF(A83+'Summary'!$B$10*12&gt;A115,I83,0)+IF(A84+'Summary'!$B$10*12&gt;A115,I84,0)+IF(A85+'Summary'!$B$10*12&gt;A115,I85,0)+IF(A86+'Summary'!$B$10*12&gt;A115,I86,0)+IF(A87+'Summary'!$B$10*12&gt;A115,I87,0)+IF(A88+'Summary'!$B$10*12&gt;A115,I88,0)+IF(A89+'Summary'!$B$10*12&gt;A115,I89,0)+IF(A90+'Summary'!$B$10*12&gt;A115,I90,0)+IF(A91+'Summary'!$B$10*12&gt;A115,I91,0)+IF(A92+'Summary'!$B$10*12&gt;A115,I92,0)+IF(A93+'Summary'!$B$10*12&gt;A115,I93,0)+IF(A94+'Summary'!$B$10*12&gt;A115,I94,0)+IF(A95+'Summary'!$B$10*12&gt;A115,I95,0)+IF(A96+'Summary'!$B$10*12&gt;A115,I96,0)+IF(A97+'Summary'!$B$10*12&gt;A115,I97,0)+IF(A98+'Summary'!$B$10*12&gt;A115,I98,0)+IF(A99+'Summary'!$B$10*12&gt;A115,I99,0)+IF(A100+'Summary'!$B$10*12&gt;A115,I100,0)+IF(A101+'Summary'!$B$10*12&gt;A115,I101,0)+IF(A102+'Summary'!$B$10*12&gt;A115,I102,0)+IF(A103+'Summary'!$B$10*12&gt;A115,I103,0)+IF(A104+'Summary'!$B$10*12&gt;A115,I104,0)+IF(A105+'Summary'!$B$10*12&gt;A115,I105,0)+IF(A106+'Summary'!$B$10*12&gt;A115,I106,0)+IF(A107+'Summary'!$B$10*12&gt;A115,I107,0)+IF(A108+'Summary'!$B$10*12&gt;A115,I108,0)+IF(A109+'Summary'!$B$10*12&gt;A115,I109,0)+IF(A110+'Summary'!$B$10*12&gt;A115,I110,0)+IF(A111+'Summary'!$B$10*12&gt;A115,I111,0)+IF(A112+'Summary'!$B$10*12&gt;A115,I112,0)+IF(A113+'Summary'!$B$10*12&gt;A115,I113,0)+IF(A114+'Summary'!$B$10*12&gt;A115,I114,0)+IF(A115+'Summary'!$B$10*12&gt;A115,I115,0)</x:f>
        <x:v>26368.571551162317</x:v>
      </x:c>
    </x:row>
    <x:row r="116">
      <x:c r="A116" s="55" t="n">
        <x:v>108</x:v>
      </x:c>
      <x:c r="B116" s="71" t="b">
        <x:f>A116&lt;='Summary'!$B$9*12</x:f>
        <x:v>1</x:v>
      </x:c>
      <x:c r="C116" s="62" t="n">
        <x:f>IF(A116=0,IF('Summary'!$B$6&gt;=5,'Summary'!$B$6,0),C115)+IF(A116&lt;'Summary'!$B$9*12,IF('Summary'!$B$7&gt;=5,'Summary'!$B$7,0),0)</x:f>
        <x:v>20900</x:v>
      </x:c>
      <x:c r="D116" s="62" t="n">
        <x:f>IF(A116=0,IF('Summary'!$B$6&gt;=5,'Summary'!$B$6,0),0)+IF(A116&lt;'Summary'!$B$9*12,IF('Summary'!$B$7&gt;=5,'Summary'!$B$7,0),0)</x:f>
        <x:v>100</x:v>
      </x:c>
      <x:c r="E116" s="62" t="n">
        <x:f>J115</x:f>
        <x:v>0</x:v>
      </x:c>
      <x:c r="F116" s="62" t="n">
        <x:f>(IF(AND(A116&gt;A8,A116&lt;=A8+'Summary'!$B$10*12,MOD(A116-A8,'Summary'!$B$11)=0),I8,0)+IF(AND(A116&gt;A9,A116&lt;=A9+'Summary'!$B$10*12,MOD(A116-A9,'Summary'!$B$11)=0),I9,0)+IF(AND(A116&gt;A10,A116&lt;=A10+'Summary'!$B$10*12,MOD(A116-A10,'Summary'!$B$11)=0),I10,0)+IF(AND(A116&gt;A11,A116&lt;=A11+'Summary'!$B$10*12,MOD(A116-A11,'Summary'!$B$11)=0),I11,0)+IF(AND(A116&gt;A12,A116&lt;=A12+'Summary'!$B$10*12,MOD(A116-A12,'Summary'!$B$11)=0),I12,0)+IF(AND(A116&gt;A13,A116&lt;=A13+'Summary'!$B$10*12,MOD(A116-A13,'Summary'!$B$11)=0),I13,0)+IF(AND(A116&gt;A14,A116&lt;=A14+'Summary'!$B$10*12,MOD(A116-A14,'Summary'!$B$11)=0),I14,0)+IF(AND(A116&gt;A15,A116&lt;=A15+'Summary'!$B$10*12,MOD(A116-A15,'Summary'!$B$11)=0),I15,0)+IF(AND(A116&gt;A16,A116&lt;=A16+'Summary'!$B$10*12,MOD(A116-A16,'Summary'!$B$11)=0),I16,0)+IF(AND(A116&gt;A17,A116&lt;=A17+'Summary'!$B$10*12,MOD(A116-A17,'Summary'!$B$11)=0),I17,0)+IF(AND(A116&gt;A18,A116&lt;=A18+'Summary'!$B$10*12,MOD(A116-A18,'Summary'!$B$11)=0),I18,0)+IF(AND(A116&gt;A19,A116&lt;=A19+'Summary'!$B$10*12,MOD(A116-A19,'Summary'!$B$11)=0),I19,0)+IF(AND(A116&gt;A20,A116&lt;=A20+'Summary'!$B$10*12,MOD(A116-A20,'Summary'!$B$11)=0),I20,0)+IF(AND(A116&gt;A21,A116&lt;=A21+'Summary'!$B$10*12,MOD(A116-A21,'Summary'!$B$11)=0),I21,0)+IF(AND(A116&gt;A22,A116&lt;=A22+'Summary'!$B$10*12,MOD(A116-A22,'Summary'!$B$11)=0),I22,0)+IF(AND(A116&gt;A23,A116&lt;=A23+'Summary'!$B$10*12,MOD(A116-A23,'Summary'!$B$11)=0),I23,0)+IF(AND(A116&gt;A24,A116&lt;=A24+'Summary'!$B$10*12,MOD(A116-A24,'Summary'!$B$11)=0),I24,0)+IF(AND(A116&gt;A25,A116&lt;=A25+'Summary'!$B$10*12,MOD(A116-A25,'Summary'!$B$11)=0),I25,0)+IF(AND(A116&gt;A26,A116&lt;=A26+'Summary'!$B$10*12,MOD(A116-A26,'Summary'!$B$11)=0),I26,0)+IF(AND(A116&gt;A27,A116&lt;=A27+'Summary'!$B$10*12,MOD(A116-A27,'Summary'!$B$11)=0),I27,0)+IF(AND(A116&gt;A28,A116&lt;=A28+'Summary'!$B$10*12,MOD(A116-A28,'Summary'!$B$11)=0),I28,0)+IF(AND(A116&gt;A29,A116&lt;=A29+'Summary'!$B$10*12,MOD(A116-A29,'Summary'!$B$11)=0),I29,0)+IF(AND(A116&gt;A30,A116&lt;=A30+'Summary'!$B$10*12,MOD(A116-A30,'Summary'!$B$11)=0),I30,0)+IF(AND(A116&gt;A31,A116&lt;=A31+'Summary'!$B$10*12,MOD(A116-A31,'Summary'!$B$11)=0),I31,0)+IF(AND(A116&gt;A32,A116&lt;=A32+'Summary'!$B$10*12,MOD(A116-A32,'Summary'!$B$11)=0),I32,0)+IF(AND(A116&gt;A33,A116&lt;=A33+'Summary'!$B$10*12,MOD(A116-A33,'Summary'!$B$11)=0),I33,0)+IF(AND(A116&gt;A34,A116&lt;=A34+'Summary'!$B$10*12,MOD(A116-A34,'Summary'!$B$11)=0),I34,0)+IF(AND(A116&gt;A35,A116&lt;=A35+'Summary'!$B$10*12,MOD(A116-A35,'Summary'!$B$11)=0),I35,0)+IF(AND(A116&gt;A36,A116&lt;=A36+'Summary'!$B$10*12,MOD(A116-A36,'Summary'!$B$11)=0),I36,0)+IF(AND(A116&gt;A37,A116&lt;=A37+'Summary'!$B$10*12,MOD(A116-A37,'Summary'!$B$11)=0),I37,0)+IF(AND(A116&gt;A38,A116&lt;=A38+'Summary'!$B$10*12,MOD(A116-A38,'Summary'!$B$11)=0),I38,0)+IF(AND(A116&gt;A39,A116&lt;=A39+'Summary'!$B$10*12,MOD(A116-A39,'Summary'!$B$11)=0),I39,0)+IF(AND(A116&gt;A40,A116&lt;=A40+'Summary'!$B$10*12,MOD(A116-A40,'Summary'!$B$11)=0),I40,0)+IF(AND(A116&gt;A41,A116&lt;=A41+'Summary'!$B$10*12,MOD(A116-A41,'Summary'!$B$11)=0),I41,0)+IF(AND(A116&gt;A42,A116&lt;=A42+'Summary'!$B$10*12,MOD(A116-A42,'Summary'!$B$11)=0),I42,0)+IF(AND(A116&gt;A43,A116&lt;=A43+'Summary'!$B$10*12,MOD(A116-A43,'Summary'!$B$11)=0),I43,0)+IF(AND(A116&gt;A44,A116&lt;=A44+'Summary'!$B$10*12,MOD(A116-A44,'Summary'!$B$11)=0),I44,0)+IF(AND(A116&gt;A45,A116&lt;=A45+'Summary'!$B$10*12,MOD(A116-A45,'Summary'!$B$11)=0),I45,0)+IF(AND(A116&gt;A46,A116&lt;=A46+'Summary'!$B$10*12,MOD(A116-A46,'Summary'!$B$11)=0),I46,0)+IF(AND(A116&gt;A47,A116&lt;=A47+'Summary'!$B$10*12,MOD(A116-A47,'Summary'!$B$11)=0),I47,0)+IF(AND(A116&gt;A48,A116&lt;=A48+'Summary'!$B$10*12,MOD(A116-A48,'Summary'!$B$11)=0),I48,0)+IF(AND(A116&gt;A49,A116&lt;=A49+'Summary'!$B$10*12,MOD(A116-A49,'Summary'!$B$11)=0),I49,0)+IF(AND(A116&gt;A50,A116&lt;=A50+'Summary'!$B$10*12,MOD(A116-A50,'Summary'!$B$11)=0),I50,0)+IF(AND(A116&gt;A51,A116&lt;=A51+'Summary'!$B$10*12,MOD(A116-A51,'Summary'!$B$11)=0),I51,0)+IF(AND(A116&gt;A52,A116&lt;=A52+'Summary'!$B$10*12,MOD(A116-A52,'Summary'!$B$11)=0),I52,0)+IF(AND(A116&gt;A53,A116&lt;=A53+'Summary'!$B$10*12,MOD(A116-A53,'Summary'!$B$11)=0),I53,0)+IF(AND(A116&gt;A54,A116&lt;=A54+'Summary'!$B$10*12,MOD(A116-A54,'Summary'!$B$11)=0),I54,0)+IF(AND(A116&gt;A55,A116&lt;=A55+'Summary'!$B$10*12,MOD(A116-A55,'Summary'!$B$11)=0),I55,0)+IF(AND(A116&gt;A56,A116&lt;=A56+'Summary'!$B$10*12,MOD(A116-A56,'Summary'!$B$11)=0),I56,0)+IF(AND(A116&gt;A57,A116&lt;=A57+'Summary'!$B$10*12,MOD(A116-A57,'Summary'!$B$11)=0),I57,0)+IF(AND(A116&gt;A58,A116&lt;=A58+'Summary'!$B$10*12,MOD(A116-A58,'Summary'!$B$11)=0),I58,0)+IF(AND(A116&gt;A59,A116&lt;=A59+'Summary'!$B$10*12,MOD(A116-A59,'Summary'!$B$11)=0),I59,0)+IF(AND(A116&gt;A60,A116&lt;=A60+'Summary'!$B$10*12,MOD(A116-A60,'Summary'!$B$11)=0),I60,0)+IF(AND(A116&gt;A61,A116&lt;=A61+'Summary'!$B$10*12,MOD(A116-A61,'Summary'!$B$11)=0),I61,0)+IF(AND(A116&gt;A62,A116&lt;=A62+'Summary'!$B$10*12,MOD(A116-A62,'Summary'!$B$11)=0),I62,0)+IF(AND(A116&gt;A63,A116&lt;=A63+'Summary'!$B$10*12,MOD(A116-A63,'Summary'!$B$11)=0),I63,0)+IF(AND(A116&gt;A64,A116&lt;=A64+'Summary'!$B$10*12,MOD(A116-A64,'Summary'!$B$11)=0),I64,0)+IF(AND(A116&gt;A65,A116&lt;=A65+'Summary'!$B$10*12,MOD(A116-A65,'Summary'!$B$11)=0),I65,0)+IF(AND(A116&gt;A66,A116&lt;=A66+'Summary'!$B$10*12,MOD(A116-A66,'Summary'!$B$11)=0),I66,0)+IF(AND(A116&gt;A67,A116&lt;=A67+'Summary'!$B$10*12,MOD(A116-A67,'Summary'!$B$11)=0),I67,0)+IF(AND(A116&gt;A68,A116&lt;=A68+'Summary'!$B$10*12,MOD(A116-A68,'Summary'!$B$11)=0),I68,0)+IF(AND(A116&gt;A69,A116&lt;=A69+'Summary'!$B$10*12,MOD(A116-A69,'Summary'!$B$11)=0),I69,0)+IF(AND(A116&gt;A70,A116&lt;=A70+'Summary'!$B$10*12,MOD(A116-A70,'Summary'!$B$11)=0),I70,0)+IF(AND(A116&gt;A71,A116&lt;=A71+'Summary'!$B$10*12,MOD(A116-A71,'Summary'!$B$11)=0),I71,0)+IF(AND(A116&gt;A72,A116&lt;=A72+'Summary'!$B$10*12,MOD(A116-A72,'Summary'!$B$11)=0),I72,0)+IF(AND(A116&gt;A73,A116&lt;=A73+'Summary'!$B$10*12,MOD(A116-A73,'Summary'!$B$11)=0),I73,0)+IF(AND(A116&gt;A74,A116&lt;=A74+'Summary'!$B$10*12,MOD(A116-A74,'Summary'!$B$11)=0),I74,0)+IF(AND(A116&gt;A75,A116&lt;=A75+'Summary'!$B$10*12,MOD(A116-A75,'Summary'!$B$11)=0),I75,0)+IF(AND(A116&gt;A76,A116&lt;=A76+'Summary'!$B$10*12,MOD(A116-A76,'Summary'!$B$11)=0),I76,0)+IF(AND(A116&gt;A77,A116&lt;=A77+'Summary'!$B$10*12,MOD(A116-A77,'Summary'!$B$11)=0),I77,0)+IF(AND(A116&gt;A78,A116&lt;=A78+'Summary'!$B$10*12,MOD(A116-A78,'Summary'!$B$11)=0),I78,0)+IF(AND(A116&gt;A79,A116&lt;=A79+'Summary'!$B$10*12,MOD(A116-A79,'Summary'!$B$11)=0),I79,0)+IF(AND(A116&gt;A80,A116&lt;=A80+'Summary'!$B$10*12,MOD(A116-A80,'Summary'!$B$11)=0),I80,0)+IF(AND(A116&gt;A81,A116&lt;=A81+'Summary'!$B$10*12,MOD(A116-A81,'Summary'!$B$11)=0),I81,0)+IF(AND(A116&gt;A82,A116&lt;=A82+'Summary'!$B$10*12,MOD(A116-A82,'Summary'!$B$11)=0),I82,0)+IF(AND(A116&gt;A83,A116&lt;=A83+'Summary'!$B$10*12,MOD(A116-A83,'Summary'!$B$11)=0),I83,0)+IF(AND(A116&gt;A84,A116&lt;=A84+'Summary'!$B$10*12,MOD(A116-A84,'Summary'!$B$11)=0),I84,0)+IF(AND(A116&gt;A85,A116&lt;=A85+'Summary'!$B$10*12,MOD(A116-A85,'Summary'!$B$11)=0),I85,0)+IF(AND(A116&gt;A86,A116&lt;=A86+'Summary'!$B$10*12,MOD(A116-A86,'Summary'!$B$11)=0),I86,0)+IF(AND(A116&gt;A87,A116&lt;=A87+'Summary'!$B$10*12,MOD(A116-A87,'Summary'!$B$11)=0),I87,0)+IF(AND(A116&gt;A88,A116&lt;=A88+'Summary'!$B$10*12,MOD(A116-A88,'Summary'!$B$11)=0),I88,0)+IF(AND(A116&gt;A89,A116&lt;=A89+'Summary'!$B$10*12,MOD(A116-A89,'Summary'!$B$11)=0),I89,0)+IF(AND(A116&gt;A90,A116&lt;=A90+'Summary'!$B$10*12,MOD(A116-A90,'Summary'!$B$11)=0),I90,0)+IF(AND(A116&gt;A91,A116&lt;=A91+'Summary'!$B$10*12,MOD(A116-A91,'Summary'!$B$11)=0),I91,0)+IF(AND(A116&gt;A92,A116&lt;=A92+'Summary'!$B$10*12,MOD(A116-A92,'Summary'!$B$11)=0),I92,0)+IF(AND(A116&gt;A93,A116&lt;=A93+'Summary'!$B$10*12,MOD(A116-A93,'Summary'!$B$11)=0),I93,0)+IF(AND(A116&gt;A94,A116&lt;=A94+'Summary'!$B$10*12,MOD(A116-A94,'Summary'!$B$11)=0),I94,0)+IF(AND(A116&gt;A95,A116&lt;=A95+'Summary'!$B$10*12,MOD(A116-A95,'Summary'!$B$11)=0),I95,0)+IF(AND(A116&gt;A96,A116&lt;=A96+'Summary'!$B$10*12,MOD(A116-A96,'Summary'!$B$11)=0),I96,0)+IF(AND(A116&gt;A97,A116&lt;=A97+'Summary'!$B$10*12,MOD(A116-A97,'Summary'!$B$11)=0),I97,0)+IF(AND(A116&gt;A98,A116&lt;=A98+'Summary'!$B$10*12,MOD(A116-A98,'Summary'!$B$11)=0),I98,0)+IF(AND(A116&gt;A99,A116&lt;=A99+'Summary'!$B$10*12,MOD(A116-A99,'Summary'!$B$11)=0),I99,0)+IF(AND(A116&gt;A100,A116&lt;=A100+'Summary'!$B$10*12,MOD(A116-A100,'Summary'!$B$11)=0),I100,0)+IF(AND(A116&gt;A101,A116&lt;=A101+'Summary'!$B$10*12,MOD(A116-A101,'Summary'!$B$11)=0),I101,0)+IF(AND(A116&gt;A102,A116&lt;=A102+'Summary'!$B$10*12,MOD(A116-A102,'Summary'!$B$11)=0),I102,0)+IF(AND(A116&gt;A103,A116&lt;=A103+'Summary'!$B$10*12,MOD(A116-A103,'Summary'!$B$11)=0),I103,0)+IF(AND(A116&gt;A104,A116&lt;=A104+'Summary'!$B$10*12,MOD(A116-A104,'Summary'!$B$11)=0),I104,0)+IF(AND(A116&gt;A105,A116&lt;=A105+'Summary'!$B$10*12,MOD(A116-A105,'Summary'!$B$11)=0),I105,0)+IF(AND(A116&gt;A106,A116&lt;=A106+'Summary'!$B$10*12,MOD(A116-A106,'Summary'!$B$11)=0),I106,0)+IF(AND(A116&gt;A107,A116&lt;=A107+'Summary'!$B$10*12,MOD(A116-A107,'Summary'!$B$11)=0),I107,0)+IF(AND(A116&gt;A108,A116&lt;=A108+'Summary'!$B$10*12,MOD(A116-A108,'Summary'!$B$11)=0),I108,0)+IF(AND(A116&gt;A109,A116&lt;=A109+'Summary'!$B$10*12,MOD(A116-A109,'Summary'!$B$11)=0),I109,0)+IF(AND(A116&gt;A110,A116&lt;=A110+'Summary'!$B$10*12,MOD(A116-A110,'Summary'!$B$11)=0),I110,0)+IF(AND(A116&gt;A111,A116&lt;=A111+'Summary'!$B$10*12,MOD(A116-A111,'Summary'!$B$11)=0),I111,0)+IF(AND(A116&gt;A112,A116&lt;=A112+'Summary'!$B$10*12,MOD(A116-A112,'Summary'!$B$11)=0),I112,0)+IF(AND(A116&gt;A113,A116&lt;=A113+'Summary'!$B$10*12,MOD(A116-A113,'Summary'!$B$11)=0),I113,0)+IF(AND(A116&gt;A114,A116&lt;=A114+'Summary'!$B$10*12,MOD(A116-A114,'Summary'!$B$11)=0),I114,0)+IF(AND(A116&gt;A115,A116&lt;=A115+'Summary'!$B$10*12,MOD(A116-A115,'Summary'!$B$11)=0),I115,0))*'Summary'!$B$8/2</x:f>
        <x:v>293.77101250056074</x:v>
      </x:c>
      <x:c r="G116" s="62" t="n">
        <x:f>IF(A116=A8+'Summary'!$B$10*12,I8,0)+IF(A116=A9+'Summary'!$B$10*12,I9,0)+IF(A116=A10+'Summary'!$B$10*12,I10,0)+IF(A116=A11+'Summary'!$B$10*12,I11,0)+IF(A116=A12+'Summary'!$B$10*12,I12,0)+IF(A116=A13+'Summary'!$B$10*12,I13,0)+IF(A116=A14+'Summary'!$B$10*12,I14,0)+IF(A116=A15+'Summary'!$B$10*12,I15,0)+IF(A116=A16+'Summary'!$B$10*12,I16,0)+IF(A116=A17+'Summary'!$B$10*12,I17,0)+IF(A116=A18+'Summary'!$B$10*12,I18,0)+IF(A116=A19+'Summary'!$B$10*12,I19,0)+IF(A116=A20+'Summary'!$B$10*12,I20,0)+IF(A116=A21+'Summary'!$B$10*12,I21,0)+IF(A116=A22+'Summary'!$B$10*12,I22,0)+IF(A116=A23+'Summary'!$B$10*12,I23,0)+IF(A116=A24+'Summary'!$B$10*12,I24,0)+IF(A116=A25+'Summary'!$B$10*12,I25,0)+IF(A116=A26+'Summary'!$B$10*12,I26,0)+IF(A116=A27+'Summary'!$B$10*12,I27,0)+IF(A116=A28+'Summary'!$B$10*12,I28,0)+IF(A116=A29+'Summary'!$B$10*12,I29,0)+IF(A116=A30+'Summary'!$B$10*12,I30,0)+IF(A116=A31+'Summary'!$B$10*12,I31,0)+IF(A116=A32+'Summary'!$B$10*12,I32,0)+IF(A116=A33+'Summary'!$B$10*12,I33,0)+IF(A116=A34+'Summary'!$B$10*12,I34,0)+IF(A116=A35+'Summary'!$B$10*12,I35,0)+IF(A116=A36+'Summary'!$B$10*12,I36,0)+IF(A116=A37+'Summary'!$B$10*12,I37,0)+IF(A116=A38+'Summary'!$B$10*12,I38,0)+IF(A116=A39+'Summary'!$B$10*12,I39,0)+IF(A116=A40+'Summary'!$B$10*12,I40,0)+IF(A116=A41+'Summary'!$B$10*12,I41,0)+IF(A116=A42+'Summary'!$B$10*12,I42,0)+IF(A116=A43+'Summary'!$B$10*12,I43,0)+IF(A116=A44+'Summary'!$B$10*12,I44,0)+IF(A116=A45+'Summary'!$B$10*12,I45,0)+IF(A116=A46+'Summary'!$B$10*12,I46,0)+IF(A116=A47+'Summary'!$B$10*12,I47,0)+IF(A116=A48+'Summary'!$B$10*12,I48,0)+IF(A116=A49+'Summary'!$B$10*12,I49,0)+IF(A116=A50+'Summary'!$B$10*12,I50,0)+IF(A116=A51+'Summary'!$B$10*12,I51,0)+IF(A116=A52+'Summary'!$B$10*12,I52,0)+IF(A116=A53+'Summary'!$B$10*12,I53,0)+IF(A116=A54+'Summary'!$B$10*12,I54,0)+IF(A116=A55+'Summary'!$B$10*12,I55,0)+IF(A116=A56+'Summary'!$B$10*12,I56,0)+IF(A116=A57+'Summary'!$B$10*12,I57,0)+IF(A116=A58+'Summary'!$B$10*12,I58,0)+IF(A116=A59+'Summary'!$B$10*12,I59,0)+IF(A116=A60+'Summary'!$B$10*12,I60,0)+IF(A116=A61+'Summary'!$B$10*12,I61,0)+IF(A116=A62+'Summary'!$B$10*12,I62,0)+IF(A116=A63+'Summary'!$B$10*12,I63,0)+IF(A116=A64+'Summary'!$B$10*12,I64,0)+IF(A116=A65+'Summary'!$B$10*12,I65,0)+IF(A116=A66+'Summary'!$B$10*12,I66,0)+IF(A116=A67+'Summary'!$B$10*12,I67,0)+IF(A116=A68+'Summary'!$B$10*12,I68,0)+IF(A116=A69+'Summary'!$B$10*12,I69,0)+IF(A116=A70+'Summary'!$B$10*12,I70,0)+IF(A116=A71+'Summary'!$B$10*12,I71,0)+IF(A116=A72+'Summary'!$B$10*12,I72,0)+IF(A116=A73+'Summary'!$B$10*12,I73,0)+IF(A116=A74+'Summary'!$B$10*12,I74,0)+IF(A116=A75+'Summary'!$B$10*12,I75,0)+IF(A116=A76+'Summary'!$B$10*12,I76,0)+IF(A116=A77+'Summary'!$B$10*12,I77,0)+IF(A116=A78+'Summary'!$B$10*12,I78,0)+IF(A116=A79+'Summary'!$B$10*12,I79,0)+IF(A116=A80+'Summary'!$B$10*12,I80,0)+IF(A116=A81+'Summary'!$B$10*12,I81,0)+IF(A116=A82+'Summary'!$B$10*12,I82,0)+IF(A116=A83+'Summary'!$B$10*12,I83,0)+IF(A116=A84+'Summary'!$B$10*12,I84,0)+IF(A116=A85+'Summary'!$B$10*12,I85,0)+IF(A116=A86+'Summary'!$B$10*12,I86,0)+IF(A116=A87+'Summary'!$B$10*12,I87,0)+IF(A116=A88+'Summary'!$B$10*12,I88,0)+IF(A116=A89+'Summary'!$B$10*12,I89,0)+IF(A116=A90+'Summary'!$B$10*12,I90,0)+IF(A116=A91+'Summary'!$B$10*12,I91,0)+IF(A116=A92+'Summary'!$B$10*12,I92,0)+IF(A116=A93+'Summary'!$B$10*12,I93,0)+IF(A116=A94+'Summary'!$B$10*12,I94,0)+IF(A116=A95+'Summary'!$B$10*12,I95,0)+IF(A116=A96+'Summary'!$B$10*12,I96,0)+IF(A116=A97+'Summary'!$B$10*12,I97,0)+IF(A116=A98+'Summary'!$B$10*12,I98,0)+IF(A116=A99+'Summary'!$B$10*12,I99,0)+IF(A116=A100+'Summary'!$B$10*12,I100,0)+IF(A116=A101+'Summary'!$B$10*12,I101,0)+IF(A116=A102+'Summary'!$B$10*12,I102,0)+IF(A116=A103+'Summary'!$B$10*12,I103,0)+IF(A116=A104+'Summary'!$B$10*12,I104,0)+IF(A116=A105+'Summary'!$B$10*12,I105,0)+IF(A116=A106+'Summary'!$B$10*12,I106,0)+IF(A116=A107+'Summary'!$B$10*12,I107,0)+IF(A116=A108+'Summary'!$B$10*12,I108,0)+IF(A116=A109+'Summary'!$B$10*12,I109,0)+IF(A116=A110+'Summary'!$B$10*12,I110,0)+IF(A116=A111+'Summary'!$B$10*12,I111,0)+IF(A116=A112+'Summary'!$B$10*12,I112,0)+IF(A116=A113+'Summary'!$B$10*12,I113,0)+IF(A116=A114+'Summary'!$B$10*12,I114,0)+IF(A116=A115+'Summary'!$B$10*12,I115,0)</x:f>
        <x:v>327.49677218828236</x:v>
      </x:c>
      <x:c r="H116" s="62" t="n">
        <x:f>E116+D116+F116+G116</x:f>
        <x:v>721.2677846888431</x:v>
      </x:c>
      <x:c r="I116" s="62" t="n">
        <x:f>IF(B116,IF(H116&gt;='Summary'!$B$12,H116,0),0)</x:f>
        <x:v>721.2677846888431</x:v>
      </x:c>
      <x:c r="J116" s="62" t="n">
        <x:f>H116-I116</x:f>
        <x:v>0</x:v>
      </x:c>
      <x:c r="K116" s="63" t="n">
        <x:f>J116+IF(A8+'Summary'!$B$10*12&gt;A116,I8,0)+IF(A9+'Summary'!$B$10*12&gt;A116,I9,0)+IF(A10+'Summary'!$B$10*12&gt;A116,I10,0)+IF(A11+'Summary'!$B$10*12&gt;A116,I11,0)+IF(A12+'Summary'!$B$10*12&gt;A116,I12,0)+IF(A13+'Summary'!$B$10*12&gt;A116,I13,0)+IF(A14+'Summary'!$B$10*12&gt;A116,I14,0)+IF(A15+'Summary'!$B$10*12&gt;A116,I15,0)+IF(A16+'Summary'!$B$10*12&gt;A116,I16,0)+IF(A17+'Summary'!$B$10*12&gt;A116,I17,0)+IF(A18+'Summary'!$B$10*12&gt;A116,I18,0)+IF(A19+'Summary'!$B$10*12&gt;A116,I19,0)+IF(A20+'Summary'!$B$10*12&gt;A116,I20,0)+IF(A21+'Summary'!$B$10*12&gt;A116,I21,0)+IF(A22+'Summary'!$B$10*12&gt;A116,I22,0)+IF(A23+'Summary'!$B$10*12&gt;A116,I23,0)+IF(A24+'Summary'!$B$10*12&gt;A116,I24,0)+IF(A25+'Summary'!$B$10*12&gt;A116,I25,0)+IF(A26+'Summary'!$B$10*12&gt;A116,I26,0)+IF(A27+'Summary'!$B$10*12&gt;A116,I27,0)+IF(A28+'Summary'!$B$10*12&gt;A116,I28,0)+IF(A29+'Summary'!$B$10*12&gt;A116,I29,0)+IF(A30+'Summary'!$B$10*12&gt;A116,I30,0)+IF(A31+'Summary'!$B$10*12&gt;A116,I31,0)+IF(A32+'Summary'!$B$10*12&gt;A116,I32,0)+IF(A33+'Summary'!$B$10*12&gt;A116,I33,0)+IF(A34+'Summary'!$B$10*12&gt;A116,I34,0)+IF(A35+'Summary'!$B$10*12&gt;A116,I35,0)+IF(A36+'Summary'!$B$10*12&gt;A116,I36,0)+IF(A37+'Summary'!$B$10*12&gt;A116,I37,0)+IF(A38+'Summary'!$B$10*12&gt;A116,I38,0)+IF(A39+'Summary'!$B$10*12&gt;A116,I39,0)+IF(A40+'Summary'!$B$10*12&gt;A116,I40,0)+IF(A41+'Summary'!$B$10*12&gt;A116,I41,0)+IF(A42+'Summary'!$B$10*12&gt;A116,I42,0)+IF(A43+'Summary'!$B$10*12&gt;A116,I43,0)+IF(A44+'Summary'!$B$10*12&gt;A116,I44,0)+IF(A45+'Summary'!$B$10*12&gt;A116,I45,0)+IF(A46+'Summary'!$B$10*12&gt;A116,I46,0)+IF(A47+'Summary'!$B$10*12&gt;A116,I47,0)+IF(A48+'Summary'!$B$10*12&gt;A116,I48,0)+IF(A49+'Summary'!$B$10*12&gt;A116,I49,0)+IF(A50+'Summary'!$B$10*12&gt;A116,I50,0)+IF(A51+'Summary'!$B$10*12&gt;A116,I51,0)+IF(A52+'Summary'!$B$10*12&gt;A116,I52,0)+IF(A53+'Summary'!$B$10*12&gt;A116,I53,0)+IF(A54+'Summary'!$B$10*12&gt;A116,I54,0)+IF(A55+'Summary'!$B$10*12&gt;A116,I55,0)+IF(A56+'Summary'!$B$10*12&gt;A116,I56,0)+IF(A57+'Summary'!$B$10*12&gt;A116,I57,0)+IF(A58+'Summary'!$B$10*12&gt;A116,I58,0)+IF(A59+'Summary'!$B$10*12&gt;A116,I59,0)+IF(A60+'Summary'!$B$10*12&gt;A116,I60,0)+IF(A61+'Summary'!$B$10*12&gt;A116,I61,0)+IF(A62+'Summary'!$B$10*12&gt;A116,I62,0)+IF(A63+'Summary'!$B$10*12&gt;A116,I63,0)+IF(A64+'Summary'!$B$10*12&gt;A116,I64,0)+IF(A65+'Summary'!$B$10*12&gt;A116,I65,0)+IF(A66+'Summary'!$B$10*12&gt;A116,I66,0)+IF(A67+'Summary'!$B$10*12&gt;A116,I67,0)+IF(A68+'Summary'!$B$10*12&gt;A116,I68,0)+IF(A69+'Summary'!$B$10*12&gt;A116,I69,0)+IF(A70+'Summary'!$B$10*12&gt;A116,I70,0)+IF(A71+'Summary'!$B$10*12&gt;A116,I71,0)+IF(A72+'Summary'!$B$10*12&gt;A116,I72,0)+IF(A73+'Summary'!$B$10*12&gt;A116,I73,0)+IF(A74+'Summary'!$B$10*12&gt;A116,I74,0)+IF(A75+'Summary'!$B$10*12&gt;A116,I75,0)+IF(A76+'Summary'!$B$10*12&gt;A116,I76,0)+IF(A77+'Summary'!$B$10*12&gt;A116,I77,0)+IF(A78+'Summary'!$B$10*12&gt;A116,I78,0)+IF(A79+'Summary'!$B$10*12&gt;A116,I79,0)+IF(A80+'Summary'!$B$10*12&gt;A116,I80,0)+IF(A81+'Summary'!$B$10*12&gt;A116,I81,0)+IF(A82+'Summary'!$B$10*12&gt;A116,I82,0)+IF(A83+'Summary'!$B$10*12&gt;A116,I83,0)+IF(A84+'Summary'!$B$10*12&gt;A116,I84,0)+IF(A85+'Summary'!$B$10*12&gt;A116,I85,0)+IF(A86+'Summary'!$B$10*12&gt;A116,I86,0)+IF(A87+'Summary'!$B$10*12&gt;A116,I87,0)+IF(A88+'Summary'!$B$10*12&gt;A116,I88,0)+IF(A89+'Summary'!$B$10*12&gt;A116,I89,0)+IF(A90+'Summary'!$B$10*12&gt;A116,I90,0)+IF(A91+'Summary'!$B$10*12&gt;A116,I91,0)+IF(A92+'Summary'!$B$10*12&gt;A116,I92,0)+IF(A93+'Summary'!$B$10*12&gt;A116,I93,0)+IF(A94+'Summary'!$B$10*12&gt;A116,I94,0)+IF(A95+'Summary'!$B$10*12&gt;A116,I95,0)+IF(A96+'Summary'!$B$10*12&gt;A116,I96,0)+IF(A97+'Summary'!$B$10*12&gt;A116,I97,0)+IF(A98+'Summary'!$B$10*12&gt;A116,I98,0)+IF(A99+'Summary'!$B$10*12&gt;A116,I99,0)+IF(A100+'Summary'!$B$10*12&gt;A116,I100,0)+IF(A101+'Summary'!$B$10*12&gt;A116,I101,0)+IF(A102+'Summary'!$B$10*12&gt;A116,I102,0)+IF(A103+'Summary'!$B$10*12&gt;A116,I103,0)+IF(A104+'Summary'!$B$10*12&gt;A116,I104,0)+IF(A105+'Summary'!$B$10*12&gt;A116,I105,0)+IF(A106+'Summary'!$B$10*12&gt;A116,I106,0)+IF(A107+'Summary'!$B$10*12&gt;A116,I107,0)+IF(A108+'Summary'!$B$10*12&gt;A116,I108,0)+IF(A109+'Summary'!$B$10*12&gt;A116,I109,0)+IF(A110+'Summary'!$B$10*12&gt;A116,I110,0)+IF(A111+'Summary'!$B$10*12&gt;A116,I111,0)+IF(A112+'Summary'!$B$10*12&gt;A116,I112,0)+IF(A113+'Summary'!$B$10*12&gt;A116,I113,0)+IF(A114+'Summary'!$B$10*12&gt;A116,I114,0)+IF(A115+'Summary'!$B$10*12&gt;A116,I115,0)+IF(A116+'Summary'!$B$10*12&gt;A116,I116,0)</x:f>
        <x:v>26762.34256366288</x:v>
      </x:c>
    </x:row>
    <x:row r="117">
      <x:c r="A117" s="55" t="n">
        <x:v>109</x:v>
      </x:c>
      <x:c r="B117" s="71" t="b">
        <x:f>A117&lt;='Summary'!$B$9*12</x:f>
        <x:v>1</x:v>
      </x:c>
      <x:c r="C117" s="62" t="n">
        <x:f>IF(A117=0,IF('Summary'!$B$6&gt;=5,'Summary'!$B$6,0),C116)+IF(A117&lt;'Summary'!$B$9*12,IF('Summary'!$B$7&gt;=5,'Summary'!$B$7,0),0)</x:f>
        <x:v>21000</x:v>
      </x:c>
      <x:c r="D117" s="62" t="n">
        <x:f>IF(A117=0,IF('Summary'!$B$6&gt;=5,'Summary'!$B$6,0),0)+IF(A117&lt;'Summary'!$B$9*12,IF('Summary'!$B$7&gt;=5,'Summary'!$B$7,0),0)</x:f>
        <x:v>100</x:v>
      </x:c>
      <x:c r="E117" s="62" t="n">
        <x:f>J116</x:f>
        <x:v>0</x:v>
      </x:c>
      <x:c r="F117" s="62" t="n">
        <x:f>(IF(AND(A117&gt;A8,A117&lt;=A8+'Summary'!$B$10*12,MOD(A117-A8,'Summary'!$B$11)=0),I8,0)+IF(AND(A117&gt;A9,A117&lt;=A9+'Summary'!$B$10*12,MOD(A117-A9,'Summary'!$B$11)=0),I9,0)+IF(AND(A117&gt;A10,A117&lt;=A10+'Summary'!$B$10*12,MOD(A117-A10,'Summary'!$B$11)=0),I10,0)+IF(AND(A117&gt;A11,A117&lt;=A11+'Summary'!$B$10*12,MOD(A117-A11,'Summary'!$B$11)=0),I11,0)+IF(AND(A117&gt;A12,A117&lt;=A12+'Summary'!$B$10*12,MOD(A117-A12,'Summary'!$B$11)=0),I12,0)+IF(AND(A117&gt;A13,A117&lt;=A13+'Summary'!$B$10*12,MOD(A117-A13,'Summary'!$B$11)=0),I13,0)+IF(AND(A117&gt;A14,A117&lt;=A14+'Summary'!$B$10*12,MOD(A117-A14,'Summary'!$B$11)=0),I14,0)+IF(AND(A117&gt;A15,A117&lt;=A15+'Summary'!$B$10*12,MOD(A117-A15,'Summary'!$B$11)=0),I15,0)+IF(AND(A117&gt;A16,A117&lt;=A16+'Summary'!$B$10*12,MOD(A117-A16,'Summary'!$B$11)=0),I16,0)+IF(AND(A117&gt;A17,A117&lt;=A17+'Summary'!$B$10*12,MOD(A117-A17,'Summary'!$B$11)=0),I17,0)+IF(AND(A117&gt;A18,A117&lt;=A18+'Summary'!$B$10*12,MOD(A117-A18,'Summary'!$B$11)=0),I18,0)+IF(AND(A117&gt;A19,A117&lt;=A19+'Summary'!$B$10*12,MOD(A117-A19,'Summary'!$B$11)=0),I19,0)+IF(AND(A117&gt;A20,A117&lt;=A20+'Summary'!$B$10*12,MOD(A117-A20,'Summary'!$B$11)=0),I20,0)+IF(AND(A117&gt;A21,A117&lt;=A21+'Summary'!$B$10*12,MOD(A117-A21,'Summary'!$B$11)=0),I21,0)+IF(AND(A117&gt;A22,A117&lt;=A22+'Summary'!$B$10*12,MOD(A117-A22,'Summary'!$B$11)=0),I22,0)+IF(AND(A117&gt;A23,A117&lt;=A23+'Summary'!$B$10*12,MOD(A117-A23,'Summary'!$B$11)=0),I23,0)+IF(AND(A117&gt;A24,A117&lt;=A24+'Summary'!$B$10*12,MOD(A117-A24,'Summary'!$B$11)=0),I24,0)+IF(AND(A117&gt;A25,A117&lt;=A25+'Summary'!$B$10*12,MOD(A117-A25,'Summary'!$B$11)=0),I25,0)+IF(AND(A117&gt;A26,A117&lt;=A26+'Summary'!$B$10*12,MOD(A117-A26,'Summary'!$B$11)=0),I26,0)+IF(AND(A117&gt;A27,A117&lt;=A27+'Summary'!$B$10*12,MOD(A117-A27,'Summary'!$B$11)=0),I27,0)+IF(AND(A117&gt;A28,A117&lt;=A28+'Summary'!$B$10*12,MOD(A117-A28,'Summary'!$B$11)=0),I28,0)+IF(AND(A117&gt;A29,A117&lt;=A29+'Summary'!$B$10*12,MOD(A117-A29,'Summary'!$B$11)=0),I29,0)+IF(AND(A117&gt;A30,A117&lt;=A30+'Summary'!$B$10*12,MOD(A117-A30,'Summary'!$B$11)=0),I30,0)+IF(AND(A117&gt;A31,A117&lt;=A31+'Summary'!$B$10*12,MOD(A117-A31,'Summary'!$B$11)=0),I31,0)+IF(AND(A117&gt;A32,A117&lt;=A32+'Summary'!$B$10*12,MOD(A117-A32,'Summary'!$B$11)=0),I32,0)+IF(AND(A117&gt;A33,A117&lt;=A33+'Summary'!$B$10*12,MOD(A117-A33,'Summary'!$B$11)=0),I33,0)+IF(AND(A117&gt;A34,A117&lt;=A34+'Summary'!$B$10*12,MOD(A117-A34,'Summary'!$B$11)=0),I34,0)+IF(AND(A117&gt;A35,A117&lt;=A35+'Summary'!$B$10*12,MOD(A117-A35,'Summary'!$B$11)=0),I35,0)+IF(AND(A117&gt;A36,A117&lt;=A36+'Summary'!$B$10*12,MOD(A117-A36,'Summary'!$B$11)=0),I36,0)+IF(AND(A117&gt;A37,A117&lt;=A37+'Summary'!$B$10*12,MOD(A117-A37,'Summary'!$B$11)=0),I37,0)+IF(AND(A117&gt;A38,A117&lt;=A38+'Summary'!$B$10*12,MOD(A117-A38,'Summary'!$B$11)=0),I38,0)+IF(AND(A117&gt;A39,A117&lt;=A39+'Summary'!$B$10*12,MOD(A117-A39,'Summary'!$B$11)=0),I39,0)+IF(AND(A117&gt;A40,A117&lt;=A40+'Summary'!$B$10*12,MOD(A117-A40,'Summary'!$B$11)=0),I40,0)+IF(AND(A117&gt;A41,A117&lt;=A41+'Summary'!$B$10*12,MOD(A117-A41,'Summary'!$B$11)=0),I41,0)+IF(AND(A117&gt;A42,A117&lt;=A42+'Summary'!$B$10*12,MOD(A117-A42,'Summary'!$B$11)=0),I42,0)+IF(AND(A117&gt;A43,A117&lt;=A43+'Summary'!$B$10*12,MOD(A117-A43,'Summary'!$B$11)=0),I43,0)+IF(AND(A117&gt;A44,A117&lt;=A44+'Summary'!$B$10*12,MOD(A117-A44,'Summary'!$B$11)=0),I44,0)+IF(AND(A117&gt;A45,A117&lt;=A45+'Summary'!$B$10*12,MOD(A117-A45,'Summary'!$B$11)=0),I45,0)+IF(AND(A117&gt;A46,A117&lt;=A46+'Summary'!$B$10*12,MOD(A117-A46,'Summary'!$B$11)=0),I46,0)+IF(AND(A117&gt;A47,A117&lt;=A47+'Summary'!$B$10*12,MOD(A117-A47,'Summary'!$B$11)=0),I47,0)+IF(AND(A117&gt;A48,A117&lt;=A48+'Summary'!$B$10*12,MOD(A117-A48,'Summary'!$B$11)=0),I48,0)+IF(AND(A117&gt;A49,A117&lt;=A49+'Summary'!$B$10*12,MOD(A117-A49,'Summary'!$B$11)=0),I49,0)+IF(AND(A117&gt;A50,A117&lt;=A50+'Summary'!$B$10*12,MOD(A117-A50,'Summary'!$B$11)=0),I50,0)+IF(AND(A117&gt;A51,A117&lt;=A51+'Summary'!$B$10*12,MOD(A117-A51,'Summary'!$B$11)=0),I51,0)+IF(AND(A117&gt;A52,A117&lt;=A52+'Summary'!$B$10*12,MOD(A117-A52,'Summary'!$B$11)=0),I52,0)+IF(AND(A117&gt;A53,A117&lt;=A53+'Summary'!$B$10*12,MOD(A117-A53,'Summary'!$B$11)=0),I53,0)+IF(AND(A117&gt;A54,A117&lt;=A54+'Summary'!$B$10*12,MOD(A117-A54,'Summary'!$B$11)=0),I54,0)+IF(AND(A117&gt;A55,A117&lt;=A55+'Summary'!$B$10*12,MOD(A117-A55,'Summary'!$B$11)=0),I55,0)+IF(AND(A117&gt;A56,A117&lt;=A56+'Summary'!$B$10*12,MOD(A117-A56,'Summary'!$B$11)=0),I56,0)+IF(AND(A117&gt;A57,A117&lt;=A57+'Summary'!$B$10*12,MOD(A117-A57,'Summary'!$B$11)=0),I57,0)+IF(AND(A117&gt;A58,A117&lt;=A58+'Summary'!$B$10*12,MOD(A117-A58,'Summary'!$B$11)=0),I58,0)+IF(AND(A117&gt;A59,A117&lt;=A59+'Summary'!$B$10*12,MOD(A117-A59,'Summary'!$B$11)=0),I59,0)+IF(AND(A117&gt;A60,A117&lt;=A60+'Summary'!$B$10*12,MOD(A117-A60,'Summary'!$B$11)=0),I60,0)+IF(AND(A117&gt;A61,A117&lt;=A61+'Summary'!$B$10*12,MOD(A117-A61,'Summary'!$B$11)=0),I61,0)+IF(AND(A117&gt;A62,A117&lt;=A62+'Summary'!$B$10*12,MOD(A117-A62,'Summary'!$B$11)=0),I62,0)+IF(AND(A117&gt;A63,A117&lt;=A63+'Summary'!$B$10*12,MOD(A117-A63,'Summary'!$B$11)=0),I63,0)+IF(AND(A117&gt;A64,A117&lt;=A64+'Summary'!$B$10*12,MOD(A117-A64,'Summary'!$B$11)=0),I64,0)+IF(AND(A117&gt;A65,A117&lt;=A65+'Summary'!$B$10*12,MOD(A117-A65,'Summary'!$B$11)=0),I65,0)+IF(AND(A117&gt;A66,A117&lt;=A66+'Summary'!$B$10*12,MOD(A117-A66,'Summary'!$B$11)=0),I66,0)+IF(AND(A117&gt;A67,A117&lt;=A67+'Summary'!$B$10*12,MOD(A117-A67,'Summary'!$B$11)=0),I67,0)+IF(AND(A117&gt;A68,A117&lt;=A68+'Summary'!$B$10*12,MOD(A117-A68,'Summary'!$B$11)=0),I68,0)+IF(AND(A117&gt;A69,A117&lt;=A69+'Summary'!$B$10*12,MOD(A117-A69,'Summary'!$B$11)=0),I69,0)+IF(AND(A117&gt;A70,A117&lt;=A70+'Summary'!$B$10*12,MOD(A117-A70,'Summary'!$B$11)=0),I70,0)+IF(AND(A117&gt;A71,A117&lt;=A71+'Summary'!$B$10*12,MOD(A117-A71,'Summary'!$B$11)=0),I71,0)+IF(AND(A117&gt;A72,A117&lt;=A72+'Summary'!$B$10*12,MOD(A117-A72,'Summary'!$B$11)=0),I72,0)+IF(AND(A117&gt;A73,A117&lt;=A73+'Summary'!$B$10*12,MOD(A117-A73,'Summary'!$B$11)=0),I73,0)+IF(AND(A117&gt;A74,A117&lt;=A74+'Summary'!$B$10*12,MOD(A117-A74,'Summary'!$B$11)=0),I74,0)+IF(AND(A117&gt;A75,A117&lt;=A75+'Summary'!$B$10*12,MOD(A117-A75,'Summary'!$B$11)=0),I75,0)+IF(AND(A117&gt;A76,A117&lt;=A76+'Summary'!$B$10*12,MOD(A117-A76,'Summary'!$B$11)=0),I76,0)+IF(AND(A117&gt;A77,A117&lt;=A77+'Summary'!$B$10*12,MOD(A117-A77,'Summary'!$B$11)=0),I77,0)+IF(AND(A117&gt;A78,A117&lt;=A78+'Summary'!$B$10*12,MOD(A117-A78,'Summary'!$B$11)=0),I78,0)+IF(AND(A117&gt;A79,A117&lt;=A79+'Summary'!$B$10*12,MOD(A117-A79,'Summary'!$B$11)=0),I79,0)+IF(AND(A117&gt;A80,A117&lt;=A80+'Summary'!$B$10*12,MOD(A117-A80,'Summary'!$B$11)=0),I80,0)+IF(AND(A117&gt;A81,A117&lt;=A81+'Summary'!$B$10*12,MOD(A117-A81,'Summary'!$B$11)=0),I81,0)+IF(AND(A117&gt;A82,A117&lt;=A82+'Summary'!$B$10*12,MOD(A117-A82,'Summary'!$B$11)=0),I82,0)+IF(AND(A117&gt;A83,A117&lt;=A83+'Summary'!$B$10*12,MOD(A117-A83,'Summary'!$B$11)=0),I83,0)+IF(AND(A117&gt;A84,A117&lt;=A84+'Summary'!$B$10*12,MOD(A117-A84,'Summary'!$B$11)=0),I84,0)+IF(AND(A117&gt;A85,A117&lt;=A85+'Summary'!$B$10*12,MOD(A117-A85,'Summary'!$B$11)=0),I85,0)+IF(AND(A117&gt;A86,A117&lt;=A86+'Summary'!$B$10*12,MOD(A117-A86,'Summary'!$B$11)=0),I86,0)+IF(AND(A117&gt;A87,A117&lt;=A87+'Summary'!$B$10*12,MOD(A117-A87,'Summary'!$B$11)=0),I87,0)+IF(AND(A117&gt;A88,A117&lt;=A88+'Summary'!$B$10*12,MOD(A117-A88,'Summary'!$B$11)=0),I88,0)+IF(AND(A117&gt;A89,A117&lt;=A89+'Summary'!$B$10*12,MOD(A117-A89,'Summary'!$B$11)=0),I89,0)+IF(AND(A117&gt;A90,A117&lt;=A90+'Summary'!$B$10*12,MOD(A117-A90,'Summary'!$B$11)=0),I90,0)+IF(AND(A117&gt;A91,A117&lt;=A91+'Summary'!$B$10*12,MOD(A117-A91,'Summary'!$B$11)=0),I91,0)+IF(AND(A117&gt;A92,A117&lt;=A92+'Summary'!$B$10*12,MOD(A117-A92,'Summary'!$B$11)=0),I92,0)+IF(AND(A117&gt;A93,A117&lt;=A93+'Summary'!$B$10*12,MOD(A117-A93,'Summary'!$B$11)=0),I93,0)+IF(AND(A117&gt;A94,A117&lt;=A94+'Summary'!$B$10*12,MOD(A117-A94,'Summary'!$B$11)=0),I94,0)+IF(AND(A117&gt;A95,A117&lt;=A95+'Summary'!$B$10*12,MOD(A117-A95,'Summary'!$B$11)=0),I95,0)+IF(AND(A117&gt;A96,A117&lt;=A96+'Summary'!$B$10*12,MOD(A117-A96,'Summary'!$B$11)=0),I96,0)+IF(AND(A117&gt;A97,A117&lt;=A97+'Summary'!$B$10*12,MOD(A117-A97,'Summary'!$B$11)=0),I97,0)+IF(AND(A117&gt;A98,A117&lt;=A98+'Summary'!$B$10*12,MOD(A117-A98,'Summary'!$B$11)=0),I98,0)+IF(AND(A117&gt;A99,A117&lt;=A99+'Summary'!$B$10*12,MOD(A117-A99,'Summary'!$B$11)=0),I99,0)+IF(AND(A117&gt;A100,A117&lt;=A100+'Summary'!$B$10*12,MOD(A117-A100,'Summary'!$B$11)=0),I100,0)+IF(AND(A117&gt;A101,A117&lt;=A101+'Summary'!$B$10*12,MOD(A117-A101,'Summary'!$B$11)=0),I101,0)+IF(AND(A117&gt;A102,A117&lt;=A102+'Summary'!$B$10*12,MOD(A117-A102,'Summary'!$B$11)=0),I102,0)+IF(AND(A117&gt;A103,A117&lt;=A103+'Summary'!$B$10*12,MOD(A117-A103,'Summary'!$B$11)=0),I103,0)+IF(AND(A117&gt;A104,A117&lt;=A104+'Summary'!$B$10*12,MOD(A117-A104,'Summary'!$B$11)=0),I104,0)+IF(AND(A117&gt;A105,A117&lt;=A105+'Summary'!$B$10*12,MOD(A117-A105,'Summary'!$B$11)=0),I105,0)+IF(AND(A117&gt;A106,A117&lt;=A106+'Summary'!$B$10*12,MOD(A117-A106,'Summary'!$B$11)=0),I106,0)+IF(AND(A117&gt;A107,A117&lt;=A107+'Summary'!$B$10*12,MOD(A117-A107,'Summary'!$B$11)=0),I107,0)+IF(AND(A117&gt;A108,A117&lt;=A108+'Summary'!$B$10*12,MOD(A117-A108,'Summary'!$B$11)=0),I108,0)+IF(AND(A117&gt;A109,A117&lt;=A109+'Summary'!$B$10*12,MOD(A117-A109,'Summary'!$B$11)=0),I109,0)+IF(AND(A117&gt;A110,A117&lt;=A110+'Summary'!$B$10*12,MOD(A117-A110,'Summary'!$B$11)=0),I110,0)+IF(AND(A117&gt;A111,A117&lt;=A111+'Summary'!$B$10*12,MOD(A117-A111,'Summary'!$B$11)=0),I111,0)+IF(AND(A117&gt;A112,A117&lt;=A112+'Summary'!$B$10*12,MOD(A117-A112,'Summary'!$B$11)=0),I112,0)+IF(AND(A117&gt;A113,A117&lt;=A113+'Summary'!$B$10*12,MOD(A117-A113,'Summary'!$B$11)=0),I113,0)+IF(AND(A117&gt;A114,A117&lt;=A114+'Summary'!$B$10*12,MOD(A117-A114,'Summary'!$B$11)=0),I114,0)+IF(AND(A117&gt;A115,A117&lt;=A115+'Summary'!$B$10*12,MOD(A117-A115,'Summary'!$B$11)=0),I115,0)+IF(AND(A117&gt;A116,A117&lt;=A116+'Summary'!$B$10*12,MOD(A117-A116,'Summary'!$B$11)=0),I116,0))*'Summary'!$B$8/2</x:f>
        <x:v>39.33688367021165</x:v>
      </x:c>
      <x:c r="G117" s="62" t="n">
        <x:f>IF(A117=A8+'Summary'!$B$10*12,I8,0)+IF(A117=A9+'Summary'!$B$10*12,I9,0)+IF(A117=A10+'Summary'!$B$10*12,I10,0)+IF(A117=A11+'Summary'!$B$10*12,I11,0)+IF(A117=A12+'Summary'!$B$10*12,I12,0)+IF(A117=A13+'Summary'!$B$10*12,I13,0)+IF(A117=A14+'Summary'!$B$10*12,I14,0)+IF(A117=A15+'Summary'!$B$10*12,I15,0)+IF(A117=A16+'Summary'!$B$10*12,I16,0)+IF(A117=A17+'Summary'!$B$10*12,I17,0)+IF(A117=A18+'Summary'!$B$10*12,I18,0)+IF(A117=A19+'Summary'!$B$10*12,I19,0)+IF(A117=A20+'Summary'!$B$10*12,I20,0)+IF(A117=A21+'Summary'!$B$10*12,I21,0)+IF(A117=A22+'Summary'!$B$10*12,I22,0)+IF(A117=A23+'Summary'!$B$10*12,I23,0)+IF(A117=A24+'Summary'!$B$10*12,I24,0)+IF(A117=A25+'Summary'!$B$10*12,I25,0)+IF(A117=A26+'Summary'!$B$10*12,I26,0)+IF(A117=A27+'Summary'!$B$10*12,I27,0)+IF(A117=A28+'Summary'!$B$10*12,I28,0)+IF(A117=A29+'Summary'!$B$10*12,I29,0)+IF(A117=A30+'Summary'!$B$10*12,I30,0)+IF(A117=A31+'Summary'!$B$10*12,I31,0)+IF(A117=A32+'Summary'!$B$10*12,I32,0)+IF(A117=A33+'Summary'!$B$10*12,I33,0)+IF(A117=A34+'Summary'!$B$10*12,I34,0)+IF(A117=A35+'Summary'!$B$10*12,I35,0)+IF(A117=A36+'Summary'!$B$10*12,I36,0)+IF(A117=A37+'Summary'!$B$10*12,I37,0)+IF(A117=A38+'Summary'!$B$10*12,I38,0)+IF(A117=A39+'Summary'!$B$10*12,I39,0)+IF(A117=A40+'Summary'!$B$10*12,I40,0)+IF(A117=A41+'Summary'!$B$10*12,I41,0)+IF(A117=A42+'Summary'!$B$10*12,I42,0)+IF(A117=A43+'Summary'!$B$10*12,I43,0)+IF(A117=A44+'Summary'!$B$10*12,I44,0)+IF(A117=A45+'Summary'!$B$10*12,I45,0)+IF(A117=A46+'Summary'!$B$10*12,I46,0)+IF(A117=A47+'Summary'!$B$10*12,I47,0)+IF(A117=A48+'Summary'!$B$10*12,I48,0)+IF(A117=A49+'Summary'!$B$10*12,I49,0)+IF(A117=A50+'Summary'!$B$10*12,I50,0)+IF(A117=A51+'Summary'!$B$10*12,I51,0)+IF(A117=A52+'Summary'!$B$10*12,I52,0)+IF(A117=A53+'Summary'!$B$10*12,I53,0)+IF(A117=A54+'Summary'!$B$10*12,I54,0)+IF(A117=A55+'Summary'!$B$10*12,I55,0)+IF(A117=A56+'Summary'!$B$10*12,I56,0)+IF(A117=A57+'Summary'!$B$10*12,I57,0)+IF(A117=A58+'Summary'!$B$10*12,I58,0)+IF(A117=A59+'Summary'!$B$10*12,I59,0)+IF(A117=A60+'Summary'!$B$10*12,I60,0)+IF(A117=A61+'Summary'!$B$10*12,I61,0)+IF(A117=A62+'Summary'!$B$10*12,I62,0)+IF(A117=A63+'Summary'!$B$10*12,I63,0)+IF(A117=A64+'Summary'!$B$10*12,I64,0)+IF(A117=A65+'Summary'!$B$10*12,I65,0)+IF(A117=A66+'Summary'!$B$10*12,I66,0)+IF(A117=A67+'Summary'!$B$10*12,I67,0)+IF(A117=A68+'Summary'!$B$10*12,I68,0)+IF(A117=A69+'Summary'!$B$10*12,I69,0)+IF(A117=A70+'Summary'!$B$10*12,I70,0)+IF(A117=A71+'Summary'!$B$10*12,I71,0)+IF(A117=A72+'Summary'!$B$10*12,I72,0)+IF(A117=A73+'Summary'!$B$10*12,I73,0)+IF(A117=A74+'Summary'!$B$10*12,I74,0)+IF(A117=A75+'Summary'!$B$10*12,I75,0)+IF(A117=A76+'Summary'!$B$10*12,I76,0)+IF(A117=A77+'Summary'!$B$10*12,I77,0)+IF(A117=A78+'Summary'!$B$10*12,I78,0)+IF(A117=A79+'Summary'!$B$10*12,I79,0)+IF(A117=A80+'Summary'!$B$10*12,I80,0)+IF(A117=A81+'Summary'!$B$10*12,I81,0)+IF(A117=A82+'Summary'!$B$10*12,I82,0)+IF(A117=A83+'Summary'!$B$10*12,I83,0)+IF(A117=A84+'Summary'!$B$10*12,I84,0)+IF(A117=A85+'Summary'!$B$10*12,I85,0)+IF(A117=A86+'Summary'!$B$10*12,I86,0)+IF(A117=A87+'Summary'!$B$10*12,I87,0)+IF(A117=A88+'Summary'!$B$10*12,I88,0)+IF(A117=A89+'Summary'!$B$10*12,I89,0)+IF(A117=A90+'Summary'!$B$10*12,I90,0)+IF(A117=A91+'Summary'!$B$10*12,I91,0)+IF(A117=A92+'Summary'!$B$10*12,I92,0)+IF(A117=A93+'Summary'!$B$10*12,I93,0)+IF(A117=A94+'Summary'!$B$10*12,I94,0)+IF(A117=A95+'Summary'!$B$10*12,I95,0)+IF(A117=A96+'Summary'!$B$10*12,I96,0)+IF(A117=A97+'Summary'!$B$10*12,I97,0)+IF(A117=A98+'Summary'!$B$10*12,I98,0)+IF(A117=A99+'Summary'!$B$10*12,I99,0)+IF(A117=A100+'Summary'!$B$10*12,I100,0)+IF(A117=A101+'Summary'!$B$10*12,I101,0)+IF(A117=A102+'Summary'!$B$10*12,I102,0)+IF(A117=A103+'Summary'!$B$10*12,I103,0)+IF(A117=A104+'Summary'!$B$10*12,I104,0)+IF(A117=A105+'Summary'!$B$10*12,I105,0)+IF(A117=A106+'Summary'!$B$10*12,I106,0)+IF(A117=A107+'Summary'!$B$10*12,I107,0)+IF(A117=A108+'Summary'!$B$10*12,I108,0)+IF(A117=A109+'Summary'!$B$10*12,I109,0)+IF(A117=A110+'Summary'!$B$10*12,I110,0)+IF(A117=A111+'Summary'!$B$10*12,I111,0)+IF(A117=A112+'Summary'!$B$10*12,I112,0)+IF(A117=A113+'Summary'!$B$10*12,I113,0)+IF(A117=A114+'Summary'!$B$10*12,I114,0)+IF(A117=A115+'Summary'!$B$10*12,I115,0)+IF(A117=A116+'Summary'!$B$10*12,I116,0)</x:f>
        <x:v>115.88557359514499</x:v>
      </x:c>
      <x:c r="H117" s="62" t="n">
        <x:f>E117+D117+F117+G117</x:f>
        <x:v>255.22245726535664</x:v>
      </x:c>
      <x:c r="I117" s="62" t="n">
        <x:f>IF(B117,IF(H117&gt;='Summary'!$B$12,H117,0),0)</x:f>
        <x:v>255.22245726535664</x:v>
      </x:c>
      <x:c r="J117" s="62" t="n">
        <x:f>H117-I117</x:f>
        <x:v>0</x:v>
      </x:c>
      <x:c r="K117" s="63" t="n">
        <x:f>J117+IF(A8+'Summary'!$B$10*12&gt;A117,I8,0)+IF(A9+'Summary'!$B$10*12&gt;A117,I9,0)+IF(A10+'Summary'!$B$10*12&gt;A117,I10,0)+IF(A11+'Summary'!$B$10*12&gt;A117,I11,0)+IF(A12+'Summary'!$B$10*12&gt;A117,I12,0)+IF(A13+'Summary'!$B$10*12&gt;A117,I13,0)+IF(A14+'Summary'!$B$10*12&gt;A117,I14,0)+IF(A15+'Summary'!$B$10*12&gt;A117,I15,0)+IF(A16+'Summary'!$B$10*12&gt;A117,I16,0)+IF(A17+'Summary'!$B$10*12&gt;A117,I17,0)+IF(A18+'Summary'!$B$10*12&gt;A117,I18,0)+IF(A19+'Summary'!$B$10*12&gt;A117,I19,0)+IF(A20+'Summary'!$B$10*12&gt;A117,I20,0)+IF(A21+'Summary'!$B$10*12&gt;A117,I21,0)+IF(A22+'Summary'!$B$10*12&gt;A117,I22,0)+IF(A23+'Summary'!$B$10*12&gt;A117,I23,0)+IF(A24+'Summary'!$B$10*12&gt;A117,I24,0)+IF(A25+'Summary'!$B$10*12&gt;A117,I25,0)+IF(A26+'Summary'!$B$10*12&gt;A117,I26,0)+IF(A27+'Summary'!$B$10*12&gt;A117,I27,0)+IF(A28+'Summary'!$B$10*12&gt;A117,I28,0)+IF(A29+'Summary'!$B$10*12&gt;A117,I29,0)+IF(A30+'Summary'!$B$10*12&gt;A117,I30,0)+IF(A31+'Summary'!$B$10*12&gt;A117,I31,0)+IF(A32+'Summary'!$B$10*12&gt;A117,I32,0)+IF(A33+'Summary'!$B$10*12&gt;A117,I33,0)+IF(A34+'Summary'!$B$10*12&gt;A117,I34,0)+IF(A35+'Summary'!$B$10*12&gt;A117,I35,0)+IF(A36+'Summary'!$B$10*12&gt;A117,I36,0)+IF(A37+'Summary'!$B$10*12&gt;A117,I37,0)+IF(A38+'Summary'!$B$10*12&gt;A117,I38,0)+IF(A39+'Summary'!$B$10*12&gt;A117,I39,0)+IF(A40+'Summary'!$B$10*12&gt;A117,I40,0)+IF(A41+'Summary'!$B$10*12&gt;A117,I41,0)+IF(A42+'Summary'!$B$10*12&gt;A117,I42,0)+IF(A43+'Summary'!$B$10*12&gt;A117,I43,0)+IF(A44+'Summary'!$B$10*12&gt;A117,I44,0)+IF(A45+'Summary'!$B$10*12&gt;A117,I45,0)+IF(A46+'Summary'!$B$10*12&gt;A117,I46,0)+IF(A47+'Summary'!$B$10*12&gt;A117,I47,0)+IF(A48+'Summary'!$B$10*12&gt;A117,I48,0)+IF(A49+'Summary'!$B$10*12&gt;A117,I49,0)+IF(A50+'Summary'!$B$10*12&gt;A117,I50,0)+IF(A51+'Summary'!$B$10*12&gt;A117,I51,0)+IF(A52+'Summary'!$B$10*12&gt;A117,I52,0)+IF(A53+'Summary'!$B$10*12&gt;A117,I53,0)+IF(A54+'Summary'!$B$10*12&gt;A117,I54,0)+IF(A55+'Summary'!$B$10*12&gt;A117,I55,0)+IF(A56+'Summary'!$B$10*12&gt;A117,I56,0)+IF(A57+'Summary'!$B$10*12&gt;A117,I57,0)+IF(A58+'Summary'!$B$10*12&gt;A117,I58,0)+IF(A59+'Summary'!$B$10*12&gt;A117,I59,0)+IF(A60+'Summary'!$B$10*12&gt;A117,I60,0)+IF(A61+'Summary'!$B$10*12&gt;A117,I61,0)+IF(A62+'Summary'!$B$10*12&gt;A117,I62,0)+IF(A63+'Summary'!$B$10*12&gt;A117,I63,0)+IF(A64+'Summary'!$B$10*12&gt;A117,I64,0)+IF(A65+'Summary'!$B$10*12&gt;A117,I65,0)+IF(A66+'Summary'!$B$10*12&gt;A117,I66,0)+IF(A67+'Summary'!$B$10*12&gt;A117,I67,0)+IF(A68+'Summary'!$B$10*12&gt;A117,I68,0)+IF(A69+'Summary'!$B$10*12&gt;A117,I69,0)+IF(A70+'Summary'!$B$10*12&gt;A117,I70,0)+IF(A71+'Summary'!$B$10*12&gt;A117,I71,0)+IF(A72+'Summary'!$B$10*12&gt;A117,I72,0)+IF(A73+'Summary'!$B$10*12&gt;A117,I73,0)+IF(A74+'Summary'!$B$10*12&gt;A117,I74,0)+IF(A75+'Summary'!$B$10*12&gt;A117,I75,0)+IF(A76+'Summary'!$B$10*12&gt;A117,I76,0)+IF(A77+'Summary'!$B$10*12&gt;A117,I77,0)+IF(A78+'Summary'!$B$10*12&gt;A117,I78,0)+IF(A79+'Summary'!$B$10*12&gt;A117,I79,0)+IF(A80+'Summary'!$B$10*12&gt;A117,I80,0)+IF(A81+'Summary'!$B$10*12&gt;A117,I81,0)+IF(A82+'Summary'!$B$10*12&gt;A117,I82,0)+IF(A83+'Summary'!$B$10*12&gt;A117,I83,0)+IF(A84+'Summary'!$B$10*12&gt;A117,I84,0)+IF(A85+'Summary'!$B$10*12&gt;A117,I85,0)+IF(A86+'Summary'!$B$10*12&gt;A117,I86,0)+IF(A87+'Summary'!$B$10*12&gt;A117,I87,0)+IF(A88+'Summary'!$B$10*12&gt;A117,I88,0)+IF(A89+'Summary'!$B$10*12&gt;A117,I89,0)+IF(A90+'Summary'!$B$10*12&gt;A117,I90,0)+IF(A91+'Summary'!$B$10*12&gt;A117,I91,0)+IF(A92+'Summary'!$B$10*12&gt;A117,I92,0)+IF(A93+'Summary'!$B$10*12&gt;A117,I93,0)+IF(A94+'Summary'!$B$10*12&gt;A117,I94,0)+IF(A95+'Summary'!$B$10*12&gt;A117,I95,0)+IF(A96+'Summary'!$B$10*12&gt;A117,I96,0)+IF(A97+'Summary'!$B$10*12&gt;A117,I97,0)+IF(A98+'Summary'!$B$10*12&gt;A117,I98,0)+IF(A99+'Summary'!$B$10*12&gt;A117,I99,0)+IF(A100+'Summary'!$B$10*12&gt;A117,I100,0)+IF(A101+'Summary'!$B$10*12&gt;A117,I101,0)+IF(A102+'Summary'!$B$10*12&gt;A117,I102,0)+IF(A103+'Summary'!$B$10*12&gt;A117,I103,0)+IF(A104+'Summary'!$B$10*12&gt;A117,I104,0)+IF(A105+'Summary'!$B$10*12&gt;A117,I105,0)+IF(A106+'Summary'!$B$10*12&gt;A117,I106,0)+IF(A107+'Summary'!$B$10*12&gt;A117,I107,0)+IF(A108+'Summary'!$B$10*12&gt;A117,I108,0)+IF(A109+'Summary'!$B$10*12&gt;A117,I109,0)+IF(A110+'Summary'!$B$10*12&gt;A117,I110,0)+IF(A111+'Summary'!$B$10*12&gt;A117,I111,0)+IF(A112+'Summary'!$B$10*12&gt;A117,I112,0)+IF(A113+'Summary'!$B$10*12&gt;A117,I113,0)+IF(A114+'Summary'!$B$10*12&gt;A117,I114,0)+IF(A115+'Summary'!$B$10*12&gt;A117,I115,0)+IF(A116+'Summary'!$B$10*12&gt;A117,I116,0)+IF(A117+'Summary'!$B$10*12&gt;A117,I117,0)</x:f>
        <x:v>26901.679447333096</x:v>
      </x:c>
    </x:row>
    <x:row r="118">
      <x:c r="A118" s="55" t="n">
        <x:v>110</x:v>
      </x:c>
      <x:c r="B118" s="71" t="b">
        <x:f>A118&lt;='Summary'!$B$9*12</x:f>
        <x:v>1</x:v>
      </x:c>
      <x:c r="C118" s="62" t="n">
        <x:f>IF(A118=0,IF('Summary'!$B$6&gt;=5,'Summary'!$B$6,0),C117)+IF(A118&lt;'Summary'!$B$9*12,IF('Summary'!$B$7&gt;=5,'Summary'!$B$7,0),0)</x:f>
        <x:v>21100</x:v>
      </x:c>
      <x:c r="D118" s="62" t="n">
        <x:f>IF(A118=0,IF('Summary'!$B$6&gt;=5,'Summary'!$B$6,0),0)+IF(A118&lt;'Summary'!$B$9*12,IF('Summary'!$B$7&gt;=5,'Summary'!$B$7,0),0)</x:f>
        <x:v>100</x:v>
      </x:c>
      <x:c r="E118" s="62" t="n">
        <x:f>J117</x:f>
        <x:v>0</x:v>
      </x:c>
      <x:c r="F118" s="62" t="n">
        <x:f>(IF(AND(A118&gt;A8,A118&lt;=A8+'Summary'!$B$10*12,MOD(A118-A8,'Summary'!$B$11)=0),I8,0)+IF(AND(A118&gt;A9,A118&lt;=A9+'Summary'!$B$10*12,MOD(A118-A9,'Summary'!$B$11)=0),I9,0)+IF(AND(A118&gt;A10,A118&lt;=A10+'Summary'!$B$10*12,MOD(A118-A10,'Summary'!$B$11)=0),I10,0)+IF(AND(A118&gt;A11,A118&lt;=A11+'Summary'!$B$10*12,MOD(A118-A11,'Summary'!$B$11)=0),I11,0)+IF(AND(A118&gt;A12,A118&lt;=A12+'Summary'!$B$10*12,MOD(A118-A12,'Summary'!$B$11)=0),I12,0)+IF(AND(A118&gt;A13,A118&lt;=A13+'Summary'!$B$10*12,MOD(A118-A13,'Summary'!$B$11)=0),I13,0)+IF(AND(A118&gt;A14,A118&lt;=A14+'Summary'!$B$10*12,MOD(A118-A14,'Summary'!$B$11)=0),I14,0)+IF(AND(A118&gt;A15,A118&lt;=A15+'Summary'!$B$10*12,MOD(A118-A15,'Summary'!$B$11)=0),I15,0)+IF(AND(A118&gt;A16,A118&lt;=A16+'Summary'!$B$10*12,MOD(A118-A16,'Summary'!$B$11)=0),I16,0)+IF(AND(A118&gt;A17,A118&lt;=A17+'Summary'!$B$10*12,MOD(A118-A17,'Summary'!$B$11)=0),I17,0)+IF(AND(A118&gt;A18,A118&lt;=A18+'Summary'!$B$10*12,MOD(A118-A18,'Summary'!$B$11)=0),I18,0)+IF(AND(A118&gt;A19,A118&lt;=A19+'Summary'!$B$10*12,MOD(A118-A19,'Summary'!$B$11)=0),I19,0)+IF(AND(A118&gt;A20,A118&lt;=A20+'Summary'!$B$10*12,MOD(A118-A20,'Summary'!$B$11)=0),I20,0)+IF(AND(A118&gt;A21,A118&lt;=A21+'Summary'!$B$10*12,MOD(A118-A21,'Summary'!$B$11)=0),I21,0)+IF(AND(A118&gt;A22,A118&lt;=A22+'Summary'!$B$10*12,MOD(A118-A22,'Summary'!$B$11)=0),I22,0)+IF(AND(A118&gt;A23,A118&lt;=A23+'Summary'!$B$10*12,MOD(A118-A23,'Summary'!$B$11)=0),I23,0)+IF(AND(A118&gt;A24,A118&lt;=A24+'Summary'!$B$10*12,MOD(A118-A24,'Summary'!$B$11)=0),I24,0)+IF(AND(A118&gt;A25,A118&lt;=A25+'Summary'!$B$10*12,MOD(A118-A25,'Summary'!$B$11)=0),I25,0)+IF(AND(A118&gt;A26,A118&lt;=A26+'Summary'!$B$10*12,MOD(A118-A26,'Summary'!$B$11)=0),I26,0)+IF(AND(A118&gt;A27,A118&lt;=A27+'Summary'!$B$10*12,MOD(A118-A27,'Summary'!$B$11)=0),I27,0)+IF(AND(A118&gt;A28,A118&lt;=A28+'Summary'!$B$10*12,MOD(A118-A28,'Summary'!$B$11)=0),I28,0)+IF(AND(A118&gt;A29,A118&lt;=A29+'Summary'!$B$10*12,MOD(A118-A29,'Summary'!$B$11)=0),I29,0)+IF(AND(A118&gt;A30,A118&lt;=A30+'Summary'!$B$10*12,MOD(A118-A30,'Summary'!$B$11)=0),I30,0)+IF(AND(A118&gt;A31,A118&lt;=A31+'Summary'!$B$10*12,MOD(A118-A31,'Summary'!$B$11)=0),I31,0)+IF(AND(A118&gt;A32,A118&lt;=A32+'Summary'!$B$10*12,MOD(A118-A32,'Summary'!$B$11)=0),I32,0)+IF(AND(A118&gt;A33,A118&lt;=A33+'Summary'!$B$10*12,MOD(A118-A33,'Summary'!$B$11)=0),I33,0)+IF(AND(A118&gt;A34,A118&lt;=A34+'Summary'!$B$10*12,MOD(A118-A34,'Summary'!$B$11)=0),I34,0)+IF(AND(A118&gt;A35,A118&lt;=A35+'Summary'!$B$10*12,MOD(A118-A35,'Summary'!$B$11)=0),I35,0)+IF(AND(A118&gt;A36,A118&lt;=A36+'Summary'!$B$10*12,MOD(A118-A36,'Summary'!$B$11)=0),I36,0)+IF(AND(A118&gt;A37,A118&lt;=A37+'Summary'!$B$10*12,MOD(A118-A37,'Summary'!$B$11)=0),I37,0)+IF(AND(A118&gt;A38,A118&lt;=A38+'Summary'!$B$10*12,MOD(A118-A38,'Summary'!$B$11)=0),I38,0)+IF(AND(A118&gt;A39,A118&lt;=A39+'Summary'!$B$10*12,MOD(A118-A39,'Summary'!$B$11)=0),I39,0)+IF(AND(A118&gt;A40,A118&lt;=A40+'Summary'!$B$10*12,MOD(A118-A40,'Summary'!$B$11)=0),I40,0)+IF(AND(A118&gt;A41,A118&lt;=A41+'Summary'!$B$10*12,MOD(A118-A41,'Summary'!$B$11)=0),I41,0)+IF(AND(A118&gt;A42,A118&lt;=A42+'Summary'!$B$10*12,MOD(A118-A42,'Summary'!$B$11)=0),I42,0)+IF(AND(A118&gt;A43,A118&lt;=A43+'Summary'!$B$10*12,MOD(A118-A43,'Summary'!$B$11)=0),I43,0)+IF(AND(A118&gt;A44,A118&lt;=A44+'Summary'!$B$10*12,MOD(A118-A44,'Summary'!$B$11)=0),I44,0)+IF(AND(A118&gt;A45,A118&lt;=A45+'Summary'!$B$10*12,MOD(A118-A45,'Summary'!$B$11)=0),I45,0)+IF(AND(A118&gt;A46,A118&lt;=A46+'Summary'!$B$10*12,MOD(A118-A46,'Summary'!$B$11)=0),I46,0)+IF(AND(A118&gt;A47,A118&lt;=A47+'Summary'!$B$10*12,MOD(A118-A47,'Summary'!$B$11)=0),I47,0)+IF(AND(A118&gt;A48,A118&lt;=A48+'Summary'!$B$10*12,MOD(A118-A48,'Summary'!$B$11)=0),I48,0)+IF(AND(A118&gt;A49,A118&lt;=A49+'Summary'!$B$10*12,MOD(A118-A49,'Summary'!$B$11)=0),I49,0)+IF(AND(A118&gt;A50,A118&lt;=A50+'Summary'!$B$10*12,MOD(A118-A50,'Summary'!$B$11)=0),I50,0)+IF(AND(A118&gt;A51,A118&lt;=A51+'Summary'!$B$10*12,MOD(A118-A51,'Summary'!$B$11)=0),I51,0)+IF(AND(A118&gt;A52,A118&lt;=A52+'Summary'!$B$10*12,MOD(A118-A52,'Summary'!$B$11)=0),I52,0)+IF(AND(A118&gt;A53,A118&lt;=A53+'Summary'!$B$10*12,MOD(A118-A53,'Summary'!$B$11)=0),I53,0)+IF(AND(A118&gt;A54,A118&lt;=A54+'Summary'!$B$10*12,MOD(A118-A54,'Summary'!$B$11)=0),I54,0)+IF(AND(A118&gt;A55,A118&lt;=A55+'Summary'!$B$10*12,MOD(A118-A55,'Summary'!$B$11)=0),I55,0)+IF(AND(A118&gt;A56,A118&lt;=A56+'Summary'!$B$10*12,MOD(A118-A56,'Summary'!$B$11)=0),I56,0)+IF(AND(A118&gt;A57,A118&lt;=A57+'Summary'!$B$10*12,MOD(A118-A57,'Summary'!$B$11)=0),I57,0)+IF(AND(A118&gt;A58,A118&lt;=A58+'Summary'!$B$10*12,MOD(A118-A58,'Summary'!$B$11)=0),I58,0)+IF(AND(A118&gt;A59,A118&lt;=A59+'Summary'!$B$10*12,MOD(A118-A59,'Summary'!$B$11)=0),I59,0)+IF(AND(A118&gt;A60,A118&lt;=A60+'Summary'!$B$10*12,MOD(A118-A60,'Summary'!$B$11)=0),I60,0)+IF(AND(A118&gt;A61,A118&lt;=A61+'Summary'!$B$10*12,MOD(A118-A61,'Summary'!$B$11)=0),I61,0)+IF(AND(A118&gt;A62,A118&lt;=A62+'Summary'!$B$10*12,MOD(A118-A62,'Summary'!$B$11)=0),I62,0)+IF(AND(A118&gt;A63,A118&lt;=A63+'Summary'!$B$10*12,MOD(A118-A63,'Summary'!$B$11)=0),I63,0)+IF(AND(A118&gt;A64,A118&lt;=A64+'Summary'!$B$10*12,MOD(A118-A64,'Summary'!$B$11)=0),I64,0)+IF(AND(A118&gt;A65,A118&lt;=A65+'Summary'!$B$10*12,MOD(A118-A65,'Summary'!$B$11)=0),I65,0)+IF(AND(A118&gt;A66,A118&lt;=A66+'Summary'!$B$10*12,MOD(A118-A66,'Summary'!$B$11)=0),I66,0)+IF(AND(A118&gt;A67,A118&lt;=A67+'Summary'!$B$10*12,MOD(A118-A67,'Summary'!$B$11)=0),I67,0)+IF(AND(A118&gt;A68,A118&lt;=A68+'Summary'!$B$10*12,MOD(A118-A68,'Summary'!$B$11)=0),I68,0)+IF(AND(A118&gt;A69,A118&lt;=A69+'Summary'!$B$10*12,MOD(A118-A69,'Summary'!$B$11)=0),I69,0)+IF(AND(A118&gt;A70,A118&lt;=A70+'Summary'!$B$10*12,MOD(A118-A70,'Summary'!$B$11)=0),I70,0)+IF(AND(A118&gt;A71,A118&lt;=A71+'Summary'!$B$10*12,MOD(A118-A71,'Summary'!$B$11)=0),I71,0)+IF(AND(A118&gt;A72,A118&lt;=A72+'Summary'!$B$10*12,MOD(A118-A72,'Summary'!$B$11)=0),I72,0)+IF(AND(A118&gt;A73,A118&lt;=A73+'Summary'!$B$10*12,MOD(A118-A73,'Summary'!$B$11)=0),I73,0)+IF(AND(A118&gt;A74,A118&lt;=A74+'Summary'!$B$10*12,MOD(A118-A74,'Summary'!$B$11)=0),I74,0)+IF(AND(A118&gt;A75,A118&lt;=A75+'Summary'!$B$10*12,MOD(A118-A75,'Summary'!$B$11)=0),I75,0)+IF(AND(A118&gt;A76,A118&lt;=A76+'Summary'!$B$10*12,MOD(A118-A76,'Summary'!$B$11)=0),I76,0)+IF(AND(A118&gt;A77,A118&lt;=A77+'Summary'!$B$10*12,MOD(A118-A77,'Summary'!$B$11)=0),I77,0)+IF(AND(A118&gt;A78,A118&lt;=A78+'Summary'!$B$10*12,MOD(A118-A78,'Summary'!$B$11)=0),I78,0)+IF(AND(A118&gt;A79,A118&lt;=A79+'Summary'!$B$10*12,MOD(A118-A79,'Summary'!$B$11)=0),I79,0)+IF(AND(A118&gt;A80,A118&lt;=A80+'Summary'!$B$10*12,MOD(A118-A80,'Summary'!$B$11)=0),I80,0)+IF(AND(A118&gt;A81,A118&lt;=A81+'Summary'!$B$10*12,MOD(A118-A81,'Summary'!$B$11)=0),I81,0)+IF(AND(A118&gt;A82,A118&lt;=A82+'Summary'!$B$10*12,MOD(A118-A82,'Summary'!$B$11)=0),I82,0)+IF(AND(A118&gt;A83,A118&lt;=A83+'Summary'!$B$10*12,MOD(A118-A83,'Summary'!$B$11)=0),I83,0)+IF(AND(A118&gt;A84,A118&lt;=A84+'Summary'!$B$10*12,MOD(A118-A84,'Summary'!$B$11)=0),I84,0)+IF(AND(A118&gt;A85,A118&lt;=A85+'Summary'!$B$10*12,MOD(A118-A85,'Summary'!$B$11)=0),I85,0)+IF(AND(A118&gt;A86,A118&lt;=A86+'Summary'!$B$10*12,MOD(A118-A86,'Summary'!$B$11)=0),I86,0)+IF(AND(A118&gt;A87,A118&lt;=A87+'Summary'!$B$10*12,MOD(A118-A87,'Summary'!$B$11)=0),I87,0)+IF(AND(A118&gt;A88,A118&lt;=A88+'Summary'!$B$10*12,MOD(A118-A88,'Summary'!$B$11)=0),I88,0)+IF(AND(A118&gt;A89,A118&lt;=A89+'Summary'!$B$10*12,MOD(A118-A89,'Summary'!$B$11)=0),I89,0)+IF(AND(A118&gt;A90,A118&lt;=A90+'Summary'!$B$10*12,MOD(A118-A90,'Summary'!$B$11)=0),I90,0)+IF(AND(A118&gt;A91,A118&lt;=A91+'Summary'!$B$10*12,MOD(A118-A91,'Summary'!$B$11)=0),I91,0)+IF(AND(A118&gt;A92,A118&lt;=A92+'Summary'!$B$10*12,MOD(A118-A92,'Summary'!$B$11)=0),I92,0)+IF(AND(A118&gt;A93,A118&lt;=A93+'Summary'!$B$10*12,MOD(A118-A93,'Summary'!$B$11)=0),I93,0)+IF(AND(A118&gt;A94,A118&lt;=A94+'Summary'!$B$10*12,MOD(A118-A94,'Summary'!$B$11)=0),I94,0)+IF(AND(A118&gt;A95,A118&lt;=A95+'Summary'!$B$10*12,MOD(A118-A95,'Summary'!$B$11)=0),I95,0)+IF(AND(A118&gt;A96,A118&lt;=A96+'Summary'!$B$10*12,MOD(A118-A96,'Summary'!$B$11)=0),I96,0)+IF(AND(A118&gt;A97,A118&lt;=A97+'Summary'!$B$10*12,MOD(A118-A97,'Summary'!$B$11)=0),I97,0)+IF(AND(A118&gt;A98,A118&lt;=A98+'Summary'!$B$10*12,MOD(A118-A98,'Summary'!$B$11)=0),I98,0)+IF(AND(A118&gt;A99,A118&lt;=A99+'Summary'!$B$10*12,MOD(A118-A99,'Summary'!$B$11)=0),I99,0)+IF(AND(A118&gt;A100,A118&lt;=A100+'Summary'!$B$10*12,MOD(A118-A100,'Summary'!$B$11)=0),I100,0)+IF(AND(A118&gt;A101,A118&lt;=A101+'Summary'!$B$10*12,MOD(A118-A101,'Summary'!$B$11)=0),I101,0)+IF(AND(A118&gt;A102,A118&lt;=A102+'Summary'!$B$10*12,MOD(A118-A102,'Summary'!$B$11)=0),I102,0)+IF(AND(A118&gt;A103,A118&lt;=A103+'Summary'!$B$10*12,MOD(A118-A103,'Summary'!$B$11)=0),I103,0)+IF(AND(A118&gt;A104,A118&lt;=A104+'Summary'!$B$10*12,MOD(A118-A104,'Summary'!$B$11)=0),I104,0)+IF(AND(A118&gt;A105,A118&lt;=A105+'Summary'!$B$10*12,MOD(A118-A105,'Summary'!$B$11)=0),I105,0)+IF(AND(A118&gt;A106,A118&lt;=A106+'Summary'!$B$10*12,MOD(A118-A106,'Summary'!$B$11)=0),I106,0)+IF(AND(A118&gt;A107,A118&lt;=A107+'Summary'!$B$10*12,MOD(A118-A107,'Summary'!$B$11)=0),I107,0)+IF(AND(A118&gt;A108,A118&lt;=A108+'Summary'!$B$10*12,MOD(A118-A108,'Summary'!$B$11)=0),I108,0)+IF(AND(A118&gt;A109,A118&lt;=A109+'Summary'!$B$10*12,MOD(A118-A109,'Summary'!$B$11)=0),I109,0)+IF(AND(A118&gt;A110,A118&lt;=A110+'Summary'!$B$10*12,MOD(A118-A110,'Summary'!$B$11)=0),I110,0)+IF(AND(A118&gt;A111,A118&lt;=A111+'Summary'!$B$10*12,MOD(A118-A111,'Summary'!$B$11)=0),I111,0)+IF(AND(A118&gt;A112,A118&lt;=A112+'Summary'!$B$10*12,MOD(A118-A112,'Summary'!$B$11)=0),I112,0)+IF(AND(A118&gt;A113,A118&lt;=A113+'Summary'!$B$10*12,MOD(A118-A113,'Summary'!$B$11)=0),I113,0)+IF(AND(A118&gt;A114,A118&lt;=A114+'Summary'!$B$10*12,MOD(A118-A114,'Summary'!$B$11)=0),I114,0)+IF(AND(A118&gt;A115,A118&lt;=A115+'Summary'!$B$10*12,MOD(A118-A115,'Summary'!$B$11)=0),I115,0)+IF(AND(A118&gt;A116,A118&lt;=A116+'Summary'!$B$10*12,MOD(A118-A116,'Summary'!$B$11)=0),I116,0)+IF(AND(A118&gt;A117,A118&lt;=A117+'Summary'!$B$10*12,MOD(A118-A117,'Summary'!$B$11)=0),I117,0))*'Summary'!$B$8/2</x:f>
        <x:v>39.33688367021165</x:v>
      </x:c>
      <x:c r="G118" s="62" t="n">
        <x:f>IF(A118=A8+'Summary'!$B$10*12,I8,0)+IF(A118=A9+'Summary'!$B$10*12,I9,0)+IF(A118=A10+'Summary'!$B$10*12,I10,0)+IF(A118=A11+'Summary'!$B$10*12,I11,0)+IF(A118=A12+'Summary'!$B$10*12,I12,0)+IF(A118=A13+'Summary'!$B$10*12,I13,0)+IF(A118=A14+'Summary'!$B$10*12,I14,0)+IF(A118=A15+'Summary'!$B$10*12,I15,0)+IF(A118=A16+'Summary'!$B$10*12,I16,0)+IF(A118=A17+'Summary'!$B$10*12,I17,0)+IF(A118=A18+'Summary'!$B$10*12,I18,0)+IF(A118=A19+'Summary'!$B$10*12,I19,0)+IF(A118=A20+'Summary'!$B$10*12,I20,0)+IF(A118=A21+'Summary'!$B$10*12,I21,0)+IF(A118=A22+'Summary'!$B$10*12,I22,0)+IF(A118=A23+'Summary'!$B$10*12,I23,0)+IF(A118=A24+'Summary'!$B$10*12,I24,0)+IF(A118=A25+'Summary'!$B$10*12,I25,0)+IF(A118=A26+'Summary'!$B$10*12,I26,0)+IF(A118=A27+'Summary'!$B$10*12,I27,0)+IF(A118=A28+'Summary'!$B$10*12,I28,0)+IF(A118=A29+'Summary'!$B$10*12,I29,0)+IF(A118=A30+'Summary'!$B$10*12,I30,0)+IF(A118=A31+'Summary'!$B$10*12,I31,0)+IF(A118=A32+'Summary'!$B$10*12,I32,0)+IF(A118=A33+'Summary'!$B$10*12,I33,0)+IF(A118=A34+'Summary'!$B$10*12,I34,0)+IF(A118=A35+'Summary'!$B$10*12,I35,0)+IF(A118=A36+'Summary'!$B$10*12,I36,0)+IF(A118=A37+'Summary'!$B$10*12,I37,0)+IF(A118=A38+'Summary'!$B$10*12,I38,0)+IF(A118=A39+'Summary'!$B$10*12,I39,0)+IF(A118=A40+'Summary'!$B$10*12,I40,0)+IF(A118=A41+'Summary'!$B$10*12,I41,0)+IF(A118=A42+'Summary'!$B$10*12,I42,0)+IF(A118=A43+'Summary'!$B$10*12,I43,0)+IF(A118=A44+'Summary'!$B$10*12,I44,0)+IF(A118=A45+'Summary'!$B$10*12,I45,0)+IF(A118=A46+'Summary'!$B$10*12,I46,0)+IF(A118=A47+'Summary'!$B$10*12,I47,0)+IF(A118=A48+'Summary'!$B$10*12,I48,0)+IF(A118=A49+'Summary'!$B$10*12,I49,0)+IF(A118=A50+'Summary'!$B$10*12,I50,0)+IF(A118=A51+'Summary'!$B$10*12,I51,0)+IF(A118=A52+'Summary'!$B$10*12,I52,0)+IF(A118=A53+'Summary'!$B$10*12,I53,0)+IF(A118=A54+'Summary'!$B$10*12,I54,0)+IF(A118=A55+'Summary'!$B$10*12,I55,0)+IF(A118=A56+'Summary'!$B$10*12,I56,0)+IF(A118=A57+'Summary'!$B$10*12,I57,0)+IF(A118=A58+'Summary'!$B$10*12,I58,0)+IF(A118=A59+'Summary'!$B$10*12,I59,0)+IF(A118=A60+'Summary'!$B$10*12,I60,0)+IF(A118=A61+'Summary'!$B$10*12,I61,0)+IF(A118=A62+'Summary'!$B$10*12,I62,0)+IF(A118=A63+'Summary'!$B$10*12,I63,0)+IF(A118=A64+'Summary'!$B$10*12,I64,0)+IF(A118=A65+'Summary'!$B$10*12,I65,0)+IF(A118=A66+'Summary'!$B$10*12,I66,0)+IF(A118=A67+'Summary'!$B$10*12,I67,0)+IF(A118=A68+'Summary'!$B$10*12,I68,0)+IF(A118=A69+'Summary'!$B$10*12,I69,0)+IF(A118=A70+'Summary'!$B$10*12,I70,0)+IF(A118=A71+'Summary'!$B$10*12,I71,0)+IF(A118=A72+'Summary'!$B$10*12,I72,0)+IF(A118=A73+'Summary'!$B$10*12,I73,0)+IF(A118=A74+'Summary'!$B$10*12,I74,0)+IF(A118=A75+'Summary'!$B$10*12,I75,0)+IF(A118=A76+'Summary'!$B$10*12,I76,0)+IF(A118=A77+'Summary'!$B$10*12,I77,0)+IF(A118=A78+'Summary'!$B$10*12,I78,0)+IF(A118=A79+'Summary'!$B$10*12,I79,0)+IF(A118=A80+'Summary'!$B$10*12,I80,0)+IF(A118=A81+'Summary'!$B$10*12,I81,0)+IF(A118=A82+'Summary'!$B$10*12,I82,0)+IF(A118=A83+'Summary'!$B$10*12,I83,0)+IF(A118=A84+'Summary'!$B$10*12,I84,0)+IF(A118=A85+'Summary'!$B$10*12,I85,0)+IF(A118=A86+'Summary'!$B$10*12,I86,0)+IF(A118=A87+'Summary'!$B$10*12,I87,0)+IF(A118=A88+'Summary'!$B$10*12,I88,0)+IF(A118=A89+'Summary'!$B$10*12,I89,0)+IF(A118=A90+'Summary'!$B$10*12,I90,0)+IF(A118=A91+'Summary'!$B$10*12,I91,0)+IF(A118=A92+'Summary'!$B$10*12,I92,0)+IF(A118=A93+'Summary'!$B$10*12,I93,0)+IF(A118=A94+'Summary'!$B$10*12,I94,0)+IF(A118=A95+'Summary'!$B$10*12,I95,0)+IF(A118=A96+'Summary'!$B$10*12,I96,0)+IF(A118=A97+'Summary'!$B$10*12,I97,0)+IF(A118=A98+'Summary'!$B$10*12,I98,0)+IF(A118=A99+'Summary'!$B$10*12,I99,0)+IF(A118=A100+'Summary'!$B$10*12,I100,0)+IF(A118=A101+'Summary'!$B$10*12,I101,0)+IF(A118=A102+'Summary'!$B$10*12,I102,0)+IF(A118=A103+'Summary'!$B$10*12,I103,0)+IF(A118=A104+'Summary'!$B$10*12,I104,0)+IF(A118=A105+'Summary'!$B$10*12,I105,0)+IF(A118=A106+'Summary'!$B$10*12,I106,0)+IF(A118=A107+'Summary'!$B$10*12,I107,0)+IF(A118=A108+'Summary'!$B$10*12,I108,0)+IF(A118=A109+'Summary'!$B$10*12,I109,0)+IF(A118=A110+'Summary'!$B$10*12,I110,0)+IF(A118=A111+'Summary'!$B$10*12,I111,0)+IF(A118=A112+'Summary'!$B$10*12,I112,0)+IF(A118=A113+'Summary'!$B$10*12,I113,0)+IF(A118=A114+'Summary'!$B$10*12,I114,0)+IF(A118=A115+'Summary'!$B$10*12,I115,0)+IF(A118=A116+'Summary'!$B$10*12,I116,0)+IF(A118=A117+'Summary'!$B$10*12,I117,0)</x:f>
        <x:v>115.88557359514499</x:v>
      </x:c>
      <x:c r="H118" s="62" t="n">
        <x:f>E118+D118+F118+G118</x:f>
        <x:v>255.22245726535664</x:v>
      </x:c>
      <x:c r="I118" s="62" t="n">
        <x:f>IF(B118,IF(H118&gt;='Summary'!$B$12,H118,0),0)</x:f>
        <x:v>255.22245726535664</x:v>
      </x:c>
      <x:c r="J118" s="62" t="n">
        <x:f>H118-I118</x:f>
        <x:v>0</x:v>
      </x:c>
      <x:c r="K118" s="63" t="n">
        <x:f>J118+IF(A8+'Summary'!$B$10*12&gt;A118,I8,0)+IF(A9+'Summary'!$B$10*12&gt;A118,I9,0)+IF(A10+'Summary'!$B$10*12&gt;A118,I10,0)+IF(A11+'Summary'!$B$10*12&gt;A118,I11,0)+IF(A12+'Summary'!$B$10*12&gt;A118,I12,0)+IF(A13+'Summary'!$B$10*12&gt;A118,I13,0)+IF(A14+'Summary'!$B$10*12&gt;A118,I14,0)+IF(A15+'Summary'!$B$10*12&gt;A118,I15,0)+IF(A16+'Summary'!$B$10*12&gt;A118,I16,0)+IF(A17+'Summary'!$B$10*12&gt;A118,I17,0)+IF(A18+'Summary'!$B$10*12&gt;A118,I18,0)+IF(A19+'Summary'!$B$10*12&gt;A118,I19,0)+IF(A20+'Summary'!$B$10*12&gt;A118,I20,0)+IF(A21+'Summary'!$B$10*12&gt;A118,I21,0)+IF(A22+'Summary'!$B$10*12&gt;A118,I22,0)+IF(A23+'Summary'!$B$10*12&gt;A118,I23,0)+IF(A24+'Summary'!$B$10*12&gt;A118,I24,0)+IF(A25+'Summary'!$B$10*12&gt;A118,I25,0)+IF(A26+'Summary'!$B$10*12&gt;A118,I26,0)+IF(A27+'Summary'!$B$10*12&gt;A118,I27,0)+IF(A28+'Summary'!$B$10*12&gt;A118,I28,0)+IF(A29+'Summary'!$B$10*12&gt;A118,I29,0)+IF(A30+'Summary'!$B$10*12&gt;A118,I30,0)+IF(A31+'Summary'!$B$10*12&gt;A118,I31,0)+IF(A32+'Summary'!$B$10*12&gt;A118,I32,0)+IF(A33+'Summary'!$B$10*12&gt;A118,I33,0)+IF(A34+'Summary'!$B$10*12&gt;A118,I34,0)+IF(A35+'Summary'!$B$10*12&gt;A118,I35,0)+IF(A36+'Summary'!$B$10*12&gt;A118,I36,0)+IF(A37+'Summary'!$B$10*12&gt;A118,I37,0)+IF(A38+'Summary'!$B$10*12&gt;A118,I38,0)+IF(A39+'Summary'!$B$10*12&gt;A118,I39,0)+IF(A40+'Summary'!$B$10*12&gt;A118,I40,0)+IF(A41+'Summary'!$B$10*12&gt;A118,I41,0)+IF(A42+'Summary'!$B$10*12&gt;A118,I42,0)+IF(A43+'Summary'!$B$10*12&gt;A118,I43,0)+IF(A44+'Summary'!$B$10*12&gt;A118,I44,0)+IF(A45+'Summary'!$B$10*12&gt;A118,I45,0)+IF(A46+'Summary'!$B$10*12&gt;A118,I46,0)+IF(A47+'Summary'!$B$10*12&gt;A118,I47,0)+IF(A48+'Summary'!$B$10*12&gt;A118,I48,0)+IF(A49+'Summary'!$B$10*12&gt;A118,I49,0)+IF(A50+'Summary'!$B$10*12&gt;A118,I50,0)+IF(A51+'Summary'!$B$10*12&gt;A118,I51,0)+IF(A52+'Summary'!$B$10*12&gt;A118,I52,0)+IF(A53+'Summary'!$B$10*12&gt;A118,I53,0)+IF(A54+'Summary'!$B$10*12&gt;A118,I54,0)+IF(A55+'Summary'!$B$10*12&gt;A118,I55,0)+IF(A56+'Summary'!$B$10*12&gt;A118,I56,0)+IF(A57+'Summary'!$B$10*12&gt;A118,I57,0)+IF(A58+'Summary'!$B$10*12&gt;A118,I58,0)+IF(A59+'Summary'!$B$10*12&gt;A118,I59,0)+IF(A60+'Summary'!$B$10*12&gt;A118,I60,0)+IF(A61+'Summary'!$B$10*12&gt;A118,I61,0)+IF(A62+'Summary'!$B$10*12&gt;A118,I62,0)+IF(A63+'Summary'!$B$10*12&gt;A118,I63,0)+IF(A64+'Summary'!$B$10*12&gt;A118,I64,0)+IF(A65+'Summary'!$B$10*12&gt;A118,I65,0)+IF(A66+'Summary'!$B$10*12&gt;A118,I66,0)+IF(A67+'Summary'!$B$10*12&gt;A118,I67,0)+IF(A68+'Summary'!$B$10*12&gt;A118,I68,0)+IF(A69+'Summary'!$B$10*12&gt;A118,I69,0)+IF(A70+'Summary'!$B$10*12&gt;A118,I70,0)+IF(A71+'Summary'!$B$10*12&gt;A118,I71,0)+IF(A72+'Summary'!$B$10*12&gt;A118,I72,0)+IF(A73+'Summary'!$B$10*12&gt;A118,I73,0)+IF(A74+'Summary'!$B$10*12&gt;A118,I74,0)+IF(A75+'Summary'!$B$10*12&gt;A118,I75,0)+IF(A76+'Summary'!$B$10*12&gt;A118,I76,0)+IF(A77+'Summary'!$B$10*12&gt;A118,I77,0)+IF(A78+'Summary'!$B$10*12&gt;A118,I78,0)+IF(A79+'Summary'!$B$10*12&gt;A118,I79,0)+IF(A80+'Summary'!$B$10*12&gt;A118,I80,0)+IF(A81+'Summary'!$B$10*12&gt;A118,I81,0)+IF(A82+'Summary'!$B$10*12&gt;A118,I82,0)+IF(A83+'Summary'!$B$10*12&gt;A118,I83,0)+IF(A84+'Summary'!$B$10*12&gt;A118,I84,0)+IF(A85+'Summary'!$B$10*12&gt;A118,I85,0)+IF(A86+'Summary'!$B$10*12&gt;A118,I86,0)+IF(A87+'Summary'!$B$10*12&gt;A118,I87,0)+IF(A88+'Summary'!$B$10*12&gt;A118,I88,0)+IF(A89+'Summary'!$B$10*12&gt;A118,I89,0)+IF(A90+'Summary'!$B$10*12&gt;A118,I90,0)+IF(A91+'Summary'!$B$10*12&gt;A118,I91,0)+IF(A92+'Summary'!$B$10*12&gt;A118,I92,0)+IF(A93+'Summary'!$B$10*12&gt;A118,I93,0)+IF(A94+'Summary'!$B$10*12&gt;A118,I94,0)+IF(A95+'Summary'!$B$10*12&gt;A118,I95,0)+IF(A96+'Summary'!$B$10*12&gt;A118,I96,0)+IF(A97+'Summary'!$B$10*12&gt;A118,I97,0)+IF(A98+'Summary'!$B$10*12&gt;A118,I98,0)+IF(A99+'Summary'!$B$10*12&gt;A118,I99,0)+IF(A100+'Summary'!$B$10*12&gt;A118,I100,0)+IF(A101+'Summary'!$B$10*12&gt;A118,I101,0)+IF(A102+'Summary'!$B$10*12&gt;A118,I102,0)+IF(A103+'Summary'!$B$10*12&gt;A118,I103,0)+IF(A104+'Summary'!$B$10*12&gt;A118,I104,0)+IF(A105+'Summary'!$B$10*12&gt;A118,I105,0)+IF(A106+'Summary'!$B$10*12&gt;A118,I106,0)+IF(A107+'Summary'!$B$10*12&gt;A118,I107,0)+IF(A108+'Summary'!$B$10*12&gt;A118,I108,0)+IF(A109+'Summary'!$B$10*12&gt;A118,I109,0)+IF(A110+'Summary'!$B$10*12&gt;A118,I110,0)+IF(A111+'Summary'!$B$10*12&gt;A118,I111,0)+IF(A112+'Summary'!$B$10*12&gt;A118,I112,0)+IF(A113+'Summary'!$B$10*12&gt;A118,I113,0)+IF(A114+'Summary'!$B$10*12&gt;A118,I114,0)+IF(A115+'Summary'!$B$10*12&gt;A118,I115,0)+IF(A116+'Summary'!$B$10*12&gt;A118,I116,0)+IF(A117+'Summary'!$B$10*12&gt;A118,I117,0)+IF(A118+'Summary'!$B$10*12&gt;A118,I118,0)</x:f>
        <x:v>27041.016331003306</x:v>
      </x:c>
    </x:row>
    <x:row r="119">
      <x:c r="A119" s="55" t="n">
        <x:v>111</x:v>
      </x:c>
      <x:c r="B119" s="71" t="b">
        <x:f>A119&lt;='Summary'!$B$9*12</x:f>
        <x:v>1</x:v>
      </x:c>
      <x:c r="C119" s="62" t="n">
        <x:f>IF(A119=0,IF('Summary'!$B$6&gt;=5,'Summary'!$B$6,0),C118)+IF(A119&lt;'Summary'!$B$9*12,IF('Summary'!$B$7&gt;=5,'Summary'!$B$7,0),0)</x:f>
        <x:v>21200</x:v>
      </x:c>
      <x:c r="D119" s="62" t="n">
        <x:f>IF(A119=0,IF('Summary'!$B$6&gt;=5,'Summary'!$B$6,0),0)+IF(A119&lt;'Summary'!$B$9*12,IF('Summary'!$B$7&gt;=5,'Summary'!$B$7,0),0)</x:f>
        <x:v>100</x:v>
      </x:c>
      <x:c r="E119" s="62" t="n">
        <x:f>J118</x:f>
        <x:v>0</x:v>
      </x:c>
      <x:c r="F119" s="62" t="n">
        <x:f>(IF(AND(A119&gt;A8,A119&lt;=A8+'Summary'!$B$10*12,MOD(A119-A8,'Summary'!$B$11)=0),I8,0)+IF(AND(A119&gt;A9,A119&lt;=A9+'Summary'!$B$10*12,MOD(A119-A9,'Summary'!$B$11)=0),I9,0)+IF(AND(A119&gt;A10,A119&lt;=A10+'Summary'!$B$10*12,MOD(A119-A10,'Summary'!$B$11)=0),I10,0)+IF(AND(A119&gt;A11,A119&lt;=A11+'Summary'!$B$10*12,MOD(A119-A11,'Summary'!$B$11)=0),I11,0)+IF(AND(A119&gt;A12,A119&lt;=A12+'Summary'!$B$10*12,MOD(A119-A12,'Summary'!$B$11)=0),I12,0)+IF(AND(A119&gt;A13,A119&lt;=A13+'Summary'!$B$10*12,MOD(A119-A13,'Summary'!$B$11)=0),I13,0)+IF(AND(A119&gt;A14,A119&lt;=A14+'Summary'!$B$10*12,MOD(A119-A14,'Summary'!$B$11)=0),I14,0)+IF(AND(A119&gt;A15,A119&lt;=A15+'Summary'!$B$10*12,MOD(A119-A15,'Summary'!$B$11)=0),I15,0)+IF(AND(A119&gt;A16,A119&lt;=A16+'Summary'!$B$10*12,MOD(A119-A16,'Summary'!$B$11)=0),I16,0)+IF(AND(A119&gt;A17,A119&lt;=A17+'Summary'!$B$10*12,MOD(A119-A17,'Summary'!$B$11)=0),I17,0)+IF(AND(A119&gt;A18,A119&lt;=A18+'Summary'!$B$10*12,MOD(A119-A18,'Summary'!$B$11)=0),I18,0)+IF(AND(A119&gt;A19,A119&lt;=A19+'Summary'!$B$10*12,MOD(A119-A19,'Summary'!$B$11)=0),I19,0)+IF(AND(A119&gt;A20,A119&lt;=A20+'Summary'!$B$10*12,MOD(A119-A20,'Summary'!$B$11)=0),I20,0)+IF(AND(A119&gt;A21,A119&lt;=A21+'Summary'!$B$10*12,MOD(A119-A21,'Summary'!$B$11)=0),I21,0)+IF(AND(A119&gt;A22,A119&lt;=A22+'Summary'!$B$10*12,MOD(A119-A22,'Summary'!$B$11)=0),I22,0)+IF(AND(A119&gt;A23,A119&lt;=A23+'Summary'!$B$10*12,MOD(A119-A23,'Summary'!$B$11)=0),I23,0)+IF(AND(A119&gt;A24,A119&lt;=A24+'Summary'!$B$10*12,MOD(A119-A24,'Summary'!$B$11)=0),I24,0)+IF(AND(A119&gt;A25,A119&lt;=A25+'Summary'!$B$10*12,MOD(A119-A25,'Summary'!$B$11)=0),I25,0)+IF(AND(A119&gt;A26,A119&lt;=A26+'Summary'!$B$10*12,MOD(A119-A26,'Summary'!$B$11)=0),I26,0)+IF(AND(A119&gt;A27,A119&lt;=A27+'Summary'!$B$10*12,MOD(A119-A27,'Summary'!$B$11)=0),I27,0)+IF(AND(A119&gt;A28,A119&lt;=A28+'Summary'!$B$10*12,MOD(A119-A28,'Summary'!$B$11)=0),I28,0)+IF(AND(A119&gt;A29,A119&lt;=A29+'Summary'!$B$10*12,MOD(A119-A29,'Summary'!$B$11)=0),I29,0)+IF(AND(A119&gt;A30,A119&lt;=A30+'Summary'!$B$10*12,MOD(A119-A30,'Summary'!$B$11)=0),I30,0)+IF(AND(A119&gt;A31,A119&lt;=A31+'Summary'!$B$10*12,MOD(A119-A31,'Summary'!$B$11)=0),I31,0)+IF(AND(A119&gt;A32,A119&lt;=A32+'Summary'!$B$10*12,MOD(A119-A32,'Summary'!$B$11)=0),I32,0)+IF(AND(A119&gt;A33,A119&lt;=A33+'Summary'!$B$10*12,MOD(A119-A33,'Summary'!$B$11)=0),I33,0)+IF(AND(A119&gt;A34,A119&lt;=A34+'Summary'!$B$10*12,MOD(A119-A34,'Summary'!$B$11)=0),I34,0)+IF(AND(A119&gt;A35,A119&lt;=A35+'Summary'!$B$10*12,MOD(A119-A35,'Summary'!$B$11)=0),I35,0)+IF(AND(A119&gt;A36,A119&lt;=A36+'Summary'!$B$10*12,MOD(A119-A36,'Summary'!$B$11)=0),I36,0)+IF(AND(A119&gt;A37,A119&lt;=A37+'Summary'!$B$10*12,MOD(A119-A37,'Summary'!$B$11)=0),I37,0)+IF(AND(A119&gt;A38,A119&lt;=A38+'Summary'!$B$10*12,MOD(A119-A38,'Summary'!$B$11)=0),I38,0)+IF(AND(A119&gt;A39,A119&lt;=A39+'Summary'!$B$10*12,MOD(A119-A39,'Summary'!$B$11)=0),I39,0)+IF(AND(A119&gt;A40,A119&lt;=A40+'Summary'!$B$10*12,MOD(A119-A40,'Summary'!$B$11)=0),I40,0)+IF(AND(A119&gt;A41,A119&lt;=A41+'Summary'!$B$10*12,MOD(A119-A41,'Summary'!$B$11)=0),I41,0)+IF(AND(A119&gt;A42,A119&lt;=A42+'Summary'!$B$10*12,MOD(A119-A42,'Summary'!$B$11)=0),I42,0)+IF(AND(A119&gt;A43,A119&lt;=A43+'Summary'!$B$10*12,MOD(A119-A43,'Summary'!$B$11)=0),I43,0)+IF(AND(A119&gt;A44,A119&lt;=A44+'Summary'!$B$10*12,MOD(A119-A44,'Summary'!$B$11)=0),I44,0)+IF(AND(A119&gt;A45,A119&lt;=A45+'Summary'!$B$10*12,MOD(A119-A45,'Summary'!$B$11)=0),I45,0)+IF(AND(A119&gt;A46,A119&lt;=A46+'Summary'!$B$10*12,MOD(A119-A46,'Summary'!$B$11)=0),I46,0)+IF(AND(A119&gt;A47,A119&lt;=A47+'Summary'!$B$10*12,MOD(A119-A47,'Summary'!$B$11)=0),I47,0)+IF(AND(A119&gt;A48,A119&lt;=A48+'Summary'!$B$10*12,MOD(A119-A48,'Summary'!$B$11)=0),I48,0)+IF(AND(A119&gt;A49,A119&lt;=A49+'Summary'!$B$10*12,MOD(A119-A49,'Summary'!$B$11)=0),I49,0)+IF(AND(A119&gt;A50,A119&lt;=A50+'Summary'!$B$10*12,MOD(A119-A50,'Summary'!$B$11)=0),I50,0)+IF(AND(A119&gt;A51,A119&lt;=A51+'Summary'!$B$10*12,MOD(A119-A51,'Summary'!$B$11)=0),I51,0)+IF(AND(A119&gt;A52,A119&lt;=A52+'Summary'!$B$10*12,MOD(A119-A52,'Summary'!$B$11)=0),I52,0)+IF(AND(A119&gt;A53,A119&lt;=A53+'Summary'!$B$10*12,MOD(A119-A53,'Summary'!$B$11)=0),I53,0)+IF(AND(A119&gt;A54,A119&lt;=A54+'Summary'!$B$10*12,MOD(A119-A54,'Summary'!$B$11)=0),I54,0)+IF(AND(A119&gt;A55,A119&lt;=A55+'Summary'!$B$10*12,MOD(A119-A55,'Summary'!$B$11)=0),I55,0)+IF(AND(A119&gt;A56,A119&lt;=A56+'Summary'!$B$10*12,MOD(A119-A56,'Summary'!$B$11)=0),I56,0)+IF(AND(A119&gt;A57,A119&lt;=A57+'Summary'!$B$10*12,MOD(A119-A57,'Summary'!$B$11)=0),I57,0)+IF(AND(A119&gt;A58,A119&lt;=A58+'Summary'!$B$10*12,MOD(A119-A58,'Summary'!$B$11)=0),I58,0)+IF(AND(A119&gt;A59,A119&lt;=A59+'Summary'!$B$10*12,MOD(A119-A59,'Summary'!$B$11)=0),I59,0)+IF(AND(A119&gt;A60,A119&lt;=A60+'Summary'!$B$10*12,MOD(A119-A60,'Summary'!$B$11)=0),I60,0)+IF(AND(A119&gt;A61,A119&lt;=A61+'Summary'!$B$10*12,MOD(A119-A61,'Summary'!$B$11)=0),I61,0)+IF(AND(A119&gt;A62,A119&lt;=A62+'Summary'!$B$10*12,MOD(A119-A62,'Summary'!$B$11)=0),I62,0)+IF(AND(A119&gt;A63,A119&lt;=A63+'Summary'!$B$10*12,MOD(A119-A63,'Summary'!$B$11)=0),I63,0)+IF(AND(A119&gt;A64,A119&lt;=A64+'Summary'!$B$10*12,MOD(A119-A64,'Summary'!$B$11)=0),I64,0)+IF(AND(A119&gt;A65,A119&lt;=A65+'Summary'!$B$10*12,MOD(A119-A65,'Summary'!$B$11)=0),I65,0)+IF(AND(A119&gt;A66,A119&lt;=A66+'Summary'!$B$10*12,MOD(A119-A66,'Summary'!$B$11)=0),I66,0)+IF(AND(A119&gt;A67,A119&lt;=A67+'Summary'!$B$10*12,MOD(A119-A67,'Summary'!$B$11)=0),I67,0)+IF(AND(A119&gt;A68,A119&lt;=A68+'Summary'!$B$10*12,MOD(A119-A68,'Summary'!$B$11)=0),I68,0)+IF(AND(A119&gt;A69,A119&lt;=A69+'Summary'!$B$10*12,MOD(A119-A69,'Summary'!$B$11)=0),I69,0)+IF(AND(A119&gt;A70,A119&lt;=A70+'Summary'!$B$10*12,MOD(A119-A70,'Summary'!$B$11)=0),I70,0)+IF(AND(A119&gt;A71,A119&lt;=A71+'Summary'!$B$10*12,MOD(A119-A71,'Summary'!$B$11)=0),I71,0)+IF(AND(A119&gt;A72,A119&lt;=A72+'Summary'!$B$10*12,MOD(A119-A72,'Summary'!$B$11)=0),I72,0)+IF(AND(A119&gt;A73,A119&lt;=A73+'Summary'!$B$10*12,MOD(A119-A73,'Summary'!$B$11)=0),I73,0)+IF(AND(A119&gt;A74,A119&lt;=A74+'Summary'!$B$10*12,MOD(A119-A74,'Summary'!$B$11)=0),I74,0)+IF(AND(A119&gt;A75,A119&lt;=A75+'Summary'!$B$10*12,MOD(A119-A75,'Summary'!$B$11)=0),I75,0)+IF(AND(A119&gt;A76,A119&lt;=A76+'Summary'!$B$10*12,MOD(A119-A76,'Summary'!$B$11)=0),I76,0)+IF(AND(A119&gt;A77,A119&lt;=A77+'Summary'!$B$10*12,MOD(A119-A77,'Summary'!$B$11)=0),I77,0)+IF(AND(A119&gt;A78,A119&lt;=A78+'Summary'!$B$10*12,MOD(A119-A78,'Summary'!$B$11)=0),I78,0)+IF(AND(A119&gt;A79,A119&lt;=A79+'Summary'!$B$10*12,MOD(A119-A79,'Summary'!$B$11)=0),I79,0)+IF(AND(A119&gt;A80,A119&lt;=A80+'Summary'!$B$10*12,MOD(A119-A80,'Summary'!$B$11)=0),I80,0)+IF(AND(A119&gt;A81,A119&lt;=A81+'Summary'!$B$10*12,MOD(A119-A81,'Summary'!$B$11)=0),I81,0)+IF(AND(A119&gt;A82,A119&lt;=A82+'Summary'!$B$10*12,MOD(A119-A82,'Summary'!$B$11)=0),I82,0)+IF(AND(A119&gt;A83,A119&lt;=A83+'Summary'!$B$10*12,MOD(A119-A83,'Summary'!$B$11)=0),I83,0)+IF(AND(A119&gt;A84,A119&lt;=A84+'Summary'!$B$10*12,MOD(A119-A84,'Summary'!$B$11)=0),I84,0)+IF(AND(A119&gt;A85,A119&lt;=A85+'Summary'!$B$10*12,MOD(A119-A85,'Summary'!$B$11)=0),I85,0)+IF(AND(A119&gt;A86,A119&lt;=A86+'Summary'!$B$10*12,MOD(A119-A86,'Summary'!$B$11)=0),I86,0)+IF(AND(A119&gt;A87,A119&lt;=A87+'Summary'!$B$10*12,MOD(A119-A87,'Summary'!$B$11)=0),I87,0)+IF(AND(A119&gt;A88,A119&lt;=A88+'Summary'!$B$10*12,MOD(A119-A88,'Summary'!$B$11)=0),I88,0)+IF(AND(A119&gt;A89,A119&lt;=A89+'Summary'!$B$10*12,MOD(A119-A89,'Summary'!$B$11)=0),I89,0)+IF(AND(A119&gt;A90,A119&lt;=A90+'Summary'!$B$10*12,MOD(A119-A90,'Summary'!$B$11)=0),I90,0)+IF(AND(A119&gt;A91,A119&lt;=A91+'Summary'!$B$10*12,MOD(A119-A91,'Summary'!$B$11)=0),I91,0)+IF(AND(A119&gt;A92,A119&lt;=A92+'Summary'!$B$10*12,MOD(A119-A92,'Summary'!$B$11)=0),I92,0)+IF(AND(A119&gt;A93,A119&lt;=A93+'Summary'!$B$10*12,MOD(A119-A93,'Summary'!$B$11)=0),I93,0)+IF(AND(A119&gt;A94,A119&lt;=A94+'Summary'!$B$10*12,MOD(A119-A94,'Summary'!$B$11)=0),I94,0)+IF(AND(A119&gt;A95,A119&lt;=A95+'Summary'!$B$10*12,MOD(A119-A95,'Summary'!$B$11)=0),I95,0)+IF(AND(A119&gt;A96,A119&lt;=A96+'Summary'!$B$10*12,MOD(A119-A96,'Summary'!$B$11)=0),I96,0)+IF(AND(A119&gt;A97,A119&lt;=A97+'Summary'!$B$10*12,MOD(A119-A97,'Summary'!$B$11)=0),I97,0)+IF(AND(A119&gt;A98,A119&lt;=A98+'Summary'!$B$10*12,MOD(A119-A98,'Summary'!$B$11)=0),I98,0)+IF(AND(A119&gt;A99,A119&lt;=A99+'Summary'!$B$10*12,MOD(A119-A99,'Summary'!$B$11)=0),I99,0)+IF(AND(A119&gt;A100,A119&lt;=A100+'Summary'!$B$10*12,MOD(A119-A100,'Summary'!$B$11)=0),I100,0)+IF(AND(A119&gt;A101,A119&lt;=A101+'Summary'!$B$10*12,MOD(A119-A101,'Summary'!$B$11)=0),I101,0)+IF(AND(A119&gt;A102,A119&lt;=A102+'Summary'!$B$10*12,MOD(A119-A102,'Summary'!$B$11)=0),I102,0)+IF(AND(A119&gt;A103,A119&lt;=A103+'Summary'!$B$10*12,MOD(A119-A103,'Summary'!$B$11)=0),I103,0)+IF(AND(A119&gt;A104,A119&lt;=A104+'Summary'!$B$10*12,MOD(A119-A104,'Summary'!$B$11)=0),I104,0)+IF(AND(A119&gt;A105,A119&lt;=A105+'Summary'!$B$10*12,MOD(A119-A105,'Summary'!$B$11)=0),I105,0)+IF(AND(A119&gt;A106,A119&lt;=A106+'Summary'!$B$10*12,MOD(A119-A106,'Summary'!$B$11)=0),I106,0)+IF(AND(A119&gt;A107,A119&lt;=A107+'Summary'!$B$10*12,MOD(A119-A107,'Summary'!$B$11)=0),I107,0)+IF(AND(A119&gt;A108,A119&lt;=A108+'Summary'!$B$10*12,MOD(A119-A108,'Summary'!$B$11)=0),I108,0)+IF(AND(A119&gt;A109,A119&lt;=A109+'Summary'!$B$10*12,MOD(A119-A109,'Summary'!$B$11)=0),I109,0)+IF(AND(A119&gt;A110,A119&lt;=A110+'Summary'!$B$10*12,MOD(A119-A110,'Summary'!$B$11)=0),I110,0)+IF(AND(A119&gt;A111,A119&lt;=A111+'Summary'!$B$10*12,MOD(A119-A111,'Summary'!$B$11)=0),I111,0)+IF(AND(A119&gt;A112,A119&lt;=A112+'Summary'!$B$10*12,MOD(A119-A112,'Summary'!$B$11)=0),I112,0)+IF(AND(A119&gt;A113,A119&lt;=A113+'Summary'!$B$10*12,MOD(A119-A113,'Summary'!$B$11)=0),I113,0)+IF(AND(A119&gt;A114,A119&lt;=A114+'Summary'!$B$10*12,MOD(A119-A114,'Summary'!$B$11)=0),I114,0)+IF(AND(A119&gt;A115,A119&lt;=A115+'Summary'!$B$10*12,MOD(A119-A115,'Summary'!$B$11)=0),I115,0)+IF(AND(A119&gt;A116,A119&lt;=A116+'Summary'!$B$10*12,MOD(A119-A116,'Summary'!$B$11)=0),I116,0)+IF(AND(A119&gt;A117,A119&lt;=A117+'Summary'!$B$10*12,MOD(A119-A117,'Summary'!$B$11)=0),I117,0)+IF(AND(A119&gt;A118,A119&lt;=A118+'Summary'!$B$10*12,MOD(A119-A118,'Summary'!$B$11)=0),I118,0))*'Summary'!$B$8/2</x:f>
        <x:v>39.33688367021165</x:v>
      </x:c>
      <x:c r="G119" s="62" t="n">
        <x:f>IF(A119=A8+'Summary'!$B$10*12,I8,0)+IF(A119=A9+'Summary'!$B$10*12,I9,0)+IF(A119=A10+'Summary'!$B$10*12,I10,0)+IF(A119=A11+'Summary'!$B$10*12,I11,0)+IF(A119=A12+'Summary'!$B$10*12,I12,0)+IF(A119=A13+'Summary'!$B$10*12,I13,0)+IF(A119=A14+'Summary'!$B$10*12,I14,0)+IF(A119=A15+'Summary'!$B$10*12,I15,0)+IF(A119=A16+'Summary'!$B$10*12,I16,0)+IF(A119=A17+'Summary'!$B$10*12,I17,0)+IF(A119=A18+'Summary'!$B$10*12,I18,0)+IF(A119=A19+'Summary'!$B$10*12,I19,0)+IF(A119=A20+'Summary'!$B$10*12,I20,0)+IF(A119=A21+'Summary'!$B$10*12,I21,0)+IF(A119=A22+'Summary'!$B$10*12,I22,0)+IF(A119=A23+'Summary'!$B$10*12,I23,0)+IF(A119=A24+'Summary'!$B$10*12,I24,0)+IF(A119=A25+'Summary'!$B$10*12,I25,0)+IF(A119=A26+'Summary'!$B$10*12,I26,0)+IF(A119=A27+'Summary'!$B$10*12,I27,0)+IF(A119=A28+'Summary'!$B$10*12,I28,0)+IF(A119=A29+'Summary'!$B$10*12,I29,0)+IF(A119=A30+'Summary'!$B$10*12,I30,0)+IF(A119=A31+'Summary'!$B$10*12,I31,0)+IF(A119=A32+'Summary'!$B$10*12,I32,0)+IF(A119=A33+'Summary'!$B$10*12,I33,0)+IF(A119=A34+'Summary'!$B$10*12,I34,0)+IF(A119=A35+'Summary'!$B$10*12,I35,0)+IF(A119=A36+'Summary'!$B$10*12,I36,0)+IF(A119=A37+'Summary'!$B$10*12,I37,0)+IF(A119=A38+'Summary'!$B$10*12,I38,0)+IF(A119=A39+'Summary'!$B$10*12,I39,0)+IF(A119=A40+'Summary'!$B$10*12,I40,0)+IF(A119=A41+'Summary'!$B$10*12,I41,0)+IF(A119=A42+'Summary'!$B$10*12,I42,0)+IF(A119=A43+'Summary'!$B$10*12,I43,0)+IF(A119=A44+'Summary'!$B$10*12,I44,0)+IF(A119=A45+'Summary'!$B$10*12,I45,0)+IF(A119=A46+'Summary'!$B$10*12,I46,0)+IF(A119=A47+'Summary'!$B$10*12,I47,0)+IF(A119=A48+'Summary'!$B$10*12,I48,0)+IF(A119=A49+'Summary'!$B$10*12,I49,0)+IF(A119=A50+'Summary'!$B$10*12,I50,0)+IF(A119=A51+'Summary'!$B$10*12,I51,0)+IF(A119=A52+'Summary'!$B$10*12,I52,0)+IF(A119=A53+'Summary'!$B$10*12,I53,0)+IF(A119=A54+'Summary'!$B$10*12,I54,0)+IF(A119=A55+'Summary'!$B$10*12,I55,0)+IF(A119=A56+'Summary'!$B$10*12,I56,0)+IF(A119=A57+'Summary'!$B$10*12,I57,0)+IF(A119=A58+'Summary'!$B$10*12,I58,0)+IF(A119=A59+'Summary'!$B$10*12,I59,0)+IF(A119=A60+'Summary'!$B$10*12,I60,0)+IF(A119=A61+'Summary'!$B$10*12,I61,0)+IF(A119=A62+'Summary'!$B$10*12,I62,0)+IF(A119=A63+'Summary'!$B$10*12,I63,0)+IF(A119=A64+'Summary'!$B$10*12,I64,0)+IF(A119=A65+'Summary'!$B$10*12,I65,0)+IF(A119=A66+'Summary'!$B$10*12,I66,0)+IF(A119=A67+'Summary'!$B$10*12,I67,0)+IF(A119=A68+'Summary'!$B$10*12,I68,0)+IF(A119=A69+'Summary'!$B$10*12,I69,0)+IF(A119=A70+'Summary'!$B$10*12,I70,0)+IF(A119=A71+'Summary'!$B$10*12,I71,0)+IF(A119=A72+'Summary'!$B$10*12,I72,0)+IF(A119=A73+'Summary'!$B$10*12,I73,0)+IF(A119=A74+'Summary'!$B$10*12,I74,0)+IF(A119=A75+'Summary'!$B$10*12,I75,0)+IF(A119=A76+'Summary'!$B$10*12,I76,0)+IF(A119=A77+'Summary'!$B$10*12,I77,0)+IF(A119=A78+'Summary'!$B$10*12,I78,0)+IF(A119=A79+'Summary'!$B$10*12,I79,0)+IF(A119=A80+'Summary'!$B$10*12,I80,0)+IF(A119=A81+'Summary'!$B$10*12,I81,0)+IF(A119=A82+'Summary'!$B$10*12,I82,0)+IF(A119=A83+'Summary'!$B$10*12,I83,0)+IF(A119=A84+'Summary'!$B$10*12,I84,0)+IF(A119=A85+'Summary'!$B$10*12,I85,0)+IF(A119=A86+'Summary'!$B$10*12,I86,0)+IF(A119=A87+'Summary'!$B$10*12,I87,0)+IF(A119=A88+'Summary'!$B$10*12,I88,0)+IF(A119=A89+'Summary'!$B$10*12,I89,0)+IF(A119=A90+'Summary'!$B$10*12,I90,0)+IF(A119=A91+'Summary'!$B$10*12,I91,0)+IF(A119=A92+'Summary'!$B$10*12,I92,0)+IF(A119=A93+'Summary'!$B$10*12,I93,0)+IF(A119=A94+'Summary'!$B$10*12,I94,0)+IF(A119=A95+'Summary'!$B$10*12,I95,0)+IF(A119=A96+'Summary'!$B$10*12,I96,0)+IF(A119=A97+'Summary'!$B$10*12,I97,0)+IF(A119=A98+'Summary'!$B$10*12,I98,0)+IF(A119=A99+'Summary'!$B$10*12,I99,0)+IF(A119=A100+'Summary'!$B$10*12,I100,0)+IF(A119=A101+'Summary'!$B$10*12,I101,0)+IF(A119=A102+'Summary'!$B$10*12,I102,0)+IF(A119=A103+'Summary'!$B$10*12,I103,0)+IF(A119=A104+'Summary'!$B$10*12,I104,0)+IF(A119=A105+'Summary'!$B$10*12,I105,0)+IF(A119=A106+'Summary'!$B$10*12,I106,0)+IF(A119=A107+'Summary'!$B$10*12,I107,0)+IF(A119=A108+'Summary'!$B$10*12,I108,0)+IF(A119=A109+'Summary'!$B$10*12,I109,0)+IF(A119=A110+'Summary'!$B$10*12,I110,0)+IF(A119=A111+'Summary'!$B$10*12,I111,0)+IF(A119=A112+'Summary'!$B$10*12,I112,0)+IF(A119=A113+'Summary'!$B$10*12,I113,0)+IF(A119=A114+'Summary'!$B$10*12,I114,0)+IF(A119=A115+'Summary'!$B$10*12,I115,0)+IF(A119=A116+'Summary'!$B$10*12,I116,0)+IF(A119=A117+'Summary'!$B$10*12,I117,0)+IF(A119=A118+'Summary'!$B$10*12,I118,0)</x:f>
        <x:v>115.88557359514499</x:v>
      </x:c>
      <x:c r="H119" s="62" t="n">
        <x:f>E119+D119+F119+G119</x:f>
        <x:v>255.22245726535664</x:v>
      </x:c>
      <x:c r="I119" s="62" t="n">
        <x:f>IF(B119,IF(H119&gt;='Summary'!$B$12,H119,0),0)</x:f>
        <x:v>255.22245726535664</x:v>
      </x:c>
      <x:c r="J119" s="62" t="n">
        <x:f>H119-I119</x:f>
        <x:v>0</x:v>
      </x:c>
      <x:c r="K119" s="63" t="n">
        <x:f>J119+IF(A8+'Summary'!$B$10*12&gt;A119,I8,0)+IF(A9+'Summary'!$B$10*12&gt;A119,I9,0)+IF(A10+'Summary'!$B$10*12&gt;A119,I10,0)+IF(A11+'Summary'!$B$10*12&gt;A119,I11,0)+IF(A12+'Summary'!$B$10*12&gt;A119,I12,0)+IF(A13+'Summary'!$B$10*12&gt;A119,I13,0)+IF(A14+'Summary'!$B$10*12&gt;A119,I14,0)+IF(A15+'Summary'!$B$10*12&gt;A119,I15,0)+IF(A16+'Summary'!$B$10*12&gt;A119,I16,0)+IF(A17+'Summary'!$B$10*12&gt;A119,I17,0)+IF(A18+'Summary'!$B$10*12&gt;A119,I18,0)+IF(A19+'Summary'!$B$10*12&gt;A119,I19,0)+IF(A20+'Summary'!$B$10*12&gt;A119,I20,0)+IF(A21+'Summary'!$B$10*12&gt;A119,I21,0)+IF(A22+'Summary'!$B$10*12&gt;A119,I22,0)+IF(A23+'Summary'!$B$10*12&gt;A119,I23,0)+IF(A24+'Summary'!$B$10*12&gt;A119,I24,0)+IF(A25+'Summary'!$B$10*12&gt;A119,I25,0)+IF(A26+'Summary'!$B$10*12&gt;A119,I26,0)+IF(A27+'Summary'!$B$10*12&gt;A119,I27,0)+IF(A28+'Summary'!$B$10*12&gt;A119,I28,0)+IF(A29+'Summary'!$B$10*12&gt;A119,I29,0)+IF(A30+'Summary'!$B$10*12&gt;A119,I30,0)+IF(A31+'Summary'!$B$10*12&gt;A119,I31,0)+IF(A32+'Summary'!$B$10*12&gt;A119,I32,0)+IF(A33+'Summary'!$B$10*12&gt;A119,I33,0)+IF(A34+'Summary'!$B$10*12&gt;A119,I34,0)+IF(A35+'Summary'!$B$10*12&gt;A119,I35,0)+IF(A36+'Summary'!$B$10*12&gt;A119,I36,0)+IF(A37+'Summary'!$B$10*12&gt;A119,I37,0)+IF(A38+'Summary'!$B$10*12&gt;A119,I38,0)+IF(A39+'Summary'!$B$10*12&gt;A119,I39,0)+IF(A40+'Summary'!$B$10*12&gt;A119,I40,0)+IF(A41+'Summary'!$B$10*12&gt;A119,I41,0)+IF(A42+'Summary'!$B$10*12&gt;A119,I42,0)+IF(A43+'Summary'!$B$10*12&gt;A119,I43,0)+IF(A44+'Summary'!$B$10*12&gt;A119,I44,0)+IF(A45+'Summary'!$B$10*12&gt;A119,I45,0)+IF(A46+'Summary'!$B$10*12&gt;A119,I46,0)+IF(A47+'Summary'!$B$10*12&gt;A119,I47,0)+IF(A48+'Summary'!$B$10*12&gt;A119,I48,0)+IF(A49+'Summary'!$B$10*12&gt;A119,I49,0)+IF(A50+'Summary'!$B$10*12&gt;A119,I50,0)+IF(A51+'Summary'!$B$10*12&gt;A119,I51,0)+IF(A52+'Summary'!$B$10*12&gt;A119,I52,0)+IF(A53+'Summary'!$B$10*12&gt;A119,I53,0)+IF(A54+'Summary'!$B$10*12&gt;A119,I54,0)+IF(A55+'Summary'!$B$10*12&gt;A119,I55,0)+IF(A56+'Summary'!$B$10*12&gt;A119,I56,0)+IF(A57+'Summary'!$B$10*12&gt;A119,I57,0)+IF(A58+'Summary'!$B$10*12&gt;A119,I58,0)+IF(A59+'Summary'!$B$10*12&gt;A119,I59,0)+IF(A60+'Summary'!$B$10*12&gt;A119,I60,0)+IF(A61+'Summary'!$B$10*12&gt;A119,I61,0)+IF(A62+'Summary'!$B$10*12&gt;A119,I62,0)+IF(A63+'Summary'!$B$10*12&gt;A119,I63,0)+IF(A64+'Summary'!$B$10*12&gt;A119,I64,0)+IF(A65+'Summary'!$B$10*12&gt;A119,I65,0)+IF(A66+'Summary'!$B$10*12&gt;A119,I66,0)+IF(A67+'Summary'!$B$10*12&gt;A119,I67,0)+IF(A68+'Summary'!$B$10*12&gt;A119,I68,0)+IF(A69+'Summary'!$B$10*12&gt;A119,I69,0)+IF(A70+'Summary'!$B$10*12&gt;A119,I70,0)+IF(A71+'Summary'!$B$10*12&gt;A119,I71,0)+IF(A72+'Summary'!$B$10*12&gt;A119,I72,0)+IF(A73+'Summary'!$B$10*12&gt;A119,I73,0)+IF(A74+'Summary'!$B$10*12&gt;A119,I74,0)+IF(A75+'Summary'!$B$10*12&gt;A119,I75,0)+IF(A76+'Summary'!$B$10*12&gt;A119,I76,0)+IF(A77+'Summary'!$B$10*12&gt;A119,I77,0)+IF(A78+'Summary'!$B$10*12&gt;A119,I78,0)+IF(A79+'Summary'!$B$10*12&gt;A119,I79,0)+IF(A80+'Summary'!$B$10*12&gt;A119,I80,0)+IF(A81+'Summary'!$B$10*12&gt;A119,I81,0)+IF(A82+'Summary'!$B$10*12&gt;A119,I82,0)+IF(A83+'Summary'!$B$10*12&gt;A119,I83,0)+IF(A84+'Summary'!$B$10*12&gt;A119,I84,0)+IF(A85+'Summary'!$B$10*12&gt;A119,I85,0)+IF(A86+'Summary'!$B$10*12&gt;A119,I86,0)+IF(A87+'Summary'!$B$10*12&gt;A119,I87,0)+IF(A88+'Summary'!$B$10*12&gt;A119,I88,0)+IF(A89+'Summary'!$B$10*12&gt;A119,I89,0)+IF(A90+'Summary'!$B$10*12&gt;A119,I90,0)+IF(A91+'Summary'!$B$10*12&gt;A119,I91,0)+IF(A92+'Summary'!$B$10*12&gt;A119,I92,0)+IF(A93+'Summary'!$B$10*12&gt;A119,I93,0)+IF(A94+'Summary'!$B$10*12&gt;A119,I94,0)+IF(A95+'Summary'!$B$10*12&gt;A119,I95,0)+IF(A96+'Summary'!$B$10*12&gt;A119,I96,0)+IF(A97+'Summary'!$B$10*12&gt;A119,I97,0)+IF(A98+'Summary'!$B$10*12&gt;A119,I98,0)+IF(A99+'Summary'!$B$10*12&gt;A119,I99,0)+IF(A100+'Summary'!$B$10*12&gt;A119,I100,0)+IF(A101+'Summary'!$B$10*12&gt;A119,I101,0)+IF(A102+'Summary'!$B$10*12&gt;A119,I102,0)+IF(A103+'Summary'!$B$10*12&gt;A119,I103,0)+IF(A104+'Summary'!$B$10*12&gt;A119,I104,0)+IF(A105+'Summary'!$B$10*12&gt;A119,I105,0)+IF(A106+'Summary'!$B$10*12&gt;A119,I106,0)+IF(A107+'Summary'!$B$10*12&gt;A119,I107,0)+IF(A108+'Summary'!$B$10*12&gt;A119,I108,0)+IF(A109+'Summary'!$B$10*12&gt;A119,I109,0)+IF(A110+'Summary'!$B$10*12&gt;A119,I110,0)+IF(A111+'Summary'!$B$10*12&gt;A119,I111,0)+IF(A112+'Summary'!$B$10*12&gt;A119,I112,0)+IF(A113+'Summary'!$B$10*12&gt;A119,I113,0)+IF(A114+'Summary'!$B$10*12&gt;A119,I114,0)+IF(A115+'Summary'!$B$10*12&gt;A119,I115,0)+IF(A116+'Summary'!$B$10*12&gt;A119,I116,0)+IF(A117+'Summary'!$B$10*12&gt;A119,I117,0)+IF(A118+'Summary'!$B$10*12&gt;A119,I118,0)+IF(A119+'Summary'!$B$10*12&gt;A119,I119,0)</x:f>
        <x:v>27180.35321467352</x:v>
      </x:c>
    </x:row>
    <x:row r="120">
      <x:c r="A120" s="55" t="n">
        <x:v>112</x:v>
      </x:c>
      <x:c r="B120" s="71" t="b">
        <x:f>A120&lt;='Summary'!$B$9*12</x:f>
        <x:v>1</x:v>
      </x:c>
      <x:c r="C120" s="62" t="n">
        <x:f>IF(A120=0,IF('Summary'!$B$6&gt;=5,'Summary'!$B$6,0),C119)+IF(A120&lt;'Summary'!$B$9*12,IF('Summary'!$B$7&gt;=5,'Summary'!$B$7,0),0)</x:f>
        <x:v>21300</x:v>
      </x:c>
      <x:c r="D120" s="62" t="n">
        <x:f>IF(A120=0,IF('Summary'!$B$6&gt;=5,'Summary'!$B$6,0),0)+IF(A120&lt;'Summary'!$B$9*12,IF('Summary'!$B$7&gt;=5,'Summary'!$B$7,0),0)</x:f>
        <x:v>100</x:v>
      </x:c>
      <x:c r="E120" s="62" t="n">
        <x:f>J119</x:f>
        <x:v>0</x:v>
      </x:c>
      <x:c r="F120" s="62" t="n">
        <x:f>(IF(AND(A120&gt;A8,A120&lt;=A8+'Summary'!$B$10*12,MOD(A120-A8,'Summary'!$B$11)=0),I8,0)+IF(AND(A120&gt;A9,A120&lt;=A9+'Summary'!$B$10*12,MOD(A120-A9,'Summary'!$B$11)=0),I9,0)+IF(AND(A120&gt;A10,A120&lt;=A10+'Summary'!$B$10*12,MOD(A120-A10,'Summary'!$B$11)=0),I10,0)+IF(AND(A120&gt;A11,A120&lt;=A11+'Summary'!$B$10*12,MOD(A120-A11,'Summary'!$B$11)=0),I11,0)+IF(AND(A120&gt;A12,A120&lt;=A12+'Summary'!$B$10*12,MOD(A120-A12,'Summary'!$B$11)=0),I12,0)+IF(AND(A120&gt;A13,A120&lt;=A13+'Summary'!$B$10*12,MOD(A120-A13,'Summary'!$B$11)=0),I13,0)+IF(AND(A120&gt;A14,A120&lt;=A14+'Summary'!$B$10*12,MOD(A120-A14,'Summary'!$B$11)=0),I14,0)+IF(AND(A120&gt;A15,A120&lt;=A15+'Summary'!$B$10*12,MOD(A120-A15,'Summary'!$B$11)=0),I15,0)+IF(AND(A120&gt;A16,A120&lt;=A16+'Summary'!$B$10*12,MOD(A120-A16,'Summary'!$B$11)=0),I16,0)+IF(AND(A120&gt;A17,A120&lt;=A17+'Summary'!$B$10*12,MOD(A120-A17,'Summary'!$B$11)=0),I17,0)+IF(AND(A120&gt;A18,A120&lt;=A18+'Summary'!$B$10*12,MOD(A120-A18,'Summary'!$B$11)=0),I18,0)+IF(AND(A120&gt;A19,A120&lt;=A19+'Summary'!$B$10*12,MOD(A120-A19,'Summary'!$B$11)=0),I19,0)+IF(AND(A120&gt;A20,A120&lt;=A20+'Summary'!$B$10*12,MOD(A120-A20,'Summary'!$B$11)=0),I20,0)+IF(AND(A120&gt;A21,A120&lt;=A21+'Summary'!$B$10*12,MOD(A120-A21,'Summary'!$B$11)=0),I21,0)+IF(AND(A120&gt;A22,A120&lt;=A22+'Summary'!$B$10*12,MOD(A120-A22,'Summary'!$B$11)=0),I22,0)+IF(AND(A120&gt;A23,A120&lt;=A23+'Summary'!$B$10*12,MOD(A120-A23,'Summary'!$B$11)=0),I23,0)+IF(AND(A120&gt;A24,A120&lt;=A24+'Summary'!$B$10*12,MOD(A120-A24,'Summary'!$B$11)=0),I24,0)+IF(AND(A120&gt;A25,A120&lt;=A25+'Summary'!$B$10*12,MOD(A120-A25,'Summary'!$B$11)=0),I25,0)+IF(AND(A120&gt;A26,A120&lt;=A26+'Summary'!$B$10*12,MOD(A120-A26,'Summary'!$B$11)=0),I26,0)+IF(AND(A120&gt;A27,A120&lt;=A27+'Summary'!$B$10*12,MOD(A120-A27,'Summary'!$B$11)=0),I27,0)+IF(AND(A120&gt;A28,A120&lt;=A28+'Summary'!$B$10*12,MOD(A120-A28,'Summary'!$B$11)=0),I28,0)+IF(AND(A120&gt;A29,A120&lt;=A29+'Summary'!$B$10*12,MOD(A120-A29,'Summary'!$B$11)=0),I29,0)+IF(AND(A120&gt;A30,A120&lt;=A30+'Summary'!$B$10*12,MOD(A120-A30,'Summary'!$B$11)=0),I30,0)+IF(AND(A120&gt;A31,A120&lt;=A31+'Summary'!$B$10*12,MOD(A120-A31,'Summary'!$B$11)=0),I31,0)+IF(AND(A120&gt;A32,A120&lt;=A32+'Summary'!$B$10*12,MOD(A120-A32,'Summary'!$B$11)=0),I32,0)+IF(AND(A120&gt;A33,A120&lt;=A33+'Summary'!$B$10*12,MOD(A120-A33,'Summary'!$B$11)=0),I33,0)+IF(AND(A120&gt;A34,A120&lt;=A34+'Summary'!$B$10*12,MOD(A120-A34,'Summary'!$B$11)=0),I34,0)+IF(AND(A120&gt;A35,A120&lt;=A35+'Summary'!$B$10*12,MOD(A120-A35,'Summary'!$B$11)=0),I35,0)+IF(AND(A120&gt;A36,A120&lt;=A36+'Summary'!$B$10*12,MOD(A120-A36,'Summary'!$B$11)=0),I36,0)+IF(AND(A120&gt;A37,A120&lt;=A37+'Summary'!$B$10*12,MOD(A120-A37,'Summary'!$B$11)=0),I37,0)+IF(AND(A120&gt;A38,A120&lt;=A38+'Summary'!$B$10*12,MOD(A120-A38,'Summary'!$B$11)=0),I38,0)+IF(AND(A120&gt;A39,A120&lt;=A39+'Summary'!$B$10*12,MOD(A120-A39,'Summary'!$B$11)=0),I39,0)+IF(AND(A120&gt;A40,A120&lt;=A40+'Summary'!$B$10*12,MOD(A120-A40,'Summary'!$B$11)=0),I40,0)+IF(AND(A120&gt;A41,A120&lt;=A41+'Summary'!$B$10*12,MOD(A120-A41,'Summary'!$B$11)=0),I41,0)+IF(AND(A120&gt;A42,A120&lt;=A42+'Summary'!$B$10*12,MOD(A120-A42,'Summary'!$B$11)=0),I42,0)+IF(AND(A120&gt;A43,A120&lt;=A43+'Summary'!$B$10*12,MOD(A120-A43,'Summary'!$B$11)=0),I43,0)+IF(AND(A120&gt;A44,A120&lt;=A44+'Summary'!$B$10*12,MOD(A120-A44,'Summary'!$B$11)=0),I44,0)+IF(AND(A120&gt;A45,A120&lt;=A45+'Summary'!$B$10*12,MOD(A120-A45,'Summary'!$B$11)=0),I45,0)+IF(AND(A120&gt;A46,A120&lt;=A46+'Summary'!$B$10*12,MOD(A120-A46,'Summary'!$B$11)=0),I46,0)+IF(AND(A120&gt;A47,A120&lt;=A47+'Summary'!$B$10*12,MOD(A120-A47,'Summary'!$B$11)=0),I47,0)+IF(AND(A120&gt;A48,A120&lt;=A48+'Summary'!$B$10*12,MOD(A120-A48,'Summary'!$B$11)=0),I48,0)+IF(AND(A120&gt;A49,A120&lt;=A49+'Summary'!$B$10*12,MOD(A120-A49,'Summary'!$B$11)=0),I49,0)+IF(AND(A120&gt;A50,A120&lt;=A50+'Summary'!$B$10*12,MOD(A120-A50,'Summary'!$B$11)=0),I50,0)+IF(AND(A120&gt;A51,A120&lt;=A51+'Summary'!$B$10*12,MOD(A120-A51,'Summary'!$B$11)=0),I51,0)+IF(AND(A120&gt;A52,A120&lt;=A52+'Summary'!$B$10*12,MOD(A120-A52,'Summary'!$B$11)=0),I52,0)+IF(AND(A120&gt;A53,A120&lt;=A53+'Summary'!$B$10*12,MOD(A120-A53,'Summary'!$B$11)=0),I53,0)+IF(AND(A120&gt;A54,A120&lt;=A54+'Summary'!$B$10*12,MOD(A120-A54,'Summary'!$B$11)=0),I54,0)+IF(AND(A120&gt;A55,A120&lt;=A55+'Summary'!$B$10*12,MOD(A120-A55,'Summary'!$B$11)=0),I55,0)+IF(AND(A120&gt;A56,A120&lt;=A56+'Summary'!$B$10*12,MOD(A120-A56,'Summary'!$B$11)=0),I56,0)+IF(AND(A120&gt;A57,A120&lt;=A57+'Summary'!$B$10*12,MOD(A120-A57,'Summary'!$B$11)=0),I57,0)+IF(AND(A120&gt;A58,A120&lt;=A58+'Summary'!$B$10*12,MOD(A120-A58,'Summary'!$B$11)=0),I58,0)+IF(AND(A120&gt;A59,A120&lt;=A59+'Summary'!$B$10*12,MOD(A120-A59,'Summary'!$B$11)=0),I59,0)+IF(AND(A120&gt;A60,A120&lt;=A60+'Summary'!$B$10*12,MOD(A120-A60,'Summary'!$B$11)=0),I60,0)+IF(AND(A120&gt;A61,A120&lt;=A61+'Summary'!$B$10*12,MOD(A120-A61,'Summary'!$B$11)=0),I61,0)+IF(AND(A120&gt;A62,A120&lt;=A62+'Summary'!$B$10*12,MOD(A120-A62,'Summary'!$B$11)=0),I62,0)+IF(AND(A120&gt;A63,A120&lt;=A63+'Summary'!$B$10*12,MOD(A120-A63,'Summary'!$B$11)=0),I63,0)+IF(AND(A120&gt;A64,A120&lt;=A64+'Summary'!$B$10*12,MOD(A120-A64,'Summary'!$B$11)=0),I64,0)+IF(AND(A120&gt;A65,A120&lt;=A65+'Summary'!$B$10*12,MOD(A120-A65,'Summary'!$B$11)=0),I65,0)+IF(AND(A120&gt;A66,A120&lt;=A66+'Summary'!$B$10*12,MOD(A120-A66,'Summary'!$B$11)=0),I66,0)+IF(AND(A120&gt;A67,A120&lt;=A67+'Summary'!$B$10*12,MOD(A120-A67,'Summary'!$B$11)=0),I67,0)+IF(AND(A120&gt;A68,A120&lt;=A68+'Summary'!$B$10*12,MOD(A120-A68,'Summary'!$B$11)=0),I68,0)+IF(AND(A120&gt;A69,A120&lt;=A69+'Summary'!$B$10*12,MOD(A120-A69,'Summary'!$B$11)=0),I69,0)+IF(AND(A120&gt;A70,A120&lt;=A70+'Summary'!$B$10*12,MOD(A120-A70,'Summary'!$B$11)=0),I70,0)+IF(AND(A120&gt;A71,A120&lt;=A71+'Summary'!$B$10*12,MOD(A120-A71,'Summary'!$B$11)=0),I71,0)+IF(AND(A120&gt;A72,A120&lt;=A72+'Summary'!$B$10*12,MOD(A120-A72,'Summary'!$B$11)=0),I72,0)+IF(AND(A120&gt;A73,A120&lt;=A73+'Summary'!$B$10*12,MOD(A120-A73,'Summary'!$B$11)=0),I73,0)+IF(AND(A120&gt;A74,A120&lt;=A74+'Summary'!$B$10*12,MOD(A120-A74,'Summary'!$B$11)=0),I74,0)+IF(AND(A120&gt;A75,A120&lt;=A75+'Summary'!$B$10*12,MOD(A120-A75,'Summary'!$B$11)=0),I75,0)+IF(AND(A120&gt;A76,A120&lt;=A76+'Summary'!$B$10*12,MOD(A120-A76,'Summary'!$B$11)=0),I76,0)+IF(AND(A120&gt;A77,A120&lt;=A77+'Summary'!$B$10*12,MOD(A120-A77,'Summary'!$B$11)=0),I77,0)+IF(AND(A120&gt;A78,A120&lt;=A78+'Summary'!$B$10*12,MOD(A120-A78,'Summary'!$B$11)=0),I78,0)+IF(AND(A120&gt;A79,A120&lt;=A79+'Summary'!$B$10*12,MOD(A120-A79,'Summary'!$B$11)=0),I79,0)+IF(AND(A120&gt;A80,A120&lt;=A80+'Summary'!$B$10*12,MOD(A120-A80,'Summary'!$B$11)=0),I80,0)+IF(AND(A120&gt;A81,A120&lt;=A81+'Summary'!$B$10*12,MOD(A120-A81,'Summary'!$B$11)=0),I81,0)+IF(AND(A120&gt;A82,A120&lt;=A82+'Summary'!$B$10*12,MOD(A120-A82,'Summary'!$B$11)=0),I82,0)+IF(AND(A120&gt;A83,A120&lt;=A83+'Summary'!$B$10*12,MOD(A120-A83,'Summary'!$B$11)=0),I83,0)+IF(AND(A120&gt;A84,A120&lt;=A84+'Summary'!$B$10*12,MOD(A120-A84,'Summary'!$B$11)=0),I84,0)+IF(AND(A120&gt;A85,A120&lt;=A85+'Summary'!$B$10*12,MOD(A120-A85,'Summary'!$B$11)=0),I85,0)+IF(AND(A120&gt;A86,A120&lt;=A86+'Summary'!$B$10*12,MOD(A120-A86,'Summary'!$B$11)=0),I86,0)+IF(AND(A120&gt;A87,A120&lt;=A87+'Summary'!$B$10*12,MOD(A120-A87,'Summary'!$B$11)=0),I87,0)+IF(AND(A120&gt;A88,A120&lt;=A88+'Summary'!$B$10*12,MOD(A120-A88,'Summary'!$B$11)=0),I88,0)+IF(AND(A120&gt;A89,A120&lt;=A89+'Summary'!$B$10*12,MOD(A120-A89,'Summary'!$B$11)=0),I89,0)+IF(AND(A120&gt;A90,A120&lt;=A90+'Summary'!$B$10*12,MOD(A120-A90,'Summary'!$B$11)=0),I90,0)+IF(AND(A120&gt;A91,A120&lt;=A91+'Summary'!$B$10*12,MOD(A120-A91,'Summary'!$B$11)=0),I91,0)+IF(AND(A120&gt;A92,A120&lt;=A92+'Summary'!$B$10*12,MOD(A120-A92,'Summary'!$B$11)=0),I92,0)+IF(AND(A120&gt;A93,A120&lt;=A93+'Summary'!$B$10*12,MOD(A120-A93,'Summary'!$B$11)=0),I93,0)+IF(AND(A120&gt;A94,A120&lt;=A94+'Summary'!$B$10*12,MOD(A120-A94,'Summary'!$B$11)=0),I94,0)+IF(AND(A120&gt;A95,A120&lt;=A95+'Summary'!$B$10*12,MOD(A120-A95,'Summary'!$B$11)=0),I95,0)+IF(AND(A120&gt;A96,A120&lt;=A96+'Summary'!$B$10*12,MOD(A120-A96,'Summary'!$B$11)=0),I96,0)+IF(AND(A120&gt;A97,A120&lt;=A97+'Summary'!$B$10*12,MOD(A120-A97,'Summary'!$B$11)=0),I97,0)+IF(AND(A120&gt;A98,A120&lt;=A98+'Summary'!$B$10*12,MOD(A120-A98,'Summary'!$B$11)=0),I98,0)+IF(AND(A120&gt;A99,A120&lt;=A99+'Summary'!$B$10*12,MOD(A120-A99,'Summary'!$B$11)=0),I99,0)+IF(AND(A120&gt;A100,A120&lt;=A100+'Summary'!$B$10*12,MOD(A120-A100,'Summary'!$B$11)=0),I100,0)+IF(AND(A120&gt;A101,A120&lt;=A101+'Summary'!$B$10*12,MOD(A120-A101,'Summary'!$B$11)=0),I101,0)+IF(AND(A120&gt;A102,A120&lt;=A102+'Summary'!$B$10*12,MOD(A120-A102,'Summary'!$B$11)=0),I102,0)+IF(AND(A120&gt;A103,A120&lt;=A103+'Summary'!$B$10*12,MOD(A120-A103,'Summary'!$B$11)=0),I103,0)+IF(AND(A120&gt;A104,A120&lt;=A104+'Summary'!$B$10*12,MOD(A120-A104,'Summary'!$B$11)=0),I104,0)+IF(AND(A120&gt;A105,A120&lt;=A105+'Summary'!$B$10*12,MOD(A120-A105,'Summary'!$B$11)=0),I105,0)+IF(AND(A120&gt;A106,A120&lt;=A106+'Summary'!$B$10*12,MOD(A120-A106,'Summary'!$B$11)=0),I106,0)+IF(AND(A120&gt;A107,A120&lt;=A107+'Summary'!$B$10*12,MOD(A120-A107,'Summary'!$B$11)=0),I107,0)+IF(AND(A120&gt;A108,A120&lt;=A108+'Summary'!$B$10*12,MOD(A120-A108,'Summary'!$B$11)=0),I108,0)+IF(AND(A120&gt;A109,A120&lt;=A109+'Summary'!$B$10*12,MOD(A120-A109,'Summary'!$B$11)=0),I109,0)+IF(AND(A120&gt;A110,A120&lt;=A110+'Summary'!$B$10*12,MOD(A120-A110,'Summary'!$B$11)=0),I110,0)+IF(AND(A120&gt;A111,A120&lt;=A111+'Summary'!$B$10*12,MOD(A120-A111,'Summary'!$B$11)=0),I111,0)+IF(AND(A120&gt;A112,A120&lt;=A112+'Summary'!$B$10*12,MOD(A120-A112,'Summary'!$B$11)=0),I112,0)+IF(AND(A120&gt;A113,A120&lt;=A113+'Summary'!$B$10*12,MOD(A120-A113,'Summary'!$B$11)=0),I113,0)+IF(AND(A120&gt;A114,A120&lt;=A114+'Summary'!$B$10*12,MOD(A120-A114,'Summary'!$B$11)=0),I114,0)+IF(AND(A120&gt;A115,A120&lt;=A115+'Summary'!$B$10*12,MOD(A120-A115,'Summary'!$B$11)=0),I115,0)+IF(AND(A120&gt;A116,A120&lt;=A116+'Summary'!$B$10*12,MOD(A120-A116,'Summary'!$B$11)=0),I116,0)+IF(AND(A120&gt;A117,A120&lt;=A117+'Summary'!$B$10*12,MOD(A120-A117,'Summary'!$B$11)=0),I117,0)+IF(AND(A120&gt;A118,A120&lt;=A118+'Summary'!$B$10*12,MOD(A120-A118,'Summary'!$B$11)=0),I118,0)+IF(AND(A120&gt;A119,A120&lt;=A119+'Summary'!$B$10*12,MOD(A120-A119,'Summary'!$B$11)=0),I119,0))*'Summary'!$B$8/2</x:f>
        <x:v>39.33688367021165</x:v>
      </x:c>
      <x:c r="G120" s="62" t="n">
        <x:f>IF(A120=A8+'Summary'!$B$10*12,I8,0)+IF(A120=A9+'Summary'!$B$10*12,I9,0)+IF(A120=A10+'Summary'!$B$10*12,I10,0)+IF(A120=A11+'Summary'!$B$10*12,I11,0)+IF(A120=A12+'Summary'!$B$10*12,I12,0)+IF(A120=A13+'Summary'!$B$10*12,I13,0)+IF(A120=A14+'Summary'!$B$10*12,I14,0)+IF(A120=A15+'Summary'!$B$10*12,I15,0)+IF(A120=A16+'Summary'!$B$10*12,I16,0)+IF(A120=A17+'Summary'!$B$10*12,I17,0)+IF(A120=A18+'Summary'!$B$10*12,I18,0)+IF(A120=A19+'Summary'!$B$10*12,I19,0)+IF(A120=A20+'Summary'!$B$10*12,I20,0)+IF(A120=A21+'Summary'!$B$10*12,I21,0)+IF(A120=A22+'Summary'!$B$10*12,I22,0)+IF(A120=A23+'Summary'!$B$10*12,I23,0)+IF(A120=A24+'Summary'!$B$10*12,I24,0)+IF(A120=A25+'Summary'!$B$10*12,I25,0)+IF(A120=A26+'Summary'!$B$10*12,I26,0)+IF(A120=A27+'Summary'!$B$10*12,I27,0)+IF(A120=A28+'Summary'!$B$10*12,I28,0)+IF(A120=A29+'Summary'!$B$10*12,I29,0)+IF(A120=A30+'Summary'!$B$10*12,I30,0)+IF(A120=A31+'Summary'!$B$10*12,I31,0)+IF(A120=A32+'Summary'!$B$10*12,I32,0)+IF(A120=A33+'Summary'!$B$10*12,I33,0)+IF(A120=A34+'Summary'!$B$10*12,I34,0)+IF(A120=A35+'Summary'!$B$10*12,I35,0)+IF(A120=A36+'Summary'!$B$10*12,I36,0)+IF(A120=A37+'Summary'!$B$10*12,I37,0)+IF(A120=A38+'Summary'!$B$10*12,I38,0)+IF(A120=A39+'Summary'!$B$10*12,I39,0)+IF(A120=A40+'Summary'!$B$10*12,I40,0)+IF(A120=A41+'Summary'!$B$10*12,I41,0)+IF(A120=A42+'Summary'!$B$10*12,I42,0)+IF(A120=A43+'Summary'!$B$10*12,I43,0)+IF(A120=A44+'Summary'!$B$10*12,I44,0)+IF(A120=A45+'Summary'!$B$10*12,I45,0)+IF(A120=A46+'Summary'!$B$10*12,I46,0)+IF(A120=A47+'Summary'!$B$10*12,I47,0)+IF(A120=A48+'Summary'!$B$10*12,I48,0)+IF(A120=A49+'Summary'!$B$10*12,I49,0)+IF(A120=A50+'Summary'!$B$10*12,I50,0)+IF(A120=A51+'Summary'!$B$10*12,I51,0)+IF(A120=A52+'Summary'!$B$10*12,I52,0)+IF(A120=A53+'Summary'!$B$10*12,I53,0)+IF(A120=A54+'Summary'!$B$10*12,I54,0)+IF(A120=A55+'Summary'!$B$10*12,I55,0)+IF(A120=A56+'Summary'!$B$10*12,I56,0)+IF(A120=A57+'Summary'!$B$10*12,I57,0)+IF(A120=A58+'Summary'!$B$10*12,I58,0)+IF(A120=A59+'Summary'!$B$10*12,I59,0)+IF(A120=A60+'Summary'!$B$10*12,I60,0)+IF(A120=A61+'Summary'!$B$10*12,I61,0)+IF(A120=A62+'Summary'!$B$10*12,I62,0)+IF(A120=A63+'Summary'!$B$10*12,I63,0)+IF(A120=A64+'Summary'!$B$10*12,I64,0)+IF(A120=A65+'Summary'!$B$10*12,I65,0)+IF(A120=A66+'Summary'!$B$10*12,I66,0)+IF(A120=A67+'Summary'!$B$10*12,I67,0)+IF(A120=A68+'Summary'!$B$10*12,I68,0)+IF(A120=A69+'Summary'!$B$10*12,I69,0)+IF(A120=A70+'Summary'!$B$10*12,I70,0)+IF(A120=A71+'Summary'!$B$10*12,I71,0)+IF(A120=A72+'Summary'!$B$10*12,I72,0)+IF(A120=A73+'Summary'!$B$10*12,I73,0)+IF(A120=A74+'Summary'!$B$10*12,I74,0)+IF(A120=A75+'Summary'!$B$10*12,I75,0)+IF(A120=A76+'Summary'!$B$10*12,I76,0)+IF(A120=A77+'Summary'!$B$10*12,I77,0)+IF(A120=A78+'Summary'!$B$10*12,I78,0)+IF(A120=A79+'Summary'!$B$10*12,I79,0)+IF(A120=A80+'Summary'!$B$10*12,I80,0)+IF(A120=A81+'Summary'!$B$10*12,I81,0)+IF(A120=A82+'Summary'!$B$10*12,I82,0)+IF(A120=A83+'Summary'!$B$10*12,I83,0)+IF(A120=A84+'Summary'!$B$10*12,I84,0)+IF(A120=A85+'Summary'!$B$10*12,I85,0)+IF(A120=A86+'Summary'!$B$10*12,I86,0)+IF(A120=A87+'Summary'!$B$10*12,I87,0)+IF(A120=A88+'Summary'!$B$10*12,I88,0)+IF(A120=A89+'Summary'!$B$10*12,I89,0)+IF(A120=A90+'Summary'!$B$10*12,I90,0)+IF(A120=A91+'Summary'!$B$10*12,I91,0)+IF(A120=A92+'Summary'!$B$10*12,I92,0)+IF(A120=A93+'Summary'!$B$10*12,I93,0)+IF(A120=A94+'Summary'!$B$10*12,I94,0)+IF(A120=A95+'Summary'!$B$10*12,I95,0)+IF(A120=A96+'Summary'!$B$10*12,I96,0)+IF(A120=A97+'Summary'!$B$10*12,I97,0)+IF(A120=A98+'Summary'!$B$10*12,I98,0)+IF(A120=A99+'Summary'!$B$10*12,I99,0)+IF(A120=A100+'Summary'!$B$10*12,I100,0)+IF(A120=A101+'Summary'!$B$10*12,I101,0)+IF(A120=A102+'Summary'!$B$10*12,I102,0)+IF(A120=A103+'Summary'!$B$10*12,I103,0)+IF(A120=A104+'Summary'!$B$10*12,I104,0)+IF(A120=A105+'Summary'!$B$10*12,I105,0)+IF(A120=A106+'Summary'!$B$10*12,I106,0)+IF(A120=A107+'Summary'!$B$10*12,I107,0)+IF(A120=A108+'Summary'!$B$10*12,I108,0)+IF(A120=A109+'Summary'!$B$10*12,I109,0)+IF(A120=A110+'Summary'!$B$10*12,I110,0)+IF(A120=A111+'Summary'!$B$10*12,I111,0)+IF(A120=A112+'Summary'!$B$10*12,I112,0)+IF(A120=A113+'Summary'!$B$10*12,I113,0)+IF(A120=A114+'Summary'!$B$10*12,I114,0)+IF(A120=A115+'Summary'!$B$10*12,I115,0)+IF(A120=A116+'Summary'!$B$10*12,I116,0)+IF(A120=A117+'Summary'!$B$10*12,I117,0)+IF(A120=A118+'Summary'!$B$10*12,I118,0)+IF(A120=A119+'Summary'!$B$10*12,I119,0)</x:f>
        <x:v>115.88557359514499</x:v>
      </x:c>
      <x:c r="H120" s="62" t="n">
        <x:f>E120+D120+F120+G120</x:f>
        <x:v>255.22245726535664</x:v>
      </x:c>
      <x:c r="I120" s="62" t="n">
        <x:f>IF(B120,IF(H120&gt;='Summary'!$B$12,H120,0),0)</x:f>
        <x:v>255.22245726535664</x:v>
      </x:c>
      <x:c r="J120" s="62" t="n">
        <x:f>H120-I120</x:f>
        <x:v>0</x:v>
      </x:c>
      <x:c r="K120" s="63" t="n">
        <x:f>J120+IF(A8+'Summary'!$B$10*12&gt;A120,I8,0)+IF(A9+'Summary'!$B$10*12&gt;A120,I9,0)+IF(A10+'Summary'!$B$10*12&gt;A120,I10,0)+IF(A11+'Summary'!$B$10*12&gt;A120,I11,0)+IF(A12+'Summary'!$B$10*12&gt;A120,I12,0)+IF(A13+'Summary'!$B$10*12&gt;A120,I13,0)+IF(A14+'Summary'!$B$10*12&gt;A120,I14,0)+IF(A15+'Summary'!$B$10*12&gt;A120,I15,0)+IF(A16+'Summary'!$B$10*12&gt;A120,I16,0)+IF(A17+'Summary'!$B$10*12&gt;A120,I17,0)+IF(A18+'Summary'!$B$10*12&gt;A120,I18,0)+IF(A19+'Summary'!$B$10*12&gt;A120,I19,0)+IF(A20+'Summary'!$B$10*12&gt;A120,I20,0)+IF(A21+'Summary'!$B$10*12&gt;A120,I21,0)+IF(A22+'Summary'!$B$10*12&gt;A120,I22,0)+IF(A23+'Summary'!$B$10*12&gt;A120,I23,0)+IF(A24+'Summary'!$B$10*12&gt;A120,I24,0)+IF(A25+'Summary'!$B$10*12&gt;A120,I25,0)+IF(A26+'Summary'!$B$10*12&gt;A120,I26,0)+IF(A27+'Summary'!$B$10*12&gt;A120,I27,0)+IF(A28+'Summary'!$B$10*12&gt;A120,I28,0)+IF(A29+'Summary'!$B$10*12&gt;A120,I29,0)+IF(A30+'Summary'!$B$10*12&gt;A120,I30,0)+IF(A31+'Summary'!$B$10*12&gt;A120,I31,0)+IF(A32+'Summary'!$B$10*12&gt;A120,I32,0)+IF(A33+'Summary'!$B$10*12&gt;A120,I33,0)+IF(A34+'Summary'!$B$10*12&gt;A120,I34,0)+IF(A35+'Summary'!$B$10*12&gt;A120,I35,0)+IF(A36+'Summary'!$B$10*12&gt;A120,I36,0)+IF(A37+'Summary'!$B$10*12&gt;A120,I37,0)+IF(A38+'Summary'!$B$10*12&gt;A120,I38,0)+IF(A39+'Summary'!$B$10*12&gt;A120,I39,0)+IF(A40+'Summary'!$B$10*12&gt;A120,I40,0)+IF(A41+'Summary'!$B$10*12&gt;A120,I41,0)+IF(A42+'Summary'!$B$10*12&gt;A120,I42,0)+IF(A43+'Summary'!$B$10*12&gt;A120,I43,0)+IF(A44+'Summary'!$B$10*12&gt;A120,I44,0)+IF(A45+'Summary'!$B$10*12&gt;A120,I45,0)+IF(A46+'Summary'!$B$10*12&gt;A120,I46,0)+IF(A47+'Summary'!$B$10*12&gt;A120,I47,0)+IF(A48+'Summary'!$B$10*12&gt;A120,I48,0)+IF(A49+'Summary'!$B$10*12&gt;A120,I49,0)+IF(A50+'Summary'!$B$10*12&gt;A120,I50,0)+IF(A51+'Summary'!$B$10*12&gt;A120,I51,0)+IF(A52+'Summary'!$B$10*12&gt;A120,I52,0)+IF(A53+'Summary'!$B$10*12&gt;A120,I53,0)+IF(A54+'Summary'!$B$10*12&gt;A120,I54,0)+IF(A55+'Summary'!$B$10*12&gt;A120,I55,0)+IF(A56+'Summary'!$B$10*12&gt;A120,I56,0)+IF(A57+'Summary'!$B$10*12&gt;A120,I57,0)+IF(A58+'Summary'!$B$10*12&gt;A120,I58,0)+IF(A59+'Summary'!$B$10*12&gt;A120,I59,0)+IF(A60+'Summary'!$B$10*12&gt;A120,I60,0)+IF(A61+'Summary'!$B$10*12&gt;A120,I61,0)+IF(A62+'Summary'!$B$10*12&gt;A120,I62,0)+IF(A63+'Summary'!$B$10*12&gt;A120,I63,0)+IF(A64+'Summary'!$B$10*12&gt;A120,I64,0)+IF(A65+'Summary'!$B$10*12&gt;A120,I65,0)+IF(A66+'Summary'!$B$10*12&gt;A120,I66,0)+IF(A67+'Summary'!$B$10*12&gt;A120,I67,0)+IF(A68+'Summary'!$B$10*12&gt;A120,I68,0)+IF(A69+'Summary'!$B$10*12&gt;A120,I69,0)+IF(A70+'Summary'!$B$10*12&gt;A120,I70,0)+IF(A71+'Summary'!$B$10*12&gt;A120,I71,0)+IF(A72+'Summary'!$B$10*12&gt;A120,I72,0)+IF(A73+'Summary'!$B$10*12&gt;A120,I73,0)+IF(A74+'Summary'!$B$10*12&gt;A120,I74,0)+IF(A75+'Summary'!$B$10*12&gt;A120,I75,0)+IF(A76+'Summary'!$B$10*12&gt;A120,I76,0)+IF(A77+'Summary'!$B$10*12&gt;A120,I77,0)+IF(A78+'Summary'!$B$10*12&gt;A120,I78,0)+IF(A79+'Summary'!$B$10*12&gt;A120,I79,0)+IF(A80+'Summary'!$B$10*12&gt;A120,I80,0)+IF(A81+'Summary'!$B$10*12&gt;A120,I81,0)+IF(A82+'Summary'!$B$10*12&gt;A120,I82,0)+IF(A83+'Summary'!$B$10*12&gt;A120,I83,0)+IF(A84+'Summary'!$B$10*12&gt;A120,I84,0)+IF(A85+'Summary'!$B$10*12&gt;A120,I85,0)+IF(A86+'Summary'!$B$10*12&gt;A120,I86,0)+IF(A87+'Summary'!$B$10*12&gt;A120,I87,0)+IF(A88+'Summary'!$B$10*12&gt;A120,I88,0)+IF(A89+'Summary'!$B$10*12&gt;A120,I89,0)+IF(A90+'Summary'!$B$10*12&gt;A120,I90,0)+IF(A91+'Summary'!$B$10*12&gt;A120,I91,0)+IF(A92+'Summary'!$B$10*12&gt;A120,I92,0)+IF(A93+'Summary'!$B$10*12&gt;A120,I93,0)+IF(A94+'Summary'!$B$10*12&gt;A120,I94,0)+IF(A95+'Summary'!$B$10*12&gt;A120,I95,0)+IF(A96+'Summary'!$B$10*12&gt;A120,I96,0)+IF(A97+'Summary'!$B$10*12&gt;A120,I97,0)+IF(A98+'Summary'!$B$10*12&gt;A120,I98,0)+IF(A99+'Summary'!$B$10*12&gt;A120,I99,0)+IF(A100+'Summary'!$B$10*12&gt;A120,I100,0)+IF(A101+'Summary'!$B$10*12&gt;A120,I101,0)+IF(A102+'Summary'!$B$10*12&gt;A120,I102,0)+IF(A103+'Summary'!$B$10*12&gt;A120,I103,0)+IF(A104+'Summary'!$B$10*12&gt;A120,I104,0)+IF(A105+'Summary'!$B$10*12&gt;A120,I105,0)+IF(A106+'Summary'!$B$10*12&gt;A120,I106,0)+IF(A107+'Summary'!$B$10*12&gt;A120,I107,0)+IF(A108+'Summary'!$B$10*12&gt;A120,I108,0)+IF(A109+'Summary'!$B$10*12&gt;A120,I109,0)+IF(A110+'Summary'!$B$10*12&gt;A120,I110,0)+IF(A111+'Summary'!$B$10*12&gt;A120,I111,0)+IF(A112+'Summary'!$B$10*12&gt;A120,I112,0)+IF(A113+'Summary'!$B$10*12&gt;A120,I113,0)+IF(A114+'Summary'!$B$10*12&gt;A120,I114,0)+IF(A115+'Summary'!$B$10*12&gt;A120,I115,0)+IF(A116+'Summary'!$B$10*12&gt;A120,I116,0)+IF(A117+'Summary'!$B$10*12&gt;A120,I117,0)+IF(A118+'Summary'!$B$10*12&gt;A120,I118,0)+IF(A119+'Summary'!$B$10*12&gt;A120,I119,0)+IF(A120+'Summary'!$B$10*12&gt;A120,I120,0)</x:f>
        <x:v>27319.690098343734</x:v>
      </x:c>
    </x:row>
    <x:row r="121">
      <x:c r="A121" s="55" t="n">
        <x:v>113</x:v>
      </x:c>
      <x:c r="B121" s="71" t="b">
        <x:f>A121&lt;='Summary'!$B$9*12</x:f>
        <x:v>1</x:v>
      </x:c>
      <x:c r="C121" s="62" t="n">
        <x:f>IF(A121=0,IF('Summary'!$B$6&gt;=5,'Summary'!$B$6,0),C120)+IF(A121&lt;'Summary'!$B$9*12,IF('Summary'!$B$7&gt;=5,'Summary'!$B$7,0),0)</x:f>
        <x:v>21400</x:v>
      </x:c>
      <x:c r="D121" s="62" t="n">
        <x:f>IF(A121=0,IF('Summary'!$B$6&gt;=5,'Summary'!$B$6,0),0)+IF(A121&lt;'Summary'!$B$9*12,IF('Summary'!$B$7&gt;=5,'Summary'!$B$7,0),0)</x:f>
        <x:v>100</x:v>
      </x:c>
      <x:c r="E121" s="62" t="n">
        <x:f>J120</x:f>
        <x:v>0</x:v>
      </x:c>
      <x:c r="F121" s="62" t="n">
        <x:f>(IF(AND(A121&gt;A8,A121&lt;=A8+'Summary'!$B$10*12,MOD(A121-A8,'Summary'!$B$11)=0),I8,0)+IF(AND(A121&gt;A9,A121&lt;=A9+'Summary'!$B$10*12,MOD(A121-A9,'Summary'!$B$11)=0),I9,0)+IF(AND(A121&gt;A10,A121&lt;=A10+'Summary'!$B$10*12,MOD(A121-A10,'Summary'!$B$11)=0),I10,0)+IF(AND(A121&gt;A11,A121&lt;=A11+'Summary'!$B$10*12,MOD(A121-A11,'Summary'!$B$11)=0),I11,0)+IF(AND(A121&gt;A12,A121&lt;=A12+'Summary'!$B$10*12,MOD(A121-A12,'Summary'!$B$11)=0),I12,0)+IF(AND(A121&gt;A13,A121&lt;=A13+'Summary'!$B$10*12,MOD(A121-A13,'Summary'!$B$11)=0),I13,0)+IF(AND(A121&gt;A14,A121&lt;=A14+'Summary'!$B$10*12,MOD(A121-A14,'Summary'!$B$11)=0),I14,0)+IF(AND(A121&gt;A15,A121&lt;=A15+'Summary'!$B$10*12,MOD(A121-A15,'Summary'!$B$11)=0),I15,0)+IF(AND(A121&gt;A16,A121&lt;=A16+'Summary'!$B$10*12,MOD(A121-A16,'Summary'!$B$11)=0),I16,0)+IF(AND(A121&gt;A17,A121&lt;=A17+'Summary'!$B$10*12,MOD(A121-A17,'Summary'!$B$11)=0),I17,0)+IF(AND(A121&gt;A18,A121&lt;=A18+'Summary'!$B$10*12,MOD(A121-A18,'Summary'!$B$11)=0),I18,0)+IF(AND(A121&gt;A19,A121&lt;=A19+'Summary'!$B$10*12,MOD(A121-A19,'Summary'!$B$11)=0),I19,0)+IF(AND(A121&gt;A20,A121&lt;=A20+'Summary'!$B$10*12,MOD(A121-A20,'Summary'!$B$11)=0),I20,0)+IF(AND(A121&gt;A21,A121&lt;=A21+'Summary'!$B$10*12,MOD(A121-A21,'Summary'!$B$11)=0),I21,0)+IF(AND(A121&gt;A22,A121&lt;=A22+'Summary'!$B$10*12,MOD(A121-A22,'Summary'!$B$11)=0),I22,0)+IF(AND(A121&gt;A23,A121&lt;=A23+'Summary'!$B$10*12,MOD(A121-A23,'Summary'!$B$11)=0),I23,0)+IF(AND(A121&gt;A24,A121&lt;=A24+'Summary'!$B$10*12,MOD(A121-A24,'Summary'!$B$11)=0),I24,0)+IF(AND(A121&gt;A25,A121&lt;=A25+'Summary'!$B$10*12,MOD(A121-A25,'Summary'!$B$11)=0),I25,0)+IF(AND(A121&gt;A26,A121&lt;=A26+'Summary'!$B$10*12,MOD(A121-A26,'Summary'!$B$11)=0),I26,0)+IF(AND(A121&gt;A27,A121&lt;=A27+'Summary'!$B$10*12,MOD(A121-A27,'Summary'!$B$11)=0),I27,0)+IF(AND(A121&gt;A28,A121&lt;=A28+'Summary'!$B$10*12,MOD(A121-A28,'Summary'!$B$11)=0),I28,0)+IF(AND(A121&gt;A29,A121&lt;=A29+'Summary'!$B$10*12,MOD(A121-A29,'Summary'!$B$11)=0),I29,0)+IF(AND(A121&gt;A30,A121&lt;=A30+'Summary'!$B$10*12,MOD(A121-A30,'Summary'!$B$11)=0),I30,0)+IF(AND(A121&gt;A31,A121&lt;=A31+'Summary'!$B$10*12,MOD(A121-A31,'Summary'!$B$11)=0),I31,0)+IF(AND(A121&gt;A32,A121&lt;=A32+'Summary'!$B$10*12,MOD(A121-A32,'Summary'!$B$11)=0),I32,0)+IF(AND(A121&gt;A33,A121&lt;=A33+'Summary'!$B$10*12,MOD(A121-A33,'Summary'!$B$11)=0),I33,0)+IF(AND(A121&gt;A34,A121&lt;=A34+'Summary'!$B$10*12,MOD(A121-A34,'Summary'!$B$11)=0),I34,0)+IF(AND(A121&gt;A35,A121&lt;=A35+'Summary'!$B$10*12,MOD(A121-A35,'Summary'!$B$11)=0),I35,0)+IF(AND(A121&gt;A36,A121&lt;=A36+'Summary'!$B$10*12,MOD(A121-A36,'Summary'!$B$11)=0),I36,0)+IF(AND(A121&gt;A37,A121&lt;=A37+'Summary'!$B$10*12,MOD(A121-A37,'Summary'!$B$11)=0),I37,0)+IF(AND(A121&gt;A38,A121&lt;=A38+'Summary'!$B$10*12,MOD(A121-A38,'Summary'!$B$11)=0),I38,0)+IF(AND(A121&gt;A39,A121&lt;=A39+'Summary'!$B$10*12,MOD(A121-A39,'Summary'!$B$11)=0),I39,0)+IF(AND(A121&gt;A40,A121&lt;=A40+'Summary'!$B$10*12,MOD(A121-A40,'Summary'!$B$11)=0),I40,0)+IF(AND(A121&gt;A41,A121&lt;=A41+'Summary'!$B$10*12,MOD(A121-A41,'Summary'!$B$11)=0),I41,0)+IF(AND(A121&gt;A42,A121&lt;=A42+'Summary'!$B$10*12,MOD(A121-A42,'Summary'!$B$11)=0),I42,0)+IF(AND(A121&gt;A43,A121&lt;=A43+'Summary'!$B$10*12,MOD(A121-A43,'Summary'!$B$11)=0),I43,0)+IF(AND(A121&gt;A44,A121&lt;=A44+'Summary'!$B$10*12,MOD(A121-A44,'Summary'!$B$11)=0),I44,0)+IF(AND(A121&gt;A45,A121&lt;=A45+'Summary'!$B$10*12,MOD(A121-A45,'Summary'!$B$11)=0),I45,0)+IF(AND(A121&gt;A46,A121&lt;=A46+'Summary'!$B$10*12,MOD(A121-A46,'Summary'!$B$11)=0),I46,0)+IF(AND(A121&gt;A47,A121&lt;=A47+'Summary'!$B$10*12,MOD(A121-A47,'Summary'!$B$11)=0),I47,0)+IF(AND(A121&gt;A48,A121&lt;=A48+'Summary'!$B$10*12,MOD(A121-A48,'Summary'!$B$11)=0),I48,0)+IF(AND(A121&gt;A49,A121&lt;=A49+'Summary'!$B$10*12,MOD(A121-A49,'Summary'!$B$11)=0),I49,0)+IF(AND(A121&gt;A50,A121&lt;=A50+'Summary'!$B$10*12,MOD(A121-A50,'Summary'!$B$11)=0),I50,0)+IF(AND(A121&gt;A51,A121&lt;=A51+'Summary'!$B$10*12,MOD(A121-A51,'Summary'!$B$11)=0),I51,0)+IF(AND(A121&gt;A52,A121&lt;=A52+'Summary'!$B$10*12,MOD(A121-A52,'Summary'!$B$11)=0),I52,0)+IF(AND(A121&gt;A53,A121&lt;=A53+'Summary'!$B$10*12,MOD(A121-A53,'Summary'!$B$11)=0),I53,0)+IF(AND(A121&gt;A54,A121&lt;=A54+'Summary'!$B$10*12,MOD(A121-A54,'Summary'!$B$11)=0),I54,0)+IF(AND(A121&gt;A55,A121&lt;=A55+'Summary'!$B$10*12,MOD(A121-A55,'Summary'!$B$11)=0),I55,0)+IF(AND(A121&gt;A56,A121&lt;=A56+'Summary'!$B$10*12,MOD(A121-A56,'Summary'!$B$11)=0),I56,0)+IF(AND(A121&gt;A57,A121&lt;=A57+'Summary'!$B$10*12,MOD(A121-A57,'Summary'!$B$11)=0),I57,0)+IF(AND(A121&gt;A58,A121&lt;=A58+'Summary'!$B$10*12,MOD(A121-A58,'Summary'!$B$11)=0),I58,0)+IF(AND(A121&gt;A59,A121&lt;=A59+'Summary'!$B$10*12,MOD(A121-A59,'Summary'!$B$11)=0),I59,0)+IF(AND(A121&gt;A60,A121&lt;=A60+'Summary'!$B$10*12,MOD(A121-A60,'Summary'!$B$11)=0),I60,0)+IF(AND(A121&gt;A61,A121&lt;=A61+'Summary'!$B$10*12,MOD(A121-A61,'Summary'!$B$11)=0),I61,0)+IF(AND(A121&gt;A62,A121&lt;=A62+'Summary'!$B$10*12,MOD(A121-A62,'Summary'!$B$11)=0),I62,0)+IF(AND(A121&gt;A63,A121&lt;=A63+'Summary'!$B$10*12,MOD(A121-A63,'Summary'!$B$11)=0),I63,0)+IF(AND(A121&gt;A64,A121&lt;=A64+'Summary'!$B$10*12,MOD(A121-A64,'Summary'!$B$11)=0),I64,0)+IF(AND(A121&gt;A65,A121&lt;=A65+'Summary'!$B$10*12,MOD(A121-A65,'Summary'!$B$11)=0),I65,0)+IF(AND(A121&gt;A66,A121&lt;=A66+'Summary'!$B$10*12,MOD(A121-A66,'Summary'!$B$11)=0),I66,0)+IF(AND(A121&gt;A67,A121&lt;=A67+'Summary'!$B$10*12,MOD(A121-A67,'Summary'!$B$11)=0),I67,0)+IF(AND(A121&gt;A68,A121&lt;=A68+'Summary'!$B$10*12,MOD(A121-A68,'Summary'!$B$11)=0),I68,0)+IF(AND(A121&gt;A69,A121&lt;=A69+'Summary'!$B$10*12,MOD(A121-A69,'Summary'!$B$11)=0),I69,0)+IF(AND(A121&gt;A70,A121&lt;=A70+'Summary'!$B$10*12,MOD(A121-A70,'Summary'!$B$11)=0),I70,0)+IF(AND(A121&gt;A71,A121&lt;=A71+'Summary'!$B$10*12,MOD(A121-A71,'Summary'!$B$11)=0),I71,0)+IF(AND(A121&gt;A72,A121&lt;=A72+'Summary'!$B$10*12,MOD(A121-A72,'Summary'!$B$11)=0),I72,0)+IF(AND(A121&gt;A73,A121&lt;=A73+'Summary'!$B$10*12,MOD(A121-A73,'Summary'!$B$11)=0),I73,0)+IF(AND(A121&gt;A74,A121&lt;=A74+'Summary'!$B$10*12,MOD(A121-A74,'Summary'!$B$11)=0),I74,0)+IF(AND(A121&gt;A75,A121&lt;=A75+'Summary'!$B$10*12,MOD(A121-A75,'Summary'!$B$11)=0),I75,0)+IF(AND(A121&gt;A76,A121&lt;=A76+'Summary'!$B$10*12,MOD(A121-A76,'Summary'!$B$11)=0),I76,0)+IF(AND(A121&gt;A77,A121&lt;=A77+'Summary'!$B$10*12,MOD(A121-A77,'Summary'!$B$11)=0),I77,0)+IF(AND(A121&gt;A78,A121&lt;=A78+'Summary'!$B$10*12,MOD(A121-A78,'Summary'!$B$11)=0),I78,0)+IF(AND(A121&gt;A79,A121&lt;=A79+'Summary'!$B$10*12,MOD(A121-A79,'Summary'!$B$11)=0),I79,0)+IF(AND(A121&gt;A80,A121&lt;=A80+'Summary'!$B$10*12,MOD(A121-A80,'Summary'!$B$11)=0),I80,0)+IF(AND(A121&gt;A81,A121&lt;=A81+'Summary'!$B$10*12,MOD(A121-A81,'Summary'!$B$11)=0),I81,0)+IF(AND(A121&gt;A82,A121&lt;=A82+'Summary'!$B$10*12,MOD(A121-A82,'Summary'!$B$11)=0),I82,0)+IF(AND(A121&gt;A83,A121&lt;=A83+'Summary'!$B$10*12,MOD(A121-A83,'Summary'!$B$11)=0),I83,0)+IF(AND(A121&gt;A84,A121&lt;=A84+'Summary'!$B$10*12,MOD(A121-A84,'Summary'!$B$11)=0),I84,0)+IF(AND(A121&gt;A85,A121&lt;=A85+'Summary'!$B$10*12,MOD(A121-A85,'Summary'!$B$11)=0),I85,0)+IF(AND(A121&gt;A86,A121&lt;=A86+'Summary'!$B$10*12,MOD(A121-A86,'Summary'!$B$11)=0),I86,0)+IF(AND(A121&gt;A87,A121&lt;=A87+'Summary'!$B$10*12,MOD(A121-A87,'Summary'!$B$11)=0),I87,0)+IF(AND(A121&gt;A88,A121&lt;=A88+'Summary'!$B$10*12,MOD(A121-A88,'Summary'!$B$11)=0),I88,0)+IF(AND(A121&gt;A89,A121&lt;=A89+'Summary'!$B$10*12,MOD(A121-A89,'Summary'!$B$11)=0),I89,0)+IF(AND(A121&gt;A90,A121&lt;=A90+'Summary'!$B$10*12,MOD(A121-A90,'Summary'!$B$11)=0),I90,0)+IF(AND(A121&gt;A91,A121&lt;=A91+'Summary'!$B$10*12,MOD(A121-A91,'Summary'!$B$11)=0),I91,0)+IF(AND(A121&gt;A92,A121&lt;=A92+'Summary'!$B$10*12,MOD(A121-A92,'Summary'!$B$11)=0),I92,0)+IF(AND(A121&gt;A93,A121&lt;=A93+'Summary'!$B$10*12,MOD(A121-A93,'Summary'!$B$11)=0),I93,0)+IF(AND(A121&gt;A94,A121&lt;=A94+'Summary'!$B$10*12,MOD(A121-A94,'Summary'!$B$11)=0),I94,0)+IF(AND(A121&gt;A95,A121&lt;=A95+'Summary'!$B$10*12,MOD(A121-A95,'Summary'!$B$11)=0),I95,0)+IF(AND(A121&gt;A96,A121&lt;=A96+'Summary'!$B$10*12,MOD(A121-A96,'Summary'!$B$11)=0),I96,0)+IF(AND(A121&gt;A97,A121&lt;=A97+'Summary'!$B$10*12,MOD(A121-A97,'Summary'!$B$11)=0),I97,0)+IF(AND(A121&gt;A98,A121&lt;=A98+'Summary'!$B$10*12,MOD(A121-A98,'Summary'!$B$11)=0),I98,0)+IF(AND(A121&gt;A99,A121&lt;=A99+'Summary'!$B$10*12,MOD(A121-A99,'Summary'!$B$11)=0),I99,0)+IF(AND(A121&gt;A100,A121&lt;=A100+'Summary'!$B$10*12,MOD(A121-A100,'Summary'!$B$11)=0),I100,0)+IF(AND(A121&gt;A101,A121&lt;=A101+'Summary'!$B$10*12,MOD(A121-A101,'Summary'!$B$11)=0),I101,0)+IF(AND(A121&gt;A102,A121&lt;=A102+'Summary'!$B$10*12,MOD(A121-A102,'Summary'!$B$11)=0),I102,0)+IF(AND(A121&gt;A103,A121&lt;=A103+'Summary'!$B$10*12,MOD(A121-A103,'Summary'!$B$11)=0),I103,0)+IF(AND(A121&gt;A104,A121&lt;=A104+'Summary'!$B$10*12,MOD(A121-A104,'Summary'!$B$11)=0),I104,0)+IF(AND(A121&gt;A105,A121&lt;=A105+'Summary'!$B$10*12,MOD(A121-A105,'Summary'!$B$11)=0),I105,0)+IF(AND(A121&gt;A106,A121&lt;=A106+'Summary'!$B$10*12,MOD(A121-A106,'Summary'!$B$11)=0),I106,0)+IF(AND(A121&gt;A107,A121&lt;=A107+'Summary'!$B$10*12,MOD(A121-A107,'Summary'!$B$11)=0),I107,0)+IF(AND(A121&gt;A108,A121&lt;=A108+'Summary'!$B$10*12,MOD(A121-A108,'Summary'!$B$11)=0),I108,0)+IF(AND(A121&gt;A109,A121&lt;=A109+'Summary'!$B$10*12,MOD(A121-A109,'Summary'!$B$11)=0),I109,0)+IF(AND(A121&gt;A110,A121&lt;=A110+'Summary'!$B$10*12,MOD(A121-A110,'Summary'!$B$11)=0),I110,0)+IF(AND(A121&gt;A111,A121&lt;=A111+'Summary'!$B$10*12,MOD(A121-A111,'Summary'!$B$11)=0),I111,0)+IF(AND(A121&gt;A112,A121&lt;=A112+'Summary'!$B$10*12,MOD(A121-A112,'Summary'!$B$11)=0),I112,0)+IF(AND(A121&gt;A113,A121&lt;=A113+'Summary'!$B$10*12,MOD(A121-A113,'Summary'!$B$11)=0),I113,0)+IF(AND(A121&gt;A114,A121&lt;=A114+'Summary'!$B$10*12,MOD(A121-A114,'Summary'!$B$11)=0),I114,0)+IF(AND(A121&gt;A115,A121&lt;=A115+'Summary'!$B$10*12,MOD(A121-A115,'Summary'!$B$11)=0),I115,0)+IF(AND(A121&gt;A116,A121&lt;=A116+'Summary'!$B$10*12,MOD(A121-A116,'Summary'!$B$11)=0),I116,0)+IF(AND(A121&gt;A117,A121&lt;=A117+'Summary'!$B$10*12,MOD(A121-A117,'Summary'!$B$11)=0),I117,0)+IF(AND(A121&gt;A118,A121&lt;=A118+'Summary'!$B$10*12,MOD(A121-A118,'Summary'!$B$11)=0),I118,0)+IF(AND(A121&gt;A119,A121&lt;=A119+'Summary'!$B$10*12,MOD(A121-A119,'Summary'!$B$11)=0),I119,0)+IF(AND(A121&gt;A120,A121&lt;=A120+'Summary'!$B$10*12,MOD(A121-A120,'Summary'!$B$11)=0),I120,0))*'Summary'!$B$8/2</x:f>
        <x:v>39.33688367021165</x:v>
      </x:c>
      <x:c r="G121" s="62" t="n">
        <x:f>IF(A121=A8+'Summary'!$B$10*12,I8,0)+IF(A121=A9+'Summary'!$B$10*12,I9,0)+IF(A121=A10+'Summary'!$B$10*12,I10,0)+IF(A121=A11+'Summary'!$B$10*12,I11,0)+IF(A121=A12+'Summary'!$B$10*12,I12,0)+IF(A121=A13+'Summary'!$B$10*12,I13,0)+IF(A121=A14+'Summary'!$B$10*12,I14,0)+IF(A121=A15+'Summary'!$B$10*12,I15,0)+IF(A121=A16+'Summary'!$B$10*12,I16,0)+IF(A121=A17+'Summary'!$B$10*12,I17,0)+IF(A121=A18+'Summary'!$B$10*12,I18,0)+IF(A121=A19+'Summary'!$B$10*12,I19,0)+IF(A121=A20+'Summary'!$B$10*12,I20,0)+IF(A121=A21+'Summary'!$B$10*12,I21,0)+IF(A121=A22+'Summary'!$B$10*12,I22,0)+IF(A121=A23+'Summary'!$B$10*12,I23,0)+IF(A121=A24+'Summary'!$B$10*12,I24,0)+IF(A121=A25+'Summary'!$B$10*12,I25,0)+IF(A121=A26+'Summary'!$B$10*12,I26,0)+IF(A121=A27+'Summary'!$B$10*12,I27,0)+IF(A121=A28+'Summary'!$B$10*12,I28,0)+IF(A121=A29+'Summary'!$B$10*12,I29,0)+IF(A121=A30+'Summary'!$B$10*12,I30,0)+IF(A121=A31+'Summary'!$B$10*12,I31,0)+IF(A121=A32+'Summary'!$B$10*12,I32,0)+IF(A121=A33+'Summary'!$B$10*12,I33,0)+IF(A121=A34+'Summary'!$B$10*12,I34,0)+IF(A121=A35+'Summary'!$B$10*12,I35,0)+IF(A121=A36+'Summary'!$B$10*12,I36,0)+IF(A121=A37+'Summary'!$B$10*12,I37,0)+IF(A121=A38+'Summary'!$B$10*12,I38,0)+IF(A121=A39+'Summary'!$B$10*12,I39,0)+IF(A121=A40+'Summary'!$B$10*12,I40,0)+IF(A121=A41+'Summary'!$B$10*12,I41,0)+IF(A121=A42+'Summary'!$B$10*12,I42,0)+IF(A121=A43+'Summary'!$B$10*12,I43,0)+IF(A121=A44+'Summary'!$B$10*12,I44,0)+IF(A121=A45+'Summary'!$B$10*12,I45,0)+IF(A121=A46+'Summary'!$B$10*12,I46,0)+IF(A121=A47+'Summary'!$B$10*12,I47,0)+IF(A121=A48+'Summary'!$B$10*12,I48,0)+IF(A121=A49+'Summary'!$B$10*12,I49,0)+IF(A121=A50+'Summary'!$B$10*12,I50,0)+IF(A121=A51+'Summary'!$B$10*12,I51,0)+IF(A121=A52+'Summary'!$B$10*12,I52,0)+IF(A121=A53+'Summary'!$B$10*12,I53,0)+IF(A121=A54+'Summary'!$B$10*12,I54,0)+IF(A121=A55+'Summary'!$B$10*12,I55,0)+IF(A121=A56+'Summary'!$B$10*12,I56,0)+IF(A121=A57+'Summary'!$B$10*12,I57,0)+IF(A121=A58+'Summary'!$B$10*12,I58,0)+IF(A121=A59+'Summary'!$B$10*12,I59,0)+IF(A121=A60+'Summary'!$B$10*12,I60,0)+IF(A121=A61+'Summary'!$B$10*12,I61,0)+IF(A121=A62+'Summary'!$B$10*12,I62,0)+IF(A121=A63+'Summary'!$B$10*12,I63,0)+IF(A121=A64+'Summary'!$B$10*12,I64,0)+IF(A121=A65+'Summary'!$B$10*12,I65,0)+IF(A121=A66+'Summary'!$B$10*12,I66,0)+IF(A121=A67+'Summary'!$B$10*12,I67,0)+IF(A121=A68+'Summary'!$B$10*12,I68,0)+IF(A121=A69+'Summary'!$B$10*12,I69,0)+IF(A121=A70+'Summary'!$B$10*12,I70,0)+IF(A121=A71+'Summary'!$B$10*12,I71,0)+IF(A121=A72+'Summary'!$B$10*12,I72,0)+IF(A121=A73+'Summary'!$B$10*12,I73,0)+IF(A121=A74+'Summary'!$B$10*12,I74,0)+IF(A121=A75+'Summary'!$B$10*12,I75,0)+IF(A121=A76+'Summary'!$B$10*12,I76,0)+IF(A121=A77+'Summary'!$B$10*12,I77,0)+IF(A121=A78+'Summary'!$B$10*12,I78,0)+IF(A121=A79+'Summary'!$B$10*12,I79,0)+IF(A121=A80+'Summary'!$B$10*12,I80,0)+IF(A121=A81+'Summary'!$B$10*12,I81,0)+IF(A121=A82+'Summary'!$B$10*12,I82,0)+IF(A121=A83+'Summary'!$B$10*12,I83,0)+IF(A121=A84+'Summary'!$B$10*12,I84,0)+IF(A121=A85+'Summary'!$B$10*12,I85,0)+IF(A121=A86+'Summary'!$B$10*12,I86,0)+IF(A121=A87+'Summary'!$B$10*12,I87,0)+IF(A121=A88+'Summary'!$B$10*12,I88,0)+IF(A121=A89+'Summary'!$B$10*12,I89,0)+IF(A121=A90+'Summary'!$B$10*12,I90,0)+IF(A121=A91+'Summary'!$B$10*12,I91,0)+IF(A121=A92+'Summary'!$B$10*12,I92,0)+IF(A121=A93+'Summary'!$B$10*12,I93,0)+IF(A121=A94+'Summary'!$B$10*12,I94,0)+IF(A121=A95+'Summary'!$B$10*12,I95,0)+IF(A121=A96+'Summary'!$B$10*12,I96,0)+IF(A121=A97+'Summary'!$B$10*12,I97,0)+IF(A121=A98+'Summary'!$B$10*12,I98,0)+IF(A121=A99+'Summary'!$B$10*12,I99,0)+IF(A121=A100+'Summary'!$B$10*12,I100,0)+IF(A121=A101+'Summary'!$B$10*12,I101,0)+IF(A121=A102+'Summary'!$B$10*12,I102,0)+IF(A121=A103+'Summary'!$B$10*12,I103,0)+IF(A121=A104+'Summary'!$B$10*12,I104,0)+IF(A121=A105+'Summary'!$B$10*12,I105,0)+IF(A121=A106+'Summary'!$B$10*12,I106,0)+IF(A121=A107+'Summary'!$B$10*12,I107,0)+IF(A121=A108+'Summary'!$B$10*12,I108,0)+IF(A121=A109+'Summary'!$B$10*12,I109,0)+IF(A121=A110+'Summary'!$B$10*12,I110,0)+IF(A121=A111+'Summary'!$B$10*12,I111,0)+IF(A121=A112+'Summary'!$B$10*12,I112,0)+IF(A121=A113+'Summary'!$B$10*12,I113,0)+IF(A121=A114+'Summary'!$B$10*12,I114,0)+IF(A121=A115+'Summary'!$B$10*12,I115,0)+IF(A121=A116+'Summary'!$B$10*12,I116,0)+IF(A121=A117+'Summary'!$B$10*12,I117,0)+IF(A121=A118+'Summary'!$B$10*12,I118,0)+IF(A121=A119+'Summary'!$B$10*12,I119,0)+IF(A121=A120+'Summary'!$B$10*12,I120,0)</x:f>
        <x:v>115.88557359514499</x:v>
      </x:c>
      <x:c r="H121" s="62" t="n">
        <x:f>E121+D121+F121+G121</x:f>
        <x:v>255.22245726535664</x:v>
      </x:c>
      <x:c r="I121" s="62" t="n">
        <x:f>IF(B121,IF(H121&gt;='Summary'!$B$12,H121,0),0)</x:f>
        <x:v>255.22245726535664</x:v>
      </x:c>
      <x:c r="J121" s="62" t="n">
        <x:f>H121-I121</x:f>
        <x:v>0</x:v>
      </x:c>
      <x:c r="K121" s="63" t="n">
        <x:f>J121+IF(A8+'Summary'!$B$10*12&gt;A121,I8,0)+IF(A9+'Summary'!$B$10*12&gt;A121,I9,0)+IF(A10+'Summary'!$B$10*12&gt;A121,I10,0)+IF(A11+'Summary'!$B$10*12&gt;A121,I11,0)+IF(A12+'Summary'!$B$10*12&gt;A121,I12,0)+IF(A13+'Summary'!$B$10*12&gt;A121,I13,0)+IF(A14+'Summary'!$B$10*12&gt;A121,I14,0)+IF(A15+'Summary'!$B$10*12&gt;A121,I15,0)+IF(A16+'Summary'!$B$10*12&gt;A121,I16,0)+IF(A17+'Summary'!$B$10*12&gt;A121,I17,0)+IF(A18+'Summary'!$B$10*12&gt;A121,I18,0)+IF(A19+'Summary'!$B$10*12&gt;A121,I19,0)+IF(A20+'Summary'!$B$10*12&gt;A121,I20,0)+IF(A21+'Summary'!$B$10*12&gt;A121,I21,0)+IF(A22+'Summary'!$B$10*12&gt;A121,I22,0)+IF(A23+'Summary'!$B$10*12&gt;A121,I23,0)+IF(A24+'Summary'!$B$10*12&gt;A121,I24,0)+IF(A25+'Summary'!$B$10*12&gt;A121,I25,0)+IF(A26+'Summary'!$B$10*12&gt;A121,I26,0)+IF(A27+'Summary'!$B$10*12&gt;A121,I27,0)+IF(A28+'Summary'!$B$10*12&gt;A121,I28,0)+IF(A29+'Summary'!$B$10*12&gt;A121,I29,0)+IF(A30+'Summary'!$B$10*12&gt;A121,I30,0)+IF(A31+'Summary'!$B$10*12&gt;A121,I31,0)+IF(A32+'Summary'!$B$10*12&gt;A121,I32,0)+IF(A33+'Summary'!$B$10*12&gt;A121,I33,0)+IF(A34+'Summary'!$B$10*12&gt;A121,I34,0)+IF(A35+'Summary'!$B$10*12&gt;A121,I35,0)+IF(A36+'Summary'!$B$10*12&gt;A121,I36,0)+IF(A37+'Summary'!$B$10*12&gt;A121,I37,0)+IF(A38+'Summary'!$B$10*12&gt;A121,I38,0)+IF(A39+'Summary'!$B$10*12&gt;A121,I39,0)+IF(A40+'Summary'!$B$10*12&gt;A121,I40,0)+IF(A41+'Summary'!$B$10*12&gt;A121,I41,0)+IF(A42+'Summary'!$B$10*12&gt;A121,I42,0)+IF(A43+'Summary'!$B$10*12&gt;A121,I43,0)+IF(A44+'Summary'!$B$10*12&gt;A121,I44,0)+IF(A45+'Summary'!$B$10*12&gt;A121,I45,0)+IF(A46+'Summary'!$B$10*12&gt;A121,I46,0)+IF(A47+'Summary'!$B$10*12&gt;A121,I47,0)+IF(A48+'Summary'!$B$10*12&gt;A121,I48,0)+IF(A49+'Summary'!$B$10*12&gt;A121,I49,0)+IF(A50+'Summary'!$B$10*12&gt;A121,I50,0)+IF(A51+'Summary'!$B$10*12&gt;A121,I51,0)+IF(A52+'Summary'!$B$10*12&gt;A121,I52,0)+IF(A53+'Summary'!$B$10*12&gt;A121,I53,0)+IF(A54+'Summary'!$B$10*12&gt;A121,I54,0)+IF(A55+'Summary'!$B$10*12&gt;A121,I55,0)+IF(A56+'Summary'!$B$10*12&gt;A121,I56,0)+IF(A57+'Summary'!$B$10*12&gt;A121,I57,0)+IF(A58+'Summary'!$B$10*12&gt;A121,I58,0)+IF(A59+'Summary'!$B$10*12&gt;A121,I59,0)+IF(A60+'Summary'!$B$10*12&gt;A121,I60,0)+IF(A61+'Summary'!$B$10*12&gt;A121,I61,0)+IF(A62+'Summary'!$B$10*12&gt;A121,I62,0)+IF(A63+'Summary'!$B$10*12&gt;A121,I63,0)+IF(A64+'Summary'!$B$10*12&gt;A121,I64,0)+IF(A65+'Summary'!$B$10*12&gt;A121,I65,0)+IF(A66+'Summary'!$B$10*12&gt;A121,I66,0)+IF(A67+'Summary'!$B$10*12&gt;A121,I67,0)+IF(A68+'Summary'!$B$10*12&gt;A121,I68,0)+IF(A69+'Summary'!$B$10*12&gt;A121,I69,0)+IF(A70+'Summary'!$B$10*12&gt;A121,I70,0)+IF(A71+'Summary'!$B$10*12&gt;A121,I71,0)+IF(A72+'Summary'!$B$10*12&gt;A121,I72,0)+IF(A73+'Summary'!$B$10*12&gt;A121,I73,0)+IF(A74+'Summary'!$B$10*12&gt;A121,I74,0)+IF(A75+'Summary'!$B$10*12&gt;A121,I75,0)+IF(A76+'Summary'!$B$10*12&gt;A121,I76,0)+IF(A77+'Summary'!$B$10*12&gt;A121,I77,0)+IF(A78+'Summary'!$B$10*12&gt;A121,I78,0)+IF(A79+'Summary'!$B$10*12&gt;A121,I79,0)+IF(A80+'Summary'!$B$10*12&gt;A121,I80,0)+IF(A81+'Summary'!$B$10*12&gt;A121,I81,0)+IF(A82+'Summary'!$B$10*12&gt;A121,I82,0)+IF(A83+'Summary'!$B$10*12&gt;A121,I83,0)+IF(A84+'Summary'!$B$10*12&gt;A121,I84,0)+IF(A85+'Summary'!$B$10*12&gt;A121,I85,0)+IF(A86+'Summary'!$B$10*12&gt;A121,I86,0)+IF(A87+'Summary'!$B$10*12&gt;A121,I87,0)+IF(A88+'Summary'!$B$10*12&gt;A121,I88,0)+IF(A89+'Summary'!$B$10*12&gt;A121,I89,0)+IF(A90+'Summary'!$B$10*12&gt;A121,I90,0)+IF(A91+'Summary'!$B$10*12&gt;A121,I91,0)+IF(A92+'Summary'!$B$10*12&gt;A121,I92,0)+IF(A93+'Summary'!$B$10*12&gt;A121,I93,0)+IF(A94+'Summary'!$B$10*12&gt;A121,I94,0)+IF(A95+'Summary'!$B$10*12&gt;A121,I95,0)+IF(A96+'Summary'!$B$10*12&gt;A121,I96,0)+IF(A97+'Summary'!$B$10*12&gt;A121,I97,0)+IF(A98+'Summary'!$B$10*12&gt;A121,I98,0)+IF(A99+'Summary'!$B$10*12&gt;A121,I99,0)+IF(A100+'Summary'!$B$10*12&gt;A121,I100,0)+IF(A101+'Summary'!$B$10*12&gt;A121,I101,0)+IF(A102+'Summary'!$B$10*12&gt;A121,I102,0)+IF(A103+'Summary'!$B$10*12&gt;A121,I103,0)+IF(A104+'Summary'!$B$10*12&gt;A121,I104,0)+IF(A105+'Summary'!$B$10*12&gt;A121,I105,0)+IF(A106+'Summary'!$B$10*12&gt;A121,I106,0)+IF(A107+'Summary'!$B$10*12&gt;A121,I107,0)+IF(A108+'Summary'!$B$10*12&gt;A121,I108,0)+IF(A109+'Summary'!$B$10*12&gt;A121,I109,0)+IF(A110+'Summary'!$B$10*12&gt;A121,I110,0)+IF(A111+'Summary'!$B$10*12&gt;A121,I111,0)+IF(A112+'Summary'!$B$10*12&gt;A121,I112,0)+IF(A113+'Summary'!$B$10*12&gt;A121,I113,0)+IF(A114+'Summary'!$B$10*12&gt;A121,I114,0)+IF(A115+'Summary'!$B$10*12&gt;A121,I115,0)+IF(A116+'Summary'!$B$10*12&gt;A121,I116,0)+IF(A117+'Summary'!$B$10*12&gt;A121,I117,0)+IF(A118+'Summary'!$B$10*12&gt;A121,I118,0)+IF(A119+'Summary'!$B$10*12&gt;A121,I119,0)+IF(A120+'Summary'!$B$10*12&gt;A121,I120,0)+IF(A121+'Summary'!$B$10*12&gt;A121,I121,0)</x:f>
        <x:v>27459.026982013944</x:v>
      </x:c>
    </x:row>
    <x:row r="122">
      <x:c r="A122" s="55" t="n">
        <x:v>114</x:v>
      </x:c>
      <x:c r="B122" s="71" t="b">
        <x:f>A122&lt;='Summary'!$B$9*12</x:f>
        <x:v>1</x:v>
      </x:c>
      <x:c r="C122" s="62" t="n">
        <x:f>IF(A122=0,IF('Summary'!$B$6&gt;=5,'Summary'!$B$6,0),C121)+IF(A122&lt;'Summary'!$B$9*12,IF('Summary'!$B$7&gt;=5,'Summary'!$B$7,0),0)</x:f>
        <x:v>21500</x:v>
      </x:c>
      <x:c r="D122" s="62" t="n">
        <x:f>IF(A122=0,IF('Summary'!$B$6&gt;=5,'Summary'!$B$6,0),0)+IF(A122&lt;'Summary'!$B$9*12,IF('Summary'!$B$7&gt;=5,'Summary'!$B$7,0),0)</x:f>
        <x:v>100</x:v>
      </x:c>
      <x:c r="E122" s="62" t="n">
        <x:f>J121</x:f>
        <x:v>0</x:v>
      </x:c>
      <x:c r="F122" s="62" t="n">
        <x:f>(IF(AND(A122&gt;A8,A122&lt;=A8+'Summary'!$B$10*12,MOD(A122-A8,'Summary'!$B$11)=0),I8,0)+IF(AND(A122&gt;A9,A122&lt;=A9+'Summary'!$B$10*12,MOD(A122-A9,'Summary'!$B$11)=0),I9,0)+IF(AND(A122&gt;A10,A122&lt;=A10+'Summary'!$B$10*12,MOD(A122-A10,'Summary'!$B$11)=0),I10,0)+IF(AND(A122&gt;A11,A122&lt;=A11+'Summary'!$B$10*12,MOD(A122-A11,'Summary'!$B$11)=0),I11,0)+IF(AND(A122&gt;A12,A122&lt;=A12+'Summary'!$B$10*12,MOD(A122-A12,'Summary'!$B$11)=0),I12,0)+IF(AND(A122&gt;A13,A122&lt;=A13+'Summary'!$B$10*12,MOD(A122-A13,'Summary'!$B$11)=0),I13,0)+IF(AND(A122&gt;A14,A122&lt;=A14+'Summary'!$B$10*12,MOD(A122-A14,'Summary'!$B$11)=0),I14,0)+IF(AND(A122&gt;A15,A122&lt;=A15+'Summary'!$B$10*12,MOD(A122-A15,'Summary'!$B$11)=0),I15,0)+IF(AND(A122&gt;A16,A122&lt;=A16+'Summary'!$B$10*12,MOD(A122-A16,'Summary'!$B$11)=0),I16,0)+IF(AND(A122&gt;A17,A122&lt;=A17+'Summary'!$B$10*12,MOD(A122-A17,'Summary'!$B$11)=0),I17,0)+IF(AND(A122&gt;A18,A122&lt;=A18+'Summary'!$B$10*12,MOD(A122-A18,'Summary'!$B$11)=0),I18,0)+IF(AND(A122&gt;A19,A122&lt;=A19+'Summary'!$B$10*12,MOD(A122-A19,'Summary'!$B$11)=0),I19,0)+IF(AND(A122&gt;A20,A122&lt;=A20+'Summary'!$B$10*12,MOD(A122-A20,'Summary'!$B$11)=0),I20,0)+IF(AND(A122&gt;A21,A122&lt;=A21+'Summary'!$B$10*12,MOD(A122-A21,'Summary'!$B$11)=0),I21,0)+IF(AND(A122&gt;A22,A122&lt;=A22+'Summary'!$B$10*12,MOD(A122-A22,'Summary'!$B$11)=0),I22,0)+IF(AND(A122&gt;A23,A122&lt;=A23+'Summary'!$B$10*12,MOD(A122-A23,'Summary'!$B$11)=0),I23,0)+IF(AND(A122&gt;A24,A122&lt;=A24+'Summary'!$B$10*12,MOD(A122-A24,'Summary'!$B$11)=0),I24,0)+IF(AND(A122&gt;A25,A122&lt;=A25+'Summary'!$B$10*12,MOD(A122-A25,'Summary'!$B$11)=0),I25,0)+IF(AND(A122&gt;A26,A122&lt;=A26+'Summary'!$B$10*12,MOD(A122-A26,'Summary'!$B$11)=0),I26,0)+IF(AND(A122&gt;A27,A122&lt;=A27+'Summary'!$B$10*12,MOD(A122-A27,'Summary'!$B$11)=0),I27,0)+IF(AND(A122&gt;A28,A122&lt;=A28+'Summary'!$B$10*12,MOD(A122-A28,'Summary'!$B$11)=0),I28,0)+IF(AND(A122&gt;A29,A122&lt;=A29+'Summary'!$B$10*12,MOD(A122-A29,'Summary'!$B$11)=0),I29,0)+IF(AND(A122&gt;A30,A122&lt;=A30+'Summary'!$B$10*12,MOD(A122-A30,'Summary'!$B$11)=0),I30,0)+IF(AND(A122&gt;A31,A122&lt;=A31+'Summary'!$B$10*12,MOD(A122-A31,'Summary'!$B$11)=0),I31,0)+IF(AND(A122&gt;A32,A122&lt;=A32+'Summary'!$B$10*12,MOD(A122-A32,'Summary'!$B$11)=0),I32,0)+IF(AND(A122&gt;A33,A122&lt;=A33+'Summary'!$B$10*12,MOD(A122-A33,'Summary'!$B$11)=0),I33,0)+IF(AND(A122&gt;A34,A122&lt;=A34+'Summary'!$B$10*12,MOD(A122-A34,'Summary'!$B$11)=0),I34,0)+IF(AND(A122&gt;A35,A122&lt;=A35+'Summary'!$B$10*12,MOD(A122-A35,'Summary'!$B$11)=0),I35,0)+IF(AND(A122&gt;A36,A122&lt;=A36+'Summary'!$B$10*12,MOD(A122-A36,'Summary'!$B$11)=0),I36,0)+IF(AND(A122&gt;A37,A122&lt;=A37+'Summary'!$B$10*12,MOD(A122-A37,'Summary'!$B$11)=0),I37,0)+IF(AND(A122&gt;A38,A122&lt;=A38+'Summary'!$B$10*12,MOD(A122-A38,'Summary'!$B$11)=0),I38,0)+IF(AND(A122&gt;A39,A122&lt;=A39+'Summary'!$B$10*12,MOD(A122-A39,'Summary'!$B$11)=0),I39,0)+IF(AND(A122&gt;A40,A122&lt;=A40+'Summary'!$B$10*12,MOD(A122-A40,'Summary'!$B$11)=0),I40,0)+IF(AND(A122&gt;A41,A122&lt;=A41+'Summary'!$B$10*12,MOD(A122-A41,'Summary'!$B$11)=0),I41,0)+IF(AND(A122&gt;A42,A122&lt;=A42+'Summary'!$B$10*12,MOD(A122-A42,'Summary'!$B$11)=0),I42,0)+IF(AND(A122&gt;A43,A122&lt;=A43+'Summary'!$B$10*12,MOD(A122-A43,'Summary'!$B$11)=0),I43,0)+IF(AND(A122&gt;A44,A122&lt;=A44+'Summary'!$B$10*12,MOD(A122-A44,'Summary'!$B$11)=0),I44,0)+IF(AND(A122&gt;A45,A122&lt;=A45+'Summary'!$B$10*12,MOD(A122-A45,'Summary'!$B$11)=0),I45,0)+IF(AND(A122&gt;A46,A122&lt;=A46+'Summary'!$B$10*12,MOD(A122-A46,'Summary'!$B$11)=0),I46,0)+IF(AND(A122&gt;A47,A122&lt;=A47+'Summary'!$B$10*12,MOD(A122-A47,'Summary'!$B$11)=0),I47,0)+IF(AND(A122&gt;A48,A122&lt;=A48+'Summary'!$B$10*12,MOD(A122-A48,'Summary'!$B$11)=0),I48,0)+IF(AND(A122&gt;A49,A122&lt;=A49+'Summary'!$B$10*12,MOD(A122-A49,'Summary'!$B$11)=0),I49,0)+IF(AND(A122&gt;A50,A122&lt;=A50+'Summary'!$B$10*12,MOD(A122-A50,'Summary'!$B$11)=0),I50,0)+IF(AND(A122&gt;A51,A122&lt;=A51+'Summary'!$B$10*12,MOD(A122-A51,'Summary'!$B$11)=0),I51,0)+IF(AND(A122&gt;A52,A122&lt;=A52+'Summary'!$B$10*12,MOD(A122-A52,'Summary'!$B$11)=0),I52,0)+IF(AND(A122&gt;A53,A122&lt;=A53+'Summary'!$B$10*12,MOD(A122-A53,'Summary'!$B$11)=0),I53,0)+IF(AND(A122&gt;A54,A122&lt;=A54+'Summary'!$B$10*12,MOD(A122-A54,'Summary'!$B$11)=0),I54,0)+IF(AND(A122&gt;A55,A122&lt;=A55+'Summary'!$B$10*12,MOD(A122-A55,'Summary'!$B$11)=0),I55,0)+IF(AND(A122&gt;A56,A122&lt;=A56+'Summary'!$B$10*12,MOD(A122-A56,'Summary'!$B$11)=0),I56,0)+IF(AND(A122&gt;A57,A122&lt;=A57+'Summary'!$B$10*12,MOD(A122-A57,'Summary'!$B$11)=0),I57,0)+IF(AND(A122&gt;A58,A122&lt;=A58+'Summary'!$B$10*12,MOD(A122-A58,'Summary'!$B$11)=0),I58,0)+IF(AND(A122&gt;A59,A122&lt;=A59+'Summary'!$B$10*12,MOD(A122-A59,'Summary'!$B$11)=0),I59,0)+IF(AND(A122&gt;A60,A122&lt;=A60+'Summary'!$B$10*12,MOD(A122-A60,'Summary'!$B$11)=0),I60,0)+IF(AND(A122&gt;A61,A122&lt;=A61+'Summary'!$B$10*12,MOD(A122-A61,'Summary'!$B$11)=0),I61,0)+IF(AND(A122&gt;A62,A122&lt;=A62+'Summary'!$B$10*12,MOD(A122-A62,'Summary'!$B$11)=0),I62,0)+IF(AND(A122&gt;A63,A122&lt;=A63+'Summary'!$B$10*12,MOD(A122-A63,'Summary'!$B$11)=0),I63,0)+IF(AND(A122&gt;A64,A122&lt;=A64+'Summary'!$B$10*12,MOD(A122-A64,'Summary'!$B$11)=0),I64,0)+IF(AND(A122&gt;A65,A122&lt;=A65+'Summary'!$B$10*12,MOD(A122-A65,'Summary'!$B$11)=0),I65,0)+IF(AND(A122&gt;A66,A122&lt;=A66+'Summary'!$B$10*12,MOD(A122-A66,'Summary'!$B$11)=0),I66,0)+IF(AND(A122&gt;A67,A122&lt;=A67+'Summary'!$B$10*12,MOD(A122-A67,'Summary'!$B$11)=0),I67,0)+IF(AND(A122&gt;A68,A122&lt;=A68+'Summary'!$B$10*12,MOD(A122-A68,'Summary'!$B$11)=0),I68,0)+IF(AND(A122&gt;A69,A122&lt;=A69+'Summary'!$B$10*12,MOD(A122-A69,'Summary'!$B$11)=0),I69,0)+IF(AND(A122&gt;A70,A122&lt;=A70+'Summary'!$B$10*12,MOD(A122-A70,'Summary'!$B$11)=0),I70,0)+IF(AND(A122&gt;A71,A122&lt;=A71+'Summary'!$B$10*12,MOD(A122-A71,'Summary'!$B$11)=0),I71,0)+IF(AND(A122&gt;A72,A122&lt;=A72+'Summary'!$B$10*12,MOD(A122-A72,'Summary'!$B$11)=0),I72,0)+IF(AND(A122&gt;A73,A122&lt;=A73+'Summary'!$B$10*12,MOD(A122-A73,'Summary'!$B$11)=0),I73,0)+IF(AND(A122&gt;A74,A122&lt;=A74+'Summary'!$B$10*12,MOD(A122-A74,'Summary'!$B$11)=0),I74,0)+IF(AND(A122&gt;A75,A122&lt;=A75+'Summary'!$B$10*12,MOD(A122-A75,'Summary'!$B$11)=0),I75,0)+IF(AND(A122&gt;A76,A122&lt;=A76+'Summary'!$B$10*12,MOD(A122-A76,'Summary'!$B$11)=0),I76,0)+IF(AND(A122&gt;A77,A122&lt;=A77+'Summary'!$B$10*12,MOD(A122-A77,'Summary'!$B$11)=0),I77,0)+IF(AND(A122&gt;A78,A122&lt;=A78+'Summary'!$B$10*12,MOD(A122-A78,'Summary'!$B$11)=0),I78,0)+IF(AND(A122&gt;A79,A122&lt;=A79+'Summary'!$B$10*12,MOD(A122-A79,'Summary'!$B$11)=0),I79,0)+IF(AND(A122&gt;A80,A122&lt;=A80+'Summary'!$B$10*12,MOD(A122-A80,'Summary'!$B$11)=0),I80,0)+IF(AND(A122&gt;A81,A122&lt;=A81+'Summary'!$B$10*12,MOD(A122-A81,'Summary'!$B$11)=0),I81,0)+IF(AND(A122&gt;A82,A122&lt;=A82+'Summary'!$B$10*12,MOD(A122-A82,'Summary'!$B$11)=0),I82,0)+IF(AND(A122&gt;A83,A122&lt;=A83+'Summary'!$B$10*12,MOD(A122-A83,'Summary'!$B$11)=0),I83,0)+IF(AND(A122&gt;A84,A122&lt;=A84+'Summary'!$B$10*12,MOD(A122-A84,'Summary'!$B$11)=0),I84,0)+IF(AND(A122&gt;A85,A122&lt;=A85+'Summary'!$B$10*12,MOD(A122-A85,'Summary'!$B$11)=0),I85,0)+IF(AND(A122&gt;A86,A122&lt;=A86+'Summary'!$B$10*12,MOD(A122-A86,'Summary'!$B$11)=0),I86,0)+IF(AND(A122&gt;A87,A122&lt;=A87+'Summary'!$B$10*12,MOD(A122-A87,'Summary'!$B$11)=0),I87,0)+IF(AND(A122&gt;A88,A122&lt;=A88+'Summary'!$B$10*12,MOD(A122-A88,'Summary'!$B$11)=0),I88,0)+IF(AND(A122&gt;A89,A122&lt;=A89+'Summary'!$B$10*12,MOD(A122-A89,'Summary'!$B$11)=0),I89,0)+IF(AND(A122&gt;A90,A122&lt;=A90+'Summary'!$B$10*12,MOD(A122-A90,'Summary'!$B$11)=0),I90,0)+IF(AND(A122&gt;A91,A122&lt;=A91+'Summary'!$B$10*12,MOD(A122-A91,'Summary'!$B$11)=0),I91,0)+IF(AND(A122&gt;A92,A122&lt;=A92+'Summary'!$B$10*12,MOD(A122-A92,'Summary'!$B$11)=0),I92,0)+IF(AND(A122&gt;A93,A122&lt;=A93+'Summary'!$B$10*12,MOD(A122-A93,'Summary'!$B$11)=0),I93,0)+IF(AND(A122&gt;A94,A122&lt;=A94+'Summary'!$B$10*12,MOD(A122-A94,'Summary'!$B$11)=0),I94,0)+IF(AND(A122&gt;A95,A122&lt;=A95+'Summary'!$B$10*12,MOD(A122-A95,'Summary'!$B$11)=0),I95,0)+IF(AND(A122&gt;A96,A122&lt;=A96+'Summary'!$B$10*12,MOD(A122-A96,'Summary'!$B$11)=0),I96,0)+IF(AND(A122&gt;A97,A122&lt;=A97+'Summary'!$B$10*12,MOD(A122-A97,'Summary'!$B$11)=0),I97,0)+IF(AND(A122&gt;A98,A122&lt;=A98+'Summary'!$B$10*12,MOD(A122-A98,'Summary'!$B$11)=0),I98,0)+IF(AND(A122&gt;A99,A122&lt;=A99+'Summary'!$B$10*12,MOD(A122-A99,'Summary'!$B$11)=0),I99,0)+IF(AND(A122&gt;A100,A122&lt;=A100+'Summary'!$B$10*12,MOD(A122-A100,'Summary'!$B$11)=0),I100,0)+IF(AND(A122&gt;A101,A122&lt;=A101+'Summary'!$B$10*12,MOD(A122-A101,'Summary'!$B$11)=0),I101,0)+IF(AND(A122&gt;A102,A122&lt;=A102+'Summary'!$B$10*12,MOD(A122-A102,'Summary'!$B$11)=0),I102,0)+IF(AND(A122&gt;A103,A122&lt;=A103+'Summary'!$B$10*12,MOD(A122-A103,'Summary'!$B$11)=0),I103,0)+IF(AND(A122&gt;A104,A122&lt;=A104+'Summary'!$B$10*12,MOD(A122-A104,'Summary'!$B$11)=0),I104,0)+IF(AND(A122&gt;A105,A122&lt;=A105+'Summary'!$B$10*12,MOD(A122-A105,'Summary'!$B$11)=0),I105,0)+IF(AND(A122&gt;A106,A122&lt;=A106+'Summary'!$B$10*12,MOD(A122-A106,'Summary'!$B$11)=0),I106,0)+IF(AND(A122&gt;A107,A122&lt;=A107+'Summary'!$B$10*12,MOD(A122-A107,'Summary'!$B$11)=0),I107,0)+IF(AND(A122&gt;A108,A122&lt;=A108+'Summary'!$B$10*12,MOD(A122-A108,'Summary'!$B$11)=0),I108,0)+IF(AND(A122&gt;A109,A122&lt;=A109+'Summary'!$B$10*12,MOD(A122-A109,'Summary'!$B$11)=0),I109,0)+IF(AND(A122&gt;A110,A122&lt;=A110+'Summary'!$B$10*12,MOD(A122-A110,'Summary'!$B$11)=0),I110,0)+IF(AND(A122&gt;A111,A122&lt;=A111+'Summary'!$B$10*12,MOD(A122-A111,'Summary'!$B$11)=0),I111,0)+IF(AND(A122&gt;A112,A122&lt;=A112+'Summary'!$B$10*12,MOD(A122-A112,'Summary'!$B$11)=0),I112,0)+IF(AND(A122&gt;A113,A122&lt;=A113+'Summary'!$B$10*12,MOD(A122-A113,'Summary'!$B$11)=0),I113,0)+IF(AND(A122&gt;A114,A122&lt;=A114+'Summary'!$B$10*12,MOD(A122-A114,'Summary'!$B$11)=0),I114,0)+IF(AND(A122&gt;A115,A122&lt;=A115+'Summary'!$B$10*12,MOD(A122-A115,'Summary'!$B$11)=0),I115,0)+IF(AND(A122&gt;A116,A122&lt;=A116+'Summary'!$B$10*12,MOD(A122-A116,'Summary'!$B$11)=0),I116,0)+IF(AND(A122&gt;A117,A122&lt;=A117+'Summary'!$B$10*12,MOD(A122-A117,'Summary'!$B$11)=0),I117,0)+IF(AND(A122&gt;A118,A122&lt;=A118+'Summary'!$B$10*12,MOD(A122-A118,'Summary'!$B$11)=0),I118,0)+IF(AND(A122&gt;A119,A122&lt;=A119+'Summary'!$B$10*12,MOD(A122-A119,'Summary'!$B$11)=0),I119,0)+IF(AND(A122&gt;A120,A122&lt;=A120+'Summary'!$B$10*12,MOD(A122-A120,'Summary'!$B$11)=0),I120,0)+IF(AND(A122&gt;A121,A122&lt;=A121+'Summary'!$B$10*12,MOD(A122-A121,'Summary'!$B$11)=0),I121,0))*'Summary'!$B$8/2</x:f>
        <x:v>301.0951533330712</x:v>
      </x:c>
      <x:c r="G122" s="62" t="n">
        <x:f>IF(A122=A8+'Summary'!$B$10*12,I8,0)+IF(A122=A9+'Summary'!$B$10*12,I9,0)+IF(A122=A10+'Summary'!$B$10*12,I10,0)+IF(A122=A11+'Summary'!$B$10*12,I11,0)+IF(A122=A12+'Summary'!$B$10*12,I12,0)+IF(A122=A13+'Summary'!$B$10*12,I13,0)+IF(A122=A14+'Summary'!$B$10*12,I14,0)+IF(A122=A15+'Summary'!$B$10*12,I15,0)+IF(A122=A16+'Summary'!$B$10*12,I16,0)+IF(A122=A17+'Summary'!$B$10*12,I17,0)+IF(A122=A18+'Summary'!$B$10*12,I18,0)+IF(A122=A19+'Summary'!$B$10*12,I19,0)+IF(A122=A20+'Summary'!$B$10*12,I20,0)+IF(A122=A21+'Summary'!$B$10*12,I21,0)+IF(A122=A22+'Summary'!$B$10*12,I22,0)+IF(A122=A23+'Summary'!$B$10*12,I23,0)+IF(A122=A24+'Summary'!$B$10*12,I24,0)+IF(A122=A25+'Summary'!$B$10*12,I25,0)+IF(A122=A26+'Summary'!$B$10*12,I26,0)+IF(A122=A27+'Summary'!$B$10*12,I27,0)+IF(A122=A28+'Summary'!$B$10*12,I28,0)+IF(A122=A29+'Summary'!$B$10*12,I29,0)+IF(A122=A30+'Summary'!$B$10*12,I30,0)+IF(A122=A31+'Summary'!$B$10*12,I31,0)+IF(A122=A32+'Summary'!$B$10*12,I32,0)+IF(A122=A33+'Summary'!$B$10*12,I33,0)+IF(A122=A34+'Summary'!$B$10*12,I34,0)+IF(A122=A35+'Summary'!$B$10*12,I35,0)+IF(A122=A36+'Summary'!$B$10*12,I36,0)+IF(A122=A37+'Summary'!$B$10*12,I37,0)+IF(A122=A38+'Summary'!$B$10*12,I38,0)+IF(A122=A39+'Summary'!$B$10*12,I39,0)+IF(A122=A40+'Summary'!$B$10*12,I40,0)+IF(A122=A41+'Summary'!$B$10*12,I41,0)+IF(A122=A42+'Summary'!$B$10*12,I42,0)+IF(A122=A43+'Summary'!$B$10*12,I43,0)+IF(A122=A44+'Summary'!$B$10*12,I44,0)+IF(A122=A45+'Summary'!$B$10*12,I45,0)+IF(A122=A46+'Summary'!$B$10*12,I46,0)+IF(A122=A47+'Summary'!$B$10*12,I47,0)+IF(A122=A48+'Summary'!$B$10*12,I48,0)+IF(A122=A49+'Summary'!$B$10*12,I49,0)+IF(A122=A50+'Summary'!$B$10*12,I50,0)+IF(A122=A51+'Summary'!$B$10*12,I51,0)+IF(A122=A52+'Summary'!$B$10*12,I52,0)+IF(A122=A53+'Summary'!$B$10*12,I53,0)+IF(A122=A54+'Summary'!$B$10*12,I54,0)+IF(A122=A55+'Summary'!$B$10*12,I55,0)+IF(A122=A56+'Summary'!$B$10*12,I56,0)+IF(A122=A57+'Summary'!$B$10*12,I57,0)+IF(A122=A58+'Summary'!$B$10*12,I58,0)+IF(A122=A59+'Summary'!$B$10*12,I59,0)+IF(A122=A60+'Summary'!$B$10*12,I60,0)+IF(A122=A61+'Summary'!$B$10*12,I61,0)+IF(A122=A62+'Summary'!$B$10*12,I62,0)+IF(A122=A63+'Summary'!$B$10*12,I63,0)+IF(A122=A64+'Summary'!$B$10*12,I64,0)+IF(A122=A65+'Summary'!$B$10*12,I65,0)+IF(A122=A66+'Summary'!$B$10*12,I66,0)+IF(A122=A67+'Summary'!$B$10*12,I67,0)+IF(A122=A68+'Summary'!$B$10*12,I68,0)+IF(A122=A69+'Summary'!$B$10*12,I69,0)+IF(A122=A70+'Summary'!$B$10*12,I70,0)+IF(A122=A71+'Summary'!$B$10*12,I71,0)+IF(A122=A72+'Summary'!$B$10*12,I72,0)+IF(A122=A73+'Summary'!$B$10*12,I73,0)+IF(A122=A74+'Summary'!$B$10*12,I74,0)+IF(A122=A75+'Summary'!$B$10*12,I75,0)+IF(A122=A76+'Summary'!$B$10*12,I76,0)+IF(A122=A77+'Summary'!$B$10*12,I77,0)+IF(A122=A78+'Summary'!$B$10*12,I78,0)+IF(A122=A79+'Summary'!$B$10*12,I79,0)+IF(A122=A80+'Summary'!$B$10*12,I80,0)+IF(A122=A81+'Summary'!$B$10*12,I81,0)+IF(A122=A82+'Summary'!$B$10*12,I82,0)+IF(A122=A83+'Summary'!$B$10*12,I83,0)+IF(A122=A84+'Summary'!$B$10*12,I84,0)+IF(A122=A85+'Summary'!$B$10*12,I85,0)+IF(A122=A86+'Summary'!$B$10*12,I86,0)+IF(A122=A87+'Summary'!$B$10*12,I87,0)+IF(A122=A88+'Summary'!$B$10*12,I88,0)+IF(A122=A89+'Summary'!$B$10*12,I89,0)+IF(A122=A90+'Summary'!$B$10*12,I90,0)+IF(A122=A91+'Summary'!$B$10*12,I91,0)+IF(A122=A92+'Summary'!$B$10*12,I92,0)+IF(A122=A93+'Summary'!$B$10*12,I93,0)+IF(A122=A94+'Summary'!$B$10*12,I94,0)+IF(A122=A95+'Summary'!$B$10*12,I95,0)+IF(A122=A96+'Summary'!$B$10*12,I96,0)+IF(A122=A97+'Summary'!$B$10*12,I97,0)+IF(A122=A98+'Summary'!$B$10*12,I98,0)+IF(A122=A99+'Summary'!$B$10*12,I99,0)+IF(A122=A100+'Summary'!$B$10*12,I100,0)+IF(A122=A101+'Summary'!$B$10*12,I101,0)+IF(A122=A102+'Summary'!$B$10*12,I102,0)+IF(A122=A103+'Summary'!$B$10*12,I103,0)+IF(A122=A104+'Summary'!$B$10*12,I104,0)+IF(A122=A105+'Summary'!$B$10*12,I105,0)+IF(A122=A106+'Summary'!$B$10*12,I106,0)+IF(A122=A107+'Summary'!$B$10*12,I107,0)+IF(A122=A108+'Summary'!$B$10*12,I108,0)+IF(A122=A109+'Summary'!$B$10*12,I109,0)+IF(A122=A110+'Summary'!$B$10*12,I110,0)+IF(A122=A111+'Summary'!$B$10*12,I111,0)+IF(A122=A112+'Summary'!$B$10*12,I112,0)+IF(A122=A113+'Summary'!$B$10*12,I113,0)+IF(A122=A114+'Summary'!$B$10*12,I114,0)+IF(A122=A115+'Summary'!$B$10*12,I115,0)+IF(A122=A116+'Summary'!$B$10*12,I116,0)+IF(A122=A117+'Summary'!$B$10*12,I117,0)+IF(A122=A118+'Summary'!$B$10*12,I118,0)+IF(A122=A119+'Summary'!$B$10*12,I119,0)+IF(A122=A120+'Summary'!$B$10*12,I120,0)+IF(A122=A121+'Summary'!$B$10*12,I121,0)</x:f>
        <x:v>333.5882121509844</x:v>
      </x:c>
      <x:c r="H122" s="62" t="n">
        <x:f>E122+D122+F122+G122</x:f>
        <x:v>734.6833654840557</x:v>
      </x:c>
      <x:c r="I122" s="62" t="n">
        <x:f>IF(B122,IF(H122&gt;='Summary'!$B$12,H122,0),0)</x:f>
        <x:v>734.6833654840557</x:v>
      </x:c>
      <x:c r="J122" s="62" t="n">
        <x:f>H122-I122</x:f>
        <x:v>0</x:v>
      </x:c>
      <x:c r="K122" s="63" t="n">
        <x:f>J122+IF(A8+'Summary'!$B$10*12&gt;A122,I8,0)+IF(A9+'Summary'!$B$10*12&gt;A122,I9,0)+IF(A10+'Summary'!$B$10*12&gt;A122,I10,0)+IF(A11+'Summary'!$B$10*12&gt;A122,I11,0)+IF(A12+'Summary'!$B$10*12&gt;A122,I12,0)+IF(A13+'Summary'!$B$10*12&gt;A122,I13,0)+IF(A14+'Summary'!$B$10*12&gt;A122,I14,0)+IF(A15+'Summary'!$B$10*12&gt;A122,I15,0)+IF(A16+'Summary'!$B$10*12&gt;A122,I16,0)+IF(A17+'Summary'!$B$10*12&gt;A122,I17,0)+IF(A18+'Summary'!$B$10*12&gt;A122,I18,0)+IF(A19+'Summary'!$B$10*12&gt;A122,I19,0)+IF(A20+'Summary'!$B$10*12&gt;A122,I20,0)+IF(A21+'Summary'!$B$10*12&gt;A122,I21,0)+IF(A22+'Summary'!$B$10*12&gt;A122,I22,0)+IF(A23+'Summary'!$B$10*12&gt;A122,I23,0)+IF(A24+'Summary'!$B$10*12&gt;A122,I24,0)+IF(A25+'Summary'!$B$10*12&gt;A122,I25,0)+IF(A26+'Summary'!$B$10*12&gt;A122,I26,0)+IF(A27+'Summary'!$B$10*12&gt;A122,I27,0)+IF(A28+'Summary'!$B$10*12&gt;A122,I28,0)+IF(A29+'Summary'!$B$10*12&gt;A122,I29,0)+IF(A30+'Summary'!$B$10*12&gt;A122,I30,0)+IF(A31+'Summary'!$B$10*12&gt;A122,I31,0)+IF(A32+'Summary'!$B$10*12&gt;A122,I32,0)+IF(A33+'Summary'!$B$10*12&gt;A122,I33,0)+IF(A34+'Summary'!$B$10*12&gt;A122,I34,0)+IF(A35+'Summary'!$B$10*12&gt;A122,I35,0)+IF(A36+'Summary'!$B$10*12&gt;A122,I36,0)+IF(A37+'Summary'!$B$10*12&gt;A122,I37,0)+IF(A38+'Summary'!$B$10*12&gt;A122,I38,0)+IF(A39+'Summary'!$B$10*12&gt;A122,I39,0)+IF(A40+'Summary'!$B$10*12&gt;A122,I40,0)+IF(A41+'Summary'!$B$10*12&gt;A122,I41,0)+IF(A42+'Summary'!$B$10*12&gt;A122,I42,0)+IF(A43+'Summary'!$B$10*12&gt;A122,I43,0)+IF(A44+'Summary'!$B$10*12&gt;A122,I44,0)+IF(A45+'Summary'!$B$10*12&gt;A122,I45,0)+IF(A46+'Summary'!$B$10*12&gt;A122,I46,0)+IF(A47+'Summary'!$B$10*12&gt;A122,I47,0)+IF(A48+'Summary'!$B$10*12&gt;A122,I48,0)+IF(A49+'Summary'!$B$10*12&gt;A122,I49,0)+IF(A50+'Summary'!$B$10*12&gt;A122,I50,0)+IF(A51+'Summary'!$B$10*12&gt;A122,I51,0)+IF(A52+'Summary'!$B$10*12&gt;A122,I52,0)+IF(A53+'Summary'!$B$10*12&gt;A122,I53,0)+IF(A54+'Summary'!$B$10*12&gt;A122,I54,0)+IF(A55+'Summary'!$B$10*12&gt;A122,I55,0)+IF(A56+'Summary'!$B$10*12&gt;A122,I56,0)+IF(A57+'Summary'!$B$10*12&gt;A122,I57,0)+IF(A58+'Summary'!$B$10*12&gt;A122,I58,0)+IF(A59+'Summary'!$B$10*12&gt;A122,I59,0)+IF(A60+'Summary'!$B$10*12&gt;A122,I60,0)+IF(A61+'Summary'!$B$10*12&gt;A122,I61,0)+IF(A62+'Summary'!$B$10*12&gt;A122,I62,0)+IF(A63+'Summary'!$B$10*12&gt;A122,I63,0)+IF(A64+'Summary'!$B$10*12&gt;A122,I64,0)+IF(A65+'Summary'!$B$10*12&gt;A122,I65,0)+IF(A66+'Summary'!$B$10*12&gt;A122,I66,0)+IF(A67+'Summary'!$B$10*12&gt;A122,I67,0)+IF(A68+'Summary'!$B$10*12&gt;A122,I68,0)+IF(A69+'Summary'!$B$10*12&gt;A122,I69,0)+IF(A70+'Summary'!$B$10*12&gt;A122,I70,0)+IF(A71+'Summary'!$B$10*12&gt;A122,I71,0)+IF(A72+'Summary'!$B$10*12&gt;A122,I72,0)+IF(A73+'Summary'!$B$10*12&gt;A122,I73,0)+IF(A74+'Summary'!$B$10*12&gt;A122,I74,0)+IF(A75+'Summary'!$B$10*12&gt;A122,I75,0)+IF(A76+'Summary'!$B$10*12&gt;A122,I76,0)+IF(A77+'Summary'!$B$10*12&gt;A122,I77,0)+IF(A78+'Summary'!$B$10*12&gt;A122,I78,0)+IF(A79+'Summary'!$B$10*12&gt;A122,I79,0)+IF(A80+'Summary'!$B$10*12&gt;A122,I80,0)+IF(A81+'Summary'!$B$10*12&gt;A122,I81,0)+IF(A82+'Summary'!$B$10*12&gt;A122,I82,0)+IF(A83+'Summary'!$B$10*12&gt;A122,I83,0)+IF(A84+'Summary'!$B$10*12&gt;A122,I84,0)+IF(A85+'Summary'!$B$10*12&gt;A122,I85,0)+IF(A86+'Summary'!$B$10*12&gt;A122,I86,0)+IF(A87+'Summary'!$B$10*12&gt;A122,I87,0)+IF(A88+'Summary'!$B$10*12&gt;A122,I88,0)+IF(A89+'Summary'!$B$10*12&gt;A122,I89,0)+IF(A90+'Summary'!$B$10*12&gt;A122,I90,0)+IF(A91+'Summary'!$B$10*12&gt;A122,I91,0)+IF(A92+'Summary'!$B$10*12&gt;A122,I92,0)+IF(A93+'Summary'!$B$10*12&gt;A122,I93,0)+IF(A94+'Summary'!$B$10*12&gt;A122,I94,0)+IF(A95+'Summary'!$B$10*12&gt;A122,I95,0)+IF(A96+'Summary'!$B$10*12&gt;A122,I96,0)+IF(A97+'Summary'!$B$10*12&gt;A122,I97,0)+IF(A98+'Summary'!$B$10*12&gt;A122,I98,0)+IF(A99+'Summary'!$B$10*12&gt;A122,I99,0)+IF(A100+'Summary'!$B$10*12&gt;A122,I100,0)+IF(A101+'Summary'!$B$10*12&gt;A122,I101,0)+IF(A102+'Summary'!$B$10*12&gt;A122,I102,0)+IF(A103+'Summary'!$B$10*12&gt;A122,I103,0)+IF(A104+'Summary'!$B$10*12&gt;A122,I104,0)+IF(A105+'Summary'!$B$10*12&gt;A122,I105,0)+IF(A106+'Summary'!$B$10*12&gt;A122,I106,0)+IF(A107+'Summary'!$B$10*12&gt;A122,I107,0)+IF(A108+'Summary'!$B$10*12&gt;A122,I108,0)+IF(A109+'Summary'!$B$10*12&gt;A122,I109,0)+IF(A110+'Summary'!$B$10*12&gt;A122,I110,0)+IF(A111+'Summary'!$B$10*12&gt;A122,I111,0)+IF(A112+'Summary'!$B$10*12&gt;A122,I112,0)+IF(A113+'Summary'!$B$10*12&gt;A122,I113,0)+IF(A114+'Summary'!$B$10*12&gt;A122,I114,0)+IF(A115+'Summary'!$B$10*12&gt;A122,I115,0)+IF(A116+'Summary'!$B$10*12&gt;A122,I116,0)+IF(A117+'Summary'!$B$10*12&gt;A122,I117,0)+IF(A118+'Summary'!$B$10*12&gt;A122,I118,0)+IF(A119+'Summary'!$B$10*12&gt;A122,I119,0)+IF(A120+'Summary'!$B$10*12&gt;A122,I120,0)+IF(A121+'Summary'!$B$10*12&gt;A122,I121,0)+IF(A122+'Summary'!$B$10*12&gt;A122,I122,0)</x:f>
        <x:v>27860.122135347017</x:v>
      </x:c>
    </x:row>
    <x:row r="123">
      <x:c r="A123" s="55" t="n">
        <x:v>115</x:v>
      </x:c>
      <x:c r="B123" s="71" t="b">
        <x:f>A123&lt;='Summary'!$B$9*12</x:f>
        <x:v>1</x:v>
      </x:c>
      <x:c r="C123" s="62" t="n">
        <x:f>IF(A123=0,IF('Summary'!$B$6&gt;=5,'Summary'!$B$6,0),C122)+IF(A123&lt;'Summary'!$B$9*12,IF('Summary'!$B$7&gt;=5,'Summary'!$B$7,0),0)</x:f>
        <x:v>21600</x:v>
      </x:c>
      <x:c r="D123" s="62" t="n">
        <x:f>IF(A123=0,IF('Summary'!$B$6&gt;=5,'Summary'!$B$6,0),0)+IF(A123&lt;'Summary'!$B$9*12,IF('Summary'!$B$7&gt;=5,'Summary'!$B$7,0),0)</x:f>
        <x:v>100</x:v>
      </x:c>
      <x:c r="E123" s="62" t="n">
        <x:f>J122</x:f>
        <x:v>0</x:v>
      </x:c>
      <x:c r="F123" s="62" t="n">
        <x:f>(IF(AND(A123&gt;A8,A123&lt;=A8+'Summary'!$B$10*12,MOD(A123-A8,'Summary'!$B$11)=0),I8,0)+IF(AND(A123&gt;A9,A123&lt;=A9+'Summary'!$B$10*12,MOD(A123-A9,'Summary'!$B$11)=0),I9,0)+IF(AND(A123&gt;A10,A123&lt;=A10+'Summary'!$B$10*12,MOD(A123-A10,'Summary'!$B$11)=0),I10,0)+IF(AND(A123&gt;A11,A123&lt;=A11+'Summary'!$B$10*12,MOD(A123-A11,'Summary'!$B$11)=0),I11,0)+IF(AND(A123&gt;A12,A123&lt;=A12+'Summary'!$B$10*12,MOD(A123-A12,'Summary'!$B$11)=0),I12,0)+IF(AND(A123&gt;A13,A123&lt;=A13+'Summary'!$B$10*12,MOD(A123-A13,'Summary'!$B$11)=0),I13,0)+IF(AND(A123&gt;A14,A123&lt;=A14+'Summary'!$B$10*12,MOD(A123-A14,'Summary'!$B$11)=0),I14,0)+IF(AND(A123&gt;A15,A123&lt;=A15+'Summary'!$B$10*12,MOD(A123-A15,'Summary'!$B$11)=0),I15,0)+IF(AND(A123&gt;A16,A123&lt;=A16+'Summary'!$B$10*12,MOD(A123-A16,'Summary'!$B$11)=0),I16,0)+IF(AND(A123&gt;A17,A123&lt;=A17+'Summary'!$B$10*12,MOD(A123-A17,'Summary'!$B$11)=0),I17,0)+IF(AND(A123&gt;A18,A123&lt;=A18+'Summary'!$B$10*12,MOD(A123-A18,'Summary'!$B$11)=0),I18,0)+IF(AND(A123&gt;A19,A123&lt;=A19+'Summary'!$B$10*12,MOD(A123-A19,'Summary'!$B$11)=0),I19,0)+IF(AND(A123&gt;A20,A123&lt;=A20+'Summary'!$B$10*12,MOD(A123-A20,'Summary'!$B$11)=0),I20,0)+IF(AND(A123&gt;A21,A123&lt;=A21+'Summary'!$B$10*12,MOD(A123-A21,'Summary'!$B$11)=0),I21,0)+IF(AND(A123&gt;A22,A123&lt;=A22+'Summary'!$B$10*12,MOD(A123-A22,'Summary'!$B$11)=0),I22,0)+IF(AND(A123&gt;A23,A123&lt;=A23+'Summary'!$B$10*12,MOD(A123-A23,'Summary'!$B$11)=0),I23,0)+IF(AND(A123&gt;A24,A123&lt;=A24+'Summary'!$B$10*12,MOD(A123-A24,'Summary'!$B$11)=0),I24,0)+IF(AND(A123&gt;A25,A123&lt;=A25+'Summary'!$B$10*12,MOD(A123-A25,'Summary'!$B$11)=0),I25,0)+IF(AND(A123&gt;A26,A123&lt;=A26+'Summary'!$B$10*12,MOD(A123-A26,'Summary'!$B$11)=0),I26,0)+IF(AND(A123&gt;A27,A123&lt;=A27+'Summary'!$B$10*12,MOD(A123-A27,'Summary'!$B$11)=0),I27,0)+IF(AND(A123&gt;A28,A123&lt;=A28+'Summary'!$B$10*12,MOD(A123-A28,'Summary'!$B$11)=0),I28,0)+IF(AND(A123&gt;A29,A123&lt;=A29+'Summary'!$B$10*12,MOD(A123-A29,'Summary'!$B$11)=0),I29,0)+IF(AND(A123&gt;A30,A123&lt;=A30+'Summary'!$B$10*12,MOD(A123-A30,'Summary'!$B$11)=0),I30,0)+IF(AND(A123&gt;A31,A123&lt;=A31+'Summary'!$B$10*12,MOD(A123-A31,'Summary'!$B$11)=0),I31,0)+IF(AND(A123&gt;A32,A123&lt;=A32+'Summary'!$B$10*12,MOD(A123-A32,'Summary'!$B$11)=0),I32,0)+IF(AND(A123&gt;A33,A123&lt;=A33+'Summary'!$B$10*12,MOD(A123-A33,'Summary'!$B$11)=0),I33,0)+IF(AND(A123&gt;A34,A123&lt;=A34+'Summary'!$B$10*12,MOD(A123-A34,'Summary'!$B$11)=0),I34,0)+IF(AND(A123&gt;A35,A123&lt;=A35+'Summary'!$B$10*12,MOD(A123-A35,'Summary'!$B$11)=0),I35,0)+IF(AND(A123&gt;A36,A123&lt;=A36+'Summary'!$B$10*12,MOD(A123-A36,'Summary'!$B$11)=0),I36,0)+IF(AND(A123&gt;A37,A123&lt;=A37+'Summary'!$B$10*12,MOD(A123-A37,'Summary'!$B$11)=0),I37,0)+IF(AND(A123&gt;A38,A123&lt;=A38+'Summary'!$B$10*12,MOD(A123-A38,'Summary'!$B$11)=0),I38,0)+IF(AND(A123&gt;A39,A123&lt;=A39+'Summary'!$B$10*12,MOD(A123-A39,'Summary'!$B$11)=0),I39,0)+IF(AND(A123&gt;A40,A123&lt;=A40+'Summary'!$B$10*12,MOD(A123-A40,'Summary'!$B$11)=0),I40,0)+IF(AND(A123&gt;A41,A123&lt;=A41+'Summary'!$B$10*12,MOD(A123-A41,'Summary'!$B$11)=0),I41,0)+IF(AND(A123&gt;A42,A123&lt;=A42+'Summary'!$B$10*12,MOD(A123-A42,'Summary'!$B$11)=0),I42,0)+IF(AND(A123&gt;A43,A123&lt;=A43+'Summary'!$B$10*12,MOD(A123-A43,'Summary'!$B$11)=0),I43,0)+IF(AND(A123&gt;A44,A123&lt;=A44+'Summary'!$B$10*12,MOD(A123-A44,'Summary'!$B$11)=0),I44,0)+IF(AND(A123&gt;A45,A123&lt;=A45+'Summary'!$B$10*12,MOD(A123-A45,'Summary'!$B$11)=0),I45,0)+IF(AND(A123&gt;A46,A123&lt;=A46+'Summary'!$B$10*12,MOD(A123-A46,'Summary'!$B$11)=0),I46,0)+IF(AND(A123&gt;A47,A123&lt;=A47+'Summary'!$B$10*12,MOD(A123-A47,'Summary'!$B$11)=0),I47,0)+IF(AND(A123&gt;A48,A123&lt;=A48+'Summary'!$B$10*12,MOD(A123-A48,'Summary'!$B$11)=0),I48,0)+IF(AND(A123&gt;A49,A123&lt;=A49+'Summary'!$B$10*12,MOD(A123-A49,'Summary'!$B$11)=0),I49,0)+IF(AND(A123&gt;A50,A123&lt;=A50+'Summary'!$B$10*12,MOD(A123-A50,'Summary'!$B$11)=0),I50,0)+IF(AND(A123&gt;A51,A123&lt;=A51+'Summary'!$B$10*12,MOD(A123-A51,'Summary'!$B$11)=0),I51,0)+IF(AND(A123&gt;A52,A123&lt;=A52+'Summary'!$B$10*12,MOD(A123-A52,'Summary'!$B$11)=0),I52,0)+IF(AND(A123&gt;A53,A123&lt;=A53+'Summary'!$B$10*12,MOD(A123-A53,'Summary'!$B$11)=0),I53,0)+IF(AND(A123&gt;A54,A123&lt;=A54+'Summary'!$B$10*12,MOD(A123-A54,'Summary'!$B$11)=0),I54,0)+IF(AND(A123&gt;A55,A123&lt;=A55+'Summary'!$B$10*12,MOD(A123-A55,'Summary'!$B$11)=0),I55,0)+IF(AND(A123&gt;A56,A123&lt;=A56+'Summary'!$B$10*12,MOD(A123-A56,'Summary'!$B$11)=0),I56,0)+IF(AND(A123&gt;A57,A123&lt;=A57+'Summary'!$B$10*12,MOD(A123-A57,'Summary'!$B$11)=0),I57,0)+IF(AND(A123&gt;A58,A123&lt;=A58+'Summary'!$B$10*12,MOD(A123-A58,'Summary'!$B$11)=0),I58,0)+IF(AND(A123&gt;A59,A123&lt;=A59+'Summary'!$B$10*12,MOD(A123-A59,'Summary'!$B$11)=0),I59,0)+IF(AND(A123&gt;A60,A123&lt;=A60+'Summary'!$B$10*12,MOD(A123-A60,'Summary'!$B$11)=0),I60,0)+IF(AND(A123&gt;A61,A123&lt;=A61+'Summary'!$B$10*12,MOD(A123-A61,'Summary'!$B$11)=0),I61,0)+IF(AND(A123&gt;A62,A123&lt;=A62+'Summary'!$B$10*12,MOD(A123-A62,'Summary'!$B$11)=0),I62,0)+IF(AND(A123&gt;A63,A123&lt;=A63+'Summary'!$B$10*12,MOD(A123-A63,'Summary'!$B$11)=0),I63,0)+IF(AND(A123&gt;A64,A123&lt;=A64+'Summary'!$B$10*12,MOD(A123-A64,'Summary'!$B$11)=0),I64,0)+IF(AND(A123&gt;A65,A123&lt;=A65+'Summary'!$B$10*12,MOD(A123-A65,'Summary'!$B$11)=0),I65,0)+IF(AND(A123&gt;A66,A123&lt;=A66+'Summary'!$B$10*12,MOD(A123-A66,'Summary'!$B$11)=0),I66,0)+IF(AND(A123&gt;A67,A123&lt;=A67+'Summary'!$B$10*12,MOD(A123-A67,'Summary'!$B$11)=0),I67,0)+IF(AND(A123&gt;A68,A123&lt;=A68+'Summary'!$B$10*12,MOD(A123-A68,'Summary'!$B$11)=0),I68,0)+IF(AND(A123&gt;A69,A123&lt;=A69+'Summary'!$B$10*12,MOD(A123-A69,'Summary'!$B$11)=0),I69,0)+IF(AND(A123&gt;A70,A123&lt;=A70+'Summary'!$B$10*12,MOD(A123-A70,'Summary'!$B$11)=0),I70,0)+IF(AND(A123&gt;A71,A123&lt;=A71+'Summary'!$B$10*12,MOD(A123-A71,'Summary'!$B$11)=0),I71,0)+IF(AND(A123&gt;A72,A123&lt;=A72+'Summary'!$B$10*12,MOD(A123-A72,'Summary'!$B$11)=0),I72,0)+IF(AND(A123&gt;A73,A123&lt;=A73+'Summary'!$B$10*12,MOD(A123-A73,'Summary'!$B$11)=0),I73,0)+IF(AND(A123&gt;A74,A123&lt;=A74+'Summary'!$B$10*12,MOD(A123-A74,'Summary'!$B$11)=0),I74,0)+IF(AND(A123&gt;A75,A123&lt;=A75+'Summary'!$B$10*12,MOD(A123-A75,'Summary'!$B$11)=0),I75,0)+IF(AND(A123&gt;A76,A123&lt;=A76+'Summary'!$B$10*12,MOD(A123-A76,'Summary'!$B$11)=0),I76,0)+IF(AND(A123&gt;A77,A123&lt;=A77+'Summary'!$B$10*12,MOD(A123-A77,'Summary'!$B$11)=0),I77,0)+IF(AND(A123&gt;A78,A123&lt;=A78+'Summary'!$B$10*12,MOD(A123-A78,'Summary'!$B$11)=0),I78,0)+IF(AND(A123&gt;A79,A123&lt;=A79+'Summary'!$B$10*12,MOD(A123-A79,'Summary'!$B$11)=0),I79,0)+IF(AND(A123&gt;A80,A123&lt;=A80+'Summary'!$B$10*12,MOD(A123-A80,'Summary'!$B$11)=0),I80,0)+IF(AND(A123&gt;A81,A123&lt;=A81+'Summary'!$B$10*12,MOD(A123-A81,'Summary'!$B$11)=0),I81,0)+IF(AND(A123&gt;A82,A123&lt;=A82+'Summary'!$B$10*12,MOD(A123-A82,'Summary'!$B$11)=0),I82,0)+IF(AND(A123&gt;A83,A123&lt;=A83+'Summary'!$B$10*12,MOD(A123-A83,'Summary'!$B$11)=0),I83,0)+IF(AND(A123&gt;A84,A123&lt;=A84+'Summary'!$B$10*12,MOD(A123-A84,'Summary'!$B$11)=0),I84,0)+IF(AND(A123&gt;A85,A123&lt;=A85+'Summary'!$B$10*12,MOD(A123-A85,'Summary'!$B$11)=0),I85,0)+IF(AND(A123&gt;A86,A123&lt;=A86+'Summary'!$B$10*12,MOD(A123-A86,'Summary'!$B$11)=0),I86,0)+IF(AND(A123&gt;A87,A123&lt;=A87+'Summary'!$B$10*12,MOD(A123-A87,'Summary'!$B$11)=0),I87,0)+IF(AND(A123&gt;A88,A123&lt;=A88+'Summary'!$B$10*12,MOD(A123-A88,'Summary'!$B$11)=0),I88,0)+IF(AND(A123&gt;A89,A123&lt;=A89+'Summary'!$B$10*12,MOD(A123-A89,'Summary'!$B$11)=0),I89,0)+IF(AND(A123&gt;A90,A123&lt;=A90+'Summary'!$B$10*12,MOD(A123-A90,'Summary'!$B$11)=0),I90,0)+IF(AND(A123&gt;A91,A123&lt;=A91+'Summary'!$B$10*12,MOD(A123-A91,'Summary'!$B$11)=0),I91,0)+IF(AND(A123&gt;A92,A123&lt;=A92+'Summary'!$B$10*12,MOD(A123-A92,'Summary'!$B$11)=0),I92,0)+IF(AND(A123&gt;A93,A123&lt;=A93+'Summary'!$B$10*12,MOD(A123-A93,'Summary'!$B$11)=0),I93,0)+IF(AND(A123&gt;A94,A123&lt;=A94+'Summary'!$B$10*12,MOD(A123-A94,'Summary'!$B$11)=0),I94,0)+IF(AND(A123&gt;A95,A123&lt;=A95+'Summary'!$B$10*12,MOD(A123-A95,'Summary'!$B$11)=0),I95,0)+IF(AND(A123&gt;A96,A123&lt;=A96+'Summary'!$B$10*12,MOD(A123-A96,'Summary'!$B$11)=0),I96,0)+IF(AND(A123&gt;A97,A123&lt;=A97+'Summary'!$B$10*12,MOD(A123-A97,'Summary'!$B$11)=0),I97,0)+IF(AND(A123&gt;A98,A123&lt;=A98+'Summary'!$B$10*12,MOD(A123-A98,'Summary'!$B$11)=0),I98,0)+IF(AND(A123&gt;A99,A123&lt;=A99+'Summary'!$B$10*12,MOD(A123-A99,'Summary'!$B$11)=0),I99,0)+IF(AND(A123&gt;A100,A123&lt;=A100+'Summary'!$B$10*12,MOD(A123-A100,'Summary'!$B$11)=0),I100,0)+IF(AND(A123&gt;A101,A123&lt;=A101+'Summary'!$B$10*12,MOD(A123-A101,'Summary'!$B$11)=0),I101,0)+IF(AND(A123&gt;A102,A123&lt;=A102+'Summary'!$B$10*12,MOD(A123-A102,'Summary'!$B$11)=0),I102,0)+IF(AND(A123&gt;A103,A123&lt;=A103+'Summary'!$B$10*12,MOD(A123-A103,'Summary'!$B$11)=0),I103,0)+IF(AND(A123&gt;A104,A123&lt;=A104+'Summary'!$B$10*12,MOD(A123-A104,'Summary'!$B$11)=0),I104,0)+IF(AND(A123&gt;A105,A123&lt;=A105+'Summary'!$B$10*12,MOD(A123-A105,'Summary'!$B$11)=0),I105,0)+IF(AND(A123&gt;A106,A123&lt;=A106+'Summary'!$B$10*12,MOD(A123-A106,'Summary'!$B$11)=0),I106,0)+IF(AND(A123&gt;A107,A123&lt;=A107+'Summary'!$B$10*12,MOD(A123-A107,'Summary'!$B$11)=0),I107,0)+IF(AND(A123&gt;A108,A123&lt;=A108+'Summary'!$B$10*12,MOD(A123-A108,'Summary'!$B$11)=0),I108,0)+IF(AND(A123&gt;A109,A123&lt;=A109+'Summary'!$B$10*12,MOD(A123-A109,'Summary'!$B$11)=0),I109,0)+IF(AND(A123&gt;A110,A123&lt;=A110+'Summary'!$B$10*12,MOD(A123-A110,'Summary'!$B$11)=0),I110,0)+IF(AND(A123&gt;A111,A123&lt;=A111+'Summary'!$B$10*12,MOD(A123-A111,'Summary'!$B$11)=0),I111,0)+IF(AND(A123&gt;A112,A123&lt;=A112+'Summary'!$B$10*12,MOD(A123-A112,'Summary'!$B$11)=0),I112,0)+IF(AND(A123&gt;A113,A123&lt;=A113+'Summary'!$B$10*12,MOD(A123-A113,'Summary'!$B$11)=0),I113,0)+IF(AND(A123&gt;A114,A123&lt;=A114+'Summary'!$B$10*12,MOD(A123-A114,'Summary'!$B$11)=0),I114,0)+IF(AND(A123&gt;A115,A123&lt;=A115+'Summary'!$B$10*12,MOD(A123-A115,'Summary'!$B$11)=0),I115,0)+IF(AND(A123&gt;A116,A123&lt;=A116+'Summary'!$B$10*12,MOD(A123-A116,'Summary'!$B$11)=0),I116,0)+IF(AND(A123&gt;A117,A123&lt;=A117+'Summary'!$B$10*12,MOD(A123-A117,'Summary'!$B$11)=0),I117,0)+IF(AND(A123&gt;A118,A123&lt;=A118+'Summary'!$B$10*12,MOD(A123-A118,'Summary'!$B$11)=0),I118,0)+IF(AND(A123&gt;A119,A123&lt;=A119+'Summary'!$B$10*12,MOD(A123-A119,'Summary'!$B$11)=0),I119,0)+IF(AND(A123&gt;A120,A123&lt;=A120+'Summary'!$B$10*12,MOD(A123-A120,'Summary'!$B$11)=0),I120,0)+IF(AND(A123&gt;A121,A123&lt;=A121+'Summary'!$B$10*12,MOD(A123-A121,'Summary'!$B$11)=0),I121,0)+IF(AND(A123&gt;A122,A123&lt;=A122+'Summary'!$B$10*12,MOD(A123-A122,'Summary'!$B$11)=0),I122,0))*'Summary'!$B$8/2</x:f>
        <x:v>41.92854970647758</x:v>
      </x:c>
      <x:c r="G123" s="62" t="n">
        <x:f>IF(A123=A8+'Summary'!$B$10*12,I8,0)+IF(A123=A9+'Summary'!$B$10*12,I9,0)+IF(A123=A10+'Summary'!$B$10*12,I10,0)+IF(A123=A11+'Summary'!$B$10*12,I11,0)+IF(A123=A12+'Summary'!$B$10*12,I12,0)+IF(A123=A13+'Summary'!$B$10*12,I13,0)+IF(A123=A14+'Summary'!$B$10*12,I14,0)+IF(A123=A15+'Summary'!$B$10*12,I15,0)+IF(A123=A16+'Summary'!$B$10*12,I16,0)+IF(A123=A17+'Summary'!$B$10*12,I17,0)+IF(A123=A18+'Summary'!$B$10*12,I18,0)+IF(A123=A19+'Summary'!$B$10*12,I19,0)+IF(A123=A20+'Summary'!$B$10*12,I20,0)+IF(A123=A21+'Summary'!$B$10*12,I21,0)+IF(A123=A22+'Summary'!$B$10*12,I22,0)+IF(A123=A23+'Summary'!$B$10*12,I23,0)+IF(A123=A24+'Summary'!$B$10*12,I24,0)+IF(A123=A25+'Summary'!$B$10*12,I25,0)+IF(A123=A26+'Summary'!$B$10*12,I26,0)+IF(A123=A27+'Summary'!$B$10*12,I27,0)+IF(A123=A28+'Summary'!$B$10*12,I28,0)+IF(A123=A29+'Summary'!$B$10*12,I29,0)+IF(A123=A30+'Summary'!$B$10*12,I30,0)+IF(A123=A31+'Summary'!$B$10*12,I31,0)+IF(A123=A32+'Summary'!$B$10*12,I32,0)+IF(A123=A33+'Summary'!$B$10*12,I33,0)+IF(A123=A34+'Summary'!$B$10*12,I34,0)+IF(A123=A35+'Summary'!$B$10*12,I35,0)+IF(A123=A36+'Summary'!$B$10*12,I36,0)+IF(A123=A37+'Summary'!$B$10*12,I37,0)+IF(A123=A38+'Summary'!$B$10*12,I38,0)+IF(A123=A39+'Summary'!$B$10*12,I39,0)+IF(A123=A40+'Summary'!$B$10*12,I40,0)+IF(A123=A41+'Summary'!$B$10*12,I41,0)+IF(A123=A42+'Summary'!$B$10*12,I42,0)+IF(A123=A43+'Summary'!$B$10*12,I43,0)+IF(A123=A44+'Summary'!$B$10*12,I44,0)+IF(A123=A45+'Summary'!$B$10*12,I45,0)+IF(A123=A46+'Summary'!$B$10*12,I46,0)+IF(A123=A47+'Summary'!$B$10*12,I47,0)+IF(A123=A48+'Summary'!$B$10*12,I48,0)+IF(A123=A49+'Summary'!$B$10*12,I49,0)+IF(A123=A50+'Summary'!$B$10*12,I50,0)+IF(A123=A51+'Summary'!$B$10*12,I51,0)+IF(A123=A52+'Summary'!$B$10*12,I52,0)+IF(A123=A53+'Summary'!$B$10*12,I53,0)+IF(A123=A54+'Summary'!$B$10*12,I54,0)+IF(A123=A55+'Summary'!$B$10*12,I55,0)+IF(A123=A56+'Summary'!$B$10*12,I56,0)+IF(A123=A57+'Summary'!$B$10*12,I57,0)+IF(A123=A58+'Summary'!$B$10*12,I58,0)+IF(A123=A59+'Summary'!$B$10*12,I59,0)+IF(A123=A60+'Summary'!$B$10*12,I60,0)+IF(A123=A61+'Summary'!$B$10*12,I61,0)+IF(A123=A62+'Summary'!$B$10*12,I62,0)+IF(A123=A63+'Summary'!$B$10*12,I63,0)+IF(A123=A64+'Summary'!$B$10*12,I64,0)+IF(A123=A65+'Summary'!$B$10*12,I65,0)+IF(A123=A66+'Summary'!$B$10*12,I66,0)+IF(A123=A67+'Summary'!$B$10*12,I67,0)+IF(A123=A68+'Summary'!$B$10*12,I68,0)+IF(A123=A69+'Summary'!$B$10*12,I69,0)+IF(A123=A70+'Summary'!$B$10*12,I70,0)+IF(A123=A71+'Summary'!$B$10*12,I71,0)+IF(A123=A72+'Summary'!$B$10*12,I72,0)+IF(A123=A73+'Summary'!$B$10*12,I73,0)+IF(A123=A74+'Summary'!$B$10*12,I74,0)+IF(A123=A75+'Summary'!$B$10*12,I75,0)+IF(A123=A76+'Summary'!$B$10*12,I76,0)+IF(A123=A77+'Summary'!$B$10*12,I77,0)+IF(A123=A78+'Summary'!$B$10*12,I78,0)+IF(A123=A79+'Summary'!$B$10*12,I79,0)+IF(A123=A80+'Summary'!$B$10*12,I80,0)+IF(A123=A81+'Summary'!$B$10*12,I81,0)+IF(A123=A82+'Summary'!$B$10*12,I82,0)+IF(A123=A83+'Summary'!$B$10*12,I83,0)+IF(A123=A84+'Summary'!$B$10*12,I84,0)+IF(A123=A85+'Summary'!$B$10*12,I85,0)+IF(A123=A86+'Summary'!$B$10*12,I86,0)+IF(A123=A87+'Summary'!$B$10*12,I87,0)+IF(A123=A88+'Summary'!$B$10*12,I88,0)+IF(A123=A89+'Summary'!$B$10*12,I89,0)+IF(A123=A90+'Summary'!$B$10*12,I90,0)+IF(A123=A91+'Summary'!$B$10*12,I91,0)+IF(A123=A92+'Summary'!$B$10*12,I92,0)+IF(A123=A93+'Summary'!$B$10*12,I93,0)+IF(A123=A94+'Summary'!$B$10*12,I94,0)+IF(A123=A95+'Summary'!$B$10*12,I95,0)+IF(A123=A96+'Summary'!$B$10*12,I96,0)+IF(A123=A97+'Summary'!$B$10*12,I97,0)+IF(A123=A98+'Summary'!$B$10*12,I98,0)+IF(A123=A99+'Summary'!$B$10*12,I99,0)+IF(A123=A100+'Summary'!$B$10*12,I100,0)+IF(A123=A101+'Summary'!$B$10*12,I101,0)+IF(A123=A102+'Summary'!$B$10*12,I102,0)+IF(A123=A103+'Summary'!$B$10*12,I103,0)+IF(A123=A104+'Summary'!$B$10*12,I104,0)+IF(A123=A105+'Summary'!$B$10*12,I105,0)+IF(A123=A106+'Summary'!$B$10*12,I106,0)+IF(A123=A107+'Summary'!$B$10*12,I107,0)+IF(A123=A108+'Summary'!$B$10*12,I108,0)+IF(A123=A109+'Summary'!$B$10*12,I109,0)+IF(A123=A110+'Summary'!$B$10*12,I110,0)+IF(A123=A111+'Summary'!$B$10*12,I111,0)+IF(A123=A112+'Summary'!$B$10*12,I112,0)+IF(A123=A113+'Summary'!$B$10*12,I113,0)+IF(A123=A114+'Summary'!$B$10*12,I114,0)+IF(A123=A115+'Summary'!$B$10*12,I115,0)+IF(A123=A116+'Summary'!$B$10*12,I116,0)+IF(A123=A117+'Summary'!$B$10*12,I117,0)+IF(A123=A118+'Summary'!$B$10*12,I118,0)+IF(A123=A119+'Summary'!$B$10*12,I119,0)+IF(A123=A120+'Summary'!$B$10*12,I120,0)+IF(A123=A121+'Summary'!$B$10*12,I121,0)+IF(A123=A122+'Summary'!$B$10*12,I122,0)</x:f>
        <x:v>118.04104526401468</x:v>
      </x:c>
      <x:c r="H123" s="62" t="n">
        <x:f>E123+D123+F123+G123</x:f>
        <x:v>259.96959497049227</x:v>
      </x:c>
      <x:c r="I123" s="62" t="n">
        <x:f>IF(B123,IF(H123&gt;='Summary'!$B$12,H123,0),0)</x:f>
        <x:v>259.96959497049227</x:v>
      </x:c>
      <x:c r="J123" s="62" t="n">
        <x:f>H123-I123</x:f>
        <x:v>0</x:v>
      </x:c>
      <x:c r="K123" s="63" t="n">
        <x:f>J123+IF(A8+'Summary'!$B$10*12&gt;A123,I8,0)+IF(A9+'Summary'!$B$10*12&gt;A123,I9,0)+IF(A10+'Summary'!$B$10*12&gt;A123,I10,0)+IF(A11+'Summary'!$B$10*12&gt;A123,I11,0)+IF(A12+'Summary'!$B$10*12&gt;A123,I12,0)+IF(A13+'Summary'!$B$10*12&gt;A123,I13,0)+IF(A14+'Summary'!$B$10*12&gt;A123,I14,0)+IF(A15+'Summary'!$B$10*12&gt;A123,I15,0)+IF(A16+'Summary'!$B$10*12&gt;A123,I16,0)+IF(A17+'Summary'!$B$10*12&gt;A123,I17,0)+IF(A18+'Summary'!$B$10*12&gt;A123,I18,0)+IF(A19+'Summary'!$B$10*12&gt;A123,I19,0)+IF(A20+'Summary'!$B$10*12&gt;A123,I20,0)+IF(A21+'Summary'!$B$10*12&gt;A123,I21,0)+IF(A22+'Summary'!$B$10*12&gt;A123,I22,0)+IF(A23+'Summary'!$B$10*12&gt;A123,I23,0)+IF(A24+'Summary'!$B$10*12&gt;A123,I24,0)+IF(A25+'Summary'!$B$10*12&gt;A123,I25,0)+IF(A26+'Summary'!$B$10*12&gt;A123,I26,0)+IF(A27+'Summary'!$B$10*12&gt;A123,I27,0)+IF(A28+'Summary'!$B$10*12&gt;A123,I28,0)+IF(A29+'Summary'!$B$10*12&gt;A123,I29,0)+IF(A30+'Summary'!$B$10*12&gt;A123,I30,0)+IF(A31+'Summary'!$B$10*12&gt;A123,I31,0)+IF(A32+'Summary'!$B$10*12&gt;A123,I32,0)+IF(A33+'Summary'!$B$10*12&gt;A123,I33,0)+IF(A34+'Summary'!$B$10*12&gt;A123,I34,0)+IF(A35+'Summary'!$B$10*12&gt;A123,I35,0)+IF(A36+'Summary'!$B$10*12&gt;A123,I36,0)+IF(A37+'Summary'!$B$10*12&gt;A123,I37,0)+IF(A38+'Summary'!$B$10*12&gt;A123,I38,0)+IF(A39+'Summary'!$B$10*12&gt;A123,I39,0)+IF(A40+'Summary'!$B$10*12&gt;A123,I40,0)+IF(A41+'Summary'!$B$10*12&gt;A123,I41,0)+IF(A42+'Summary'!$B$10*12&gt;A123,I42,0)+IF(A43+'Summary'!$B$10*12&gt;A123,I43,0)+IF(A44+'Summary'!$B$10*12&gt;A123,I44,0)+IF(A45+'Summary'!$B$10*12&gt;A123,I45,0)+IF(A46+'Summary'!$B$10*12&gt;A123,I46,0)+IF(A47+'Summary'!$B$10*12&gt;A123,I47,0)+IF(A48+'Summary'!$B$10*12&gt;A123,I48,0)+IF(A49+'Summary'!$B$10*12&gt;A123,I49,0)+IF(A50+'Summary'!$B$10*12&gt;A123,I50,0)+IF(A51+'Summary'!$B$10*12&gt;A123,I51,0)+IF(A52+'Summary'!$B$10*12&gt;A123,I52,0)+IF(A53+'Summary'!$B$10*12&gt;A123,I53,0)+IF(A54+'Summary'!$B$10*12&gt;A123,I54,0)+IF(A55+'Summary'!$B$10*12&gt;A123,I55,0)+IF(A56+'Summary'!$B$10*12&gt;A123,I56,0)+IF(A57+'Summary'!$B$10*12&gt;A123,I57,0)+IF(A58+'Summary'!$B$10*12&gt;A123,I58,0)+IF(A59+'Summary'!$B$10*12&gt;A123,I59,0)+IF(A60+'Summary'!$B$10*12&gt;A123,I60,0)+IF(A61+'Summary'!$B$10*12&gt;A123,I61,0)+IF(A62+'Summary'!$B$10*12&gt;A123,I62,0)+IF(A63+'Summary'!$B$10*12&gt;A123,I63,0)+IF(A64+'Summary'!$B$10*12&gt;A123,I64,0)+IF(A65+'Summary'!$B$10*12&gt;A123,I65,0)+IF(A66+'Summary'!$B$10*12&gt;A123,I66,0)+IF(A67+'Summary'!$B$10*12&gt;A123,I67,0)+IF(A68+'Summary'!$B$10*12&gt;A123,I68,0)+IF(A69+'Summary'!$B$10*12&gt;A123,I69,0)+IF(A70+'Summary'!$B$10*12&gt;A123,I70,0)+IF(A71+'Summary'!$B$10*12&gt;A123,I71,0)+IF(A72+'Summary'!$B$10*12&gt;A123,I72,0)+IF(A73+'Summary'!$B$10*12&gt;A123,I73,0)+IF(A74+'Summary'!$B$10*12&gt;A123,I74,0)+IF(A75+'Summary'!$B$10*12&gt;A123,I75,0)+IF(A76+'Summary'!$B$10*12&gt;A123,I76,0)+IF(A77+'Summary'!$B$10*12&gt;A123,I77,0)+IF(A78+'Summary'!$B$10*12&gt;A123,I78,0)+IF(A79+'Summary'!$B$10*12&gt;A123,I79,0)+IF(A80+'Summary'!$B$10*12&gt;A123,I80,0)+IF(A81+'Summary'!$B$10*12&gt;A123,I81,0)+IF(A82+'Summary'!$B$10*12&gt;A123,I82,0)+IF(A83+'Summary'!$B$10*12&gt;A123,I83,0)+IF(A84+'Summary'!$B$10*12&gt;A123,I84,0)+IF(A85+'Summary'!$B$10*12&gt;A123,I85,0)+IF(A86+'Summary'!$B$10*12&gt;A123,I86,0)+IF(A87+'Summary'!$B$10*12&gt;A123,I87,0)+IF(A88+'Summary'!$B$10*12&gt;A123,I88,0)+IF(A89+'Summary'!$B$10*12&gt;A123,I89,0)+IF(A90+'Summary'!$B$10*12&gt;A123,I90,0)+IF(A91+'Summary'!$B$10*12&gt;A123,I91,0)+IF(A92+'Summary'!$B$10*12&gt;A123,I92,0)+IF(A93+'Summary'!$B$10*12&gt;A123,I93,0)+IF(A94+'Summary'!$B$10*12&gt;A123,I94,0)+IF(A95+'Summary'!$B$10*12&gt;A123,I95,0)+IF(A96+'Summary'!$B$10*12&gt;A123,I96,0)+IF(A97+'Summary'!$B$10*12&gt;A123,I97,0)+IF(A98+'Summary'!$B$10*12&gt;A123,I98,0)+IF(A99+'Summary'!$B$10*12&gt;A123,I99,0)+IF(A100+'Summary'!$B$10*12&gt;A123,I100,0)+IF(A101+'Summary'!$B$10*12&gt;A123,I101,0)+IF(A102+'Summary'!$B$10*12&gt;A123,I102,0)+IF(A103+'Summary'!$B$10*12&gt;A123,I103,0)+IF(A104+'Summary'!$B$10*12&gt;A123,I104,0)+IF(A105+'Summary'!$B$10*12&gt;A123,I105,0)+IF(A106+'Summary'!$B$10*12&gt;A123,I106,0)+IF(A107+'Summary'!$B$10*12&gt;A123,I107,0)+IF(A108+'Summary'!$B$10*12&gt;A123,I108,0)+IF(A109+'Summary'!$B$10*12&gt;A123,I109,0)+IF(A110+'Summary'!$B$10*12&gt;A123,I110,0)+IF(A111+'Summary'!$B$10*12&gt;A123,I111,0)+IF(A112+'Summary'!$B$10*12&gt;A123,I112,0)+IF(A113+'Summary'!$B$10*12&gt;A123,I113,0)+IF(A114+'Summary'!$B$10*12&gt;A123,I114,0)+IF(A115+'Summary'!$B$10*12&gt;A123,I115,0)+IF(A116+'Summary'!$B$10*12&gt;A123,I116,0)+IF(A117+'Summary'!$B$10*12&gt;A123,I117,0)+IF(A118+'Summary'!$B$10*12&gt;A123,I118,0)+IF(A119+'Summary'!$B$10*12&gt;A123,I119,0)+IF(A120+'Summary'!$B$10*12&gt;A123,I120,0)+IF(A121+'Summary'!$B$10*12&gt;A123,I121,0)+IF(A122+'Summary'!$B$10*12&gt;A123,I122,0)+IF(A123+'Summary'!$B$10*12&gt;A123,I123,0)</x:f>
        <x:v>28002.050685053495</x:v>
      </x:c>
    </x:row>
    <x:row r="124">
      <x:c r="A124" s="55" t="n">
        <x:v>116</x:v>
      </x:c>
      <x:c r="B124" s="71" t="b">
        <x:f>A124&lt;='Summary'!$B$9*12</x:f>
        <x:v>1</x:v>
      </x:c>
      <x:c r="C124" s="62" t="n">
        <x:f>IF(A124=0,IF('Summary'!$B$6&gt;=5,'Summary'!$B$6,0),C123)+IF(A124&lt;'Summary'!$B$9*12,IF('Summary'!$B$7&gt;=5,'Summary'!$B$7,0),0)</x:f>
        <x:v>21700</x:v>
      </x:c>
      <x:c r="D124" s="62" t="n">
        <x:f>IF(A124=0,IF('Summary'!$B$6&gt;=5,'Summary'!$B$6,0),0)+IF(A124&lt;'Summary'!$B$9*12,IF('Summary'!$B$7&gt;=5,'Summary'!$B$7,0),0)</x:f>
        <x:v>100</x:v>
      </x:c>
      <x:c r="E124" s="62" t="n">
        <x:f>J123</x:f>
        <x:v>0</x:v>
      </x:c>
      <x:c r="F124" s="62" t="n">
        <x:f>(IF(AND(A124&gt;A8,A124&lt;=A8+'Summary'!$B$10*12,MOD(A124-A8,'Summary'!$B$11)=0),I8,0)+IF(AND(A124&gt;A9,A124&lt;=A9+'Summary'!$B$10*12,MOD(A124-A9,'Summary'!$B$11)=0),I9,0)+IF(AND(A124&gt;A10,A124&lt;=A10+'Summary'!$B$10*12,MOD(A124-A10,'Summary'!$B$11)=0),I10,0)+IF(AND(A124&gt;A11,A124&lt;=A11+'Summary'!$B$10*12,MOD(A124-A11,'Summary'!$B$11)=0),I11,0)+IF(AND(A124&gt;A12,A124&lt;=A12+'Summary'!$B$10*12,MOD(A124-A12,'Summary'!$B$11)=0),I12,0)+IF(AND(A124&gt;A13,A124&lt;=A13+'Summary'!$B$10*12,MOD(A124-A13,'Summary'!$B$11)=0),I13,0)+IF(AND(A124&gt;A14,A124&lt;=A14+'Summary'!$B$10*12,MOD(A124-A14,'Summary'!$B$11)=0),I14,0)+IF(AND(A124&gt;A15,A124&lt;=A15+'Summary'!$B$10*12,MOD(A124-A15,'Summary'!$B$11)=0),I15,0)+IF(AND(A124&gt;A16,A124&lt;=A16+'Summary'!$B$10*12,MOD(A124-A16,'Summary'!$B$11)=0),I16,0)+IF(AND(A124&gt;A17,A124&lt;=A17+'Summary'!$B$10*12,MOD(A124-A17,'Summary'!$B$11)=0),I17,0)+IF(AND(A124&gt;A18,A124&lt;=A18+'Summary'!$B$10*12,MOD(A124-A18,'Summary'!$B$11)=0),I18,0)+IF(AND(A124&gt;A19,A124&lt;=A19+'Summary'!$B$10*12,MOD(A124-A19,'Summary'!$B$11)=0),I19,0)+IF(AND(A124&gt;A20,A124&lt;=A20+'Summary'!$B$10*12,MOD(A124-A20,'Summary'!$B$11)=0),I20,0)+IF(AND(A124&gt;A21,A124&lt;=A21+'Summary'!$B$10*12,MOD(A124-A21,'Summary'!$B$11)=0),I21,0)+IF(AND(A124&gt;A22,A124&lt;=A22+'Summary'!$B$10*12,MOD(A124-A22,'Summary'!$B$11)=0),I22,0)+IF(AND(A124&gt;A23,A124&lt;=A23+'Summary'!$B$10*12,MOD(A124-A23,'Summary'!$B$11)=0),I23,0)+IF(AND(A124&gt;A24,A124&lt;=A24+'Summary'!$B$10*12,MOD(A124-A24,'Summary'!$B$11)=0),I24,0)+IF(AND(A124&gt;A25,A124&lt;=A25+'Summary'!$B$10*12,MOD(A124-A25,'Summary'!$B$11)=0),I25,0)+IF(AND(A124&gt;A26,A124&lt;=A26+'Summary'!$B$10*12,MOD(A124-A26,'Summary'!$B$11)=0),I26,0)+IF(AND(A124&gt;A27,A124&lt;=A27+'Summary'!$B$10*12,MOD(A124-A27,'Summary'!$B$11)=0),I27,0)+IF(AND(A124&gt;A28,A124&lt;=A28+'Summary'!$B$10*12,MOD(A124-A28,'Summary'!$B$11)=0),I28,0)+IF(AND(A124&gt;A29,A124&lt;=A29+'Summary'!$B$10*12,MOD(A124-A29,'Summary'!$B$11)=0),I29,0)+IF(AND(A124&gt;A30,A124&lt;=A30+'Summary'!$B$10*12,MOD(A124-A30,'Summary'!$B$11)=0),I30,0)+IF(AND(A124&gt;A31,A124&lt;=A31+'Summary'!$B$10*12,MOD(A124-A31,'Summary'!$B$11)=0),I31,0)+IF(AND(A124&gt;A32,A124&lt;=A32+'Summary'!$B$10*12,MOD(A124-A32,'Summary'!$B$11)=0),I32,0)+IF(AND(A124&gt;A33,A124&lt;=A33+'Summary'!$B$10*12,MOD(A124-A33,'Summary'!$B$11)=0),I33,0)+IF(AND(A124&gt;A34,A124&lt;=A34+'Summary'!$B$10*12,MOD(A124-A34,'Summary'!$B$11)=0),I34,0)+IF(AND(A124&gt;A35,A124&lt;=A35+'Summary'!$B$10*12,MOD(A124-A35,'Summary'!$B$11)=0),I35,0)+IF(AND(A124&gt;A36,A124&lt;=A36+'Summary'!$B$10*12,MOD(A124-A36,'Summary'!$B$11)=0),I36,0)+IF(AND(A124&gt;A37,A124&lt;=A37+'Summary'!$B$10*12,MOD(A124-A37,'Summary'!$B$11)=0),I37,0)+IF(AND(A124&gt;A38,A124&lt;=A38+'Summary'!$B$10*12,MOD(A124-A38,'Summary'!$B$11)=0),I38,0)+IF(AND(A124&gt;A39,A124&lt;=A39+'Summary'!$B$10*12,MOD(A124-A39,'Summary'!$B$11)=0),I39,0)+IF(AND(A124&gt;A40,A124&lt;=A40+'Summary'!$B$10*12,MOD(A124-A40,'Summary'!$B$11)=0),I40,0)+IF(AND(A124&gt;A41,A124&lt;=A41+'Summary'!$B$10*12,MOD(A124-A41,'Summary'!$B$11)=0),I41,0)+IF(AND(A124&gt;A42,A124&lt;=A42+'Summary'!$B$10*12,MOD(A124-A42,'Summary'!$B$11)=0),I42,0)+IF(AND(A124&gt;A43,A124&lt;=A43+'Summary'!$B$10*12,MOD(A124-A43,'Summary'!$B$11)=0),I43,0)+IF(AND(A124&gt;A44,A124&lt;=A44+'Summary'!$B$10*12,MOD(A124-A44,'Summary'!$B$11)=0),I44,0)+IF(AND(A124&gt;A45,A124&lt;=A45+'Summary'!$B$10*12,MOD(A124-A45,'Summary'!$B$11)=0),I45,0)+IF(AND(A124&gt;A46,A124&lt;=A46+'Summary'!$B$10*12,MOD(A124-A46,'Summary'!$B$11)=0),I46,0)+IF(AND(A124&gt;A47,A124&lt;=A47+'Summary'!$B$10*12,MOD(A124-A47,'Summary'!$B$11)=0),I47,0)+IF(AND(A124&gt;A48,A124&lt;=A48+'Summary'!$B$10*12,MOD(A124-A48,'Summary'!$B$11)=0),I48,0)+IF(AND(A124&gt;A49,A124&lt;=A49+'Summary'!$B$10*12,MOD(A124-A49,'Summary'!$B$11)=0),I49,0)+IF(AND(A124&gt;A50,A124&lt;=A50+'Summary'!$B$10*12,MOD(A124-A50,'Summary'!$B$11)=0),I50,0)+IF(AND(A124&gt;A51,A124&lt;=A51+'Summary'!$B$10*12,MOD(A124-A51,'Summary'!$B$11)=0),I51,0)+IF(AND(A124&gt;A52,A124&lt;=A52+'Summary'!$B$10*12,MOD(A124-A52,'Summary'!$B$11)=0),I52,0)+IF(AND(A124&gt;A53,A124&lt;=A53+'Summary'!$B$10*12,MOD(A124-A53,'Summary'!$B$11)=0),I53,0)+IF(AND(A124&gt;A54,A124&lt;=A54+'Summary'!$B$10*12,MOD(A124-A54,'Summary'!$B$11)=0),I54,0)+IF(AND(A124&gt;A55,A124&lt;=A55+'Summary'!$B$10*12,MOD(A124-A55,'Summary'!$B$11)=0),I55,0)+IF(AND(A124&gt;A56,A124&lt;=A56+'Summary'!$B$10*12,MOD(A124-A56,'Summary'!$B$11)=0),I56,0)+IF(AND(A124&gt;A57,A124&lt;=A57+'Summary'!$B$10*12,MOD(A124-A57,'Summary'!$B$11)=0),I57,0)+IF(AND(A124&gt;A58,A124&lt;=A58+'Summary'!$B$10*12,MOD(A124-A58,'Summary'!$B$11)=0),I58,0)+IF(AND(A124&gt;A59,A124&lt;=A59+'Summary'!$B$10*12,MOD(A124-A59,'Summary'!$B$11)=0),I59,0)+IF(AND(A124&gt;A60,A124&lt;=A60+'Summary'!$B$10*12,MOD(A124-A60,'Summary'!$B$11)=0),I60,0)+IF(AND(A124&gt;A61,A124&lt;=A61+'Summary'!$B$10*12,MOD(A124-A61,'Summary'!$B$11)=0),I61,0)+IF(AND(A124&gt;A62,A124&lt;=A62+'Summary'!$B$10*12,MOD(A124-A62,'Summary'!$B$11)=0),I62,0)+IF(AND(A124&gt;A63,A124&lt;=A63+'Summary'!$B$10*12,MOD(A124-A63,'Summary'!$B$11)=0),I63,0)+IF(AND(A124&gt;A64,A124&lt;=A64+'Summary'!$B$10*12,MOD(A124-A64,'Summary'!$B$11)=0),I64,0)+IF(AND(A124&gt;A65,A124&lt;=A65+'Summary'!$B$10*12,MOD(A124-A65,'Summary'!$B$11)=0),I65,0)+IF(AND(A124&gt;A66,A124&lt;=A66+'Summary'!$B$10*12,MOD(A124-A66,'Summary'!$B$11)=0),I66,0)+IF(AND(A124&gt;A67,A124&lt;=A67+'Summary'!$B$10*12,MOD(A124-A67,'Summary'!$B$11)=0),I67,0)+IF(AND(A124&gt;A68,A124&lt;=A68+'Summary'!$B$10*12,MOD(A124-A68,'Summary'!$B$11)=0),I68,0)+IF(AND(A124&gt;A69,A124&lt;=A69+'Summary'!$B$10*12,MOD(A124-A69,'Summary'!$B$11)=0),I69,0)+IF(AND(A124&gt;A70,A124&lt;=A70+'Summary'!$B$10*12,MOD(A124-A70,'Summary'!$B$11)=0),I70,0)+IF(AND(A124&gt;A71,A124&lt;=A71+'Summary'!$B$10*12,MOD(A124-A71,'Summary'!$B$11)=0),I71,0)+IF(AND(A124&gt;A72,A124&lt;=A72+'Summary'!$B$10*12,MOD(A124-A72,'Summary'!$B$11)=0),I72,0)+IF(AND(A124&gt;A73,A124&lt;=A73+'Summary'!$B$10*12,MOD(A124-A73,'Summary'!$B$11)=0),I73,0)+IF(AND(A124&gt;A74,A124&lt;=A74+'Summary'!$B$10*12,MOD(A124-A74,'Summary'!$B$11)=0),I74,0)+IF(AND(A124&gt;A75,A124&lt;=A75+'Summary'!$B$10*12,MOD(A124-A75,'Summary'!$B$11)=0),I75,0)+IF(AND(A124&gt;A76,A124&lt;=A76+'Summary'!$B$10*12,MOD(A124-A76,'Summary'!$B$11)=0),I76,0)+IF(AND(A124&gt;A77,A124&lt;=A77+'Summary'!$B$10*12,MOD(A124-A77,'Summary'!$B$11)=0),I77,0)+IF(AND(A124&gt;A78,A124&lt;=A78+'Summary'!$B$10*12,MOD(A124-A78,'Summary'!$B$11)=0),I78,0)+IF(AND(A124&gt;A79,A124&lt;=A79+'Summary'!$B$10*12,MOD(A124-A79,'Summary'!$B$11)=0),I79,0)+IF(AND(A124&gt;A80,A124&lt;=A80+'Summary'!$B$10*12,MOD(A124-A80,'Summary'!$B$11)=0),I80,0)+IF(AND(A124&gt;A81,A124&lt;=A81+'Summary'!$B$10*12,MOD(A124-A81,'Summary'!$B$11)=0),I81,0)+IF(AND(A124&gt;A82,A124&lt;=A82+'Summary'!$B$10*12,MOD(A124-A82,'Summary'!$B$11)=0),I82,0)+IF(AND(A124&gt;A83,A124&lt;=A83+'Summary'!$B$10*12,MOD(A124-A83,'Summary'!$B$11)=0),I83,0)+IF(AND(A124&gt;A84,A124&lt;=A84+'Summary'!$B$10*12,MOD(A124-A84,'Summary'!$B$11)=0),I84,0)+IF(AND(A124&gt;A85,A124&lt;=A85+'Summary'!$B$10*12,MOD(A124-A85,'Summary'!$B$11)=0),I85,0)+IF(AND(A124&gt;A86,A124&lt;=A86+'Summary'!$B$10*12,MOD(A124-A86,'Summary'!$B$11)=0),I86,0)+IF(AND(A124&gt;A87,A124&lt;=A87+'Summary'!$B$10*12,MOD(A124-A87,'Summary'!$B$11)=0),I87,0)+IF(AND(A124&gt;A88,A124&lt;=A88+'Summary'!$B$10*12,MOD(A124-A88,'Summary'!$B$11)=0),I88,0)+IF(AND(A124&gt;A89,A124&lt;=A89+'Summary'!$B$10*12,MOD(A124-A89,'Summary'!$B$11)=0),I89,0)+IF(AND(A124&gt;A90,A124&lt;=A90+'Summary'!$B$10*12,MOD(A124-A90,'Summary'!$B$11)=0),I90,0)+IF(AND(A124&gt;A91,A124&lt;=A91+'Summary'!$B$10*12,MOD(A124-A91,'Summary'!$B$11)=0),I91,0)+IF(AND(A124&gt;A92,A124&lt;=A92+'Summary'!$B$10*12,MOD(A124-A92,'Summary'!$B$11)=0),I92,0)+IF(AND(A124&gt;A93,A124&lt;=A93+'Summary'!$B$10*12,MOD(A124-A93,'Summary'!$B$11)=0),I93,0)+IF(AND(A124&gt;A94,A124&lt;=A94+'Summary'!$B$10*12,MOD(A124-A94,'Summary'!$B$11)=0),I94,0)+IF(AND(A124&gt;A95,A124&lt;=A95+'Summary'!$B$10*12,MOD(A124-A95,'Summary'!$B$11)=0),I95,0)+IF(AND(A124&gt;A96,A124&lt;=A96+'Summary'!$B$10*12,MOD(A124-A96,'Summary'!$B$11)=0),I96,0)+IF(AND(A124&gt;A97,A124&lt;=A97+'Summary'!$B$10*12,MOD(A124-A97,'Summary'!$B$11)=0),I97,0)+IF(AND(A124&gt;A98,A124&lt;=A98+'Summary'!$B$10*12,MOD(A124-A98,'Summary'!$B$11)=0),I98,0)+IF(AND(A124&gt;A99,A124&lt;=A99+'Summary'!$B$10*12,MOD(A124-A99,'Summary'!$B$11)=0),I99,0)+IF(AND(A124&gt;A100,A124&lt;=A100+'Summary'!$B$10*12,MOD(A124-A100,'Summary'!$B$11)=0),I100,0)+IF(AND(A124&gt;A101,A124&lt;=A101+'Summary'!$B$10*12,MOD(A124-A101,'Summary'!$B$11)=0),I101,0)+IF(AND(A124&gt;A102,A124&lt;=A102+'Summary'!$B$10*12,MOD(A124-A102,'Summary'!$B$11)=0),I102,0)+IF(AND(A124&gt;A103,A124&lt;=A103+'Summary'!$B$10*12,MOD(A124-A103,'Summary'!$B$11)=0),I103,0)+IF(AND(A124&gt;A104,A124&lt;=A104+'Summary'!$B$10*12,MOD(A124-A104,'Summary'!$B$11)=0),I104,0)+IF(AND(A124&gt;A105,A124&lt;=A105+'Summary'!$B$10*12,MOD(A124-A105,'Summary'!$B$11)=0),I105,0)+IF(AND(A124&gt;A106,A124&lt;=A106+'Summary'!$B$10*12,MOD(A124-A106,'Summary'!$B$11)=0),I106,0)+IF(AND(A124&gt;A107,A124&lt;=A107+'Summary'!$B$10*12,MOD(A124-A107,'Summary'!$B$11)=0),I107,0)+IF(AND(A124&gt;A108,A124&lt;=A108+'Summary'!$B$10*12,MOD(A124-A108,'Summary'!$B$11)=0),I108,0)+IF(AND(A124&gt;A109,A124&lt;=A109+'Summary'!$B$10*12,MOD(A124-A109,'Summary'!$B$11)=0),I109,0)+IF(AND(A124&gt;A110,A124&lt;=A110+'Summary'!$B$10*12,MOD(A124-A110,'Summary'!$B$11)=0),I110,0)+IF(AND(A124&gt;A111,A124&lt;=A111+'Summary'!$B$10*12,MOD(A124-A111,'Summary'!$B$11)=0),I111,0)+IF(AND(A124&gt;A112,A124&lt;=A112+'Summary'!$B$10*12,MOD(A124-A112,'Summary'!$B$11)=0),I112,0)+IF(AND(A124&gt;A113,A124&lt;=A113+'Summary'!$B$10*12,MOD(A124-A113,'Summary'!$B$11)=0),I113,0)+IF(AND(A124&gt;A114,A124&lt;=A114+'Summary'!$B$10*12,MOD(A124-A114,'Summary'!$B$11)=0),I114,0)+IF(AND(A124&gt;A115,A124&lt;=A115+'Summary'!$B$10*12,MOD(A124-A115,'Summary'!$B$11)=0),I115,0)+IF(AND(A124&gt;A116,A124&lt;=A116+'Summary'!$B$10*12,MOD(A124-A116,'Summary'!$B$11)=0),I116,0)+IF(AND(A124&gt;A117,A124&lt;=A117+'Summary'!$B$10*12,MOD(A124-A117,'Summary'!$B$11)=0),I117,0)+IF(AND(A124&gt;A118,A124&lt;=A118+'Summary'!$B$10*12,MOD(A124-A118,'Summary'!$B$11)=0),I118,0)+IF(AND(A124&gt;A119,A124&lt;=A119+'Summary'!$B$10*12,MOD(A124-A119,'Summary'!$B$11)=0),I119,0)+IF(AND(A124&gt;A120,A124&lt;=A120+'Summary'!$B$10*12,MOD(A124-A120,'Summary'!$B$11)=0),I120,0)+IF(AND(A124&gt;A121,A124&lt;=A121+'Summary'!$B$10*12,MOD(A124-A121,'Summary'!$B$11)=0),I121,0)+IF(AND(A124&gt;A122,A124&lt;=A122+'Summary'!$B$10*12,MOD(A124-A122,'Summary'!$B$11)=0),I122,0)+IF(AND(A124&gt;A123,A124&lt;=A123+'Summary'!$B$10*12,MOD(A124-A123,'Summary'!$B$11)=0),I123,0))*'Summary'!$B$8/2</x:f>
        <x:v>41.92854970647758</x:v>
      </x:c>
      <x:c r="G124" s="62" t="n">
        <x:f>IF(A124=A8+'Summary'!$B$10*12,I8,0)+IF(A124=A9+'Summary'!$B$10*12,I9,0)+IF(A124=A10+'Summary'!$B$10*12,I10,0)+IF(A124=A11+'Summary'!$B$10*12,I11,0)+IF(A124=A12+'Summary'!$B$10*12,I12,0)+IF(A124=A13+'Summary'!$B$10*12,I13,0)+IF(A124=A14+'Summary'!$B$10*12,I14,0)+IF(A124=A15+'Summary'!$B$10*12,I15,0)+IF(A124=A16+'Summary'!$B$10*12,I16,0)+IF(A124=A17+'Summary'!$B$10*12,I17,0)+IF(A124=A18+'Summary'!$B$10*12,I18,0)+IF(A124=A19+'Summary'!$B$10*12,I19,0)+IF(A124=A20+'Summary'!$B$10*12,I20,0)+IF(A124=A21+'Summary'!$B$10*12,I21,0)+IF(A124=A22+'Summary'!$B$10*12,I22,0)+IF(A124=A23+'Summary'!$B$10*12,I23,0)+IF(A124=A24+'Summary'!$B$10*12,I24,0)+IF(A124=A25+'Summary'!$B$10*12,I25,0)+IF(A124=A26+'Summary'!$B$10*12,I26,0)+IF(A124=A27+'Summary'!$B$10*12,I27,0)+IF(A124=A28+'Summary'!$B$10*12,I28,0)+IF(A124=A29+'Summary'!$B$10*12,I29,0)+IF(A124=A30+'Summary'!$B$10*12,I30,0)+IF(A124=A31+'Summary'!$B$10*12,I31,0)+IF(A124=A32+'Summary'!$B$10*12,I32,0)+IF(A124=A33+'Summary'!$B$10*12,I33,0)+IF(A124=A34+'Summary'!$B$10*12,I34,0)+IF(A124=A35+'Summary'!$B$10*12,I35,0)+IF(A124=A36+'Summary'!$B$10*12,I36,0)+IF(A124=A37+'Summary'!$B$10*12,I37,0)+IF(A124=A38+'Summary'!$B$10*12,I38,0)+IF(A124=A39+'Summary'!$B$10*12,I39,0)+IF(A124=A40+'Summary'!$B$10*12,I40,0)+IF(A124=A41+'Summary'!$B$10*12,I41,0)+IF(A124=A42+'Summary'!$B$10*12,I42,0)+IF(A124=A43+'Summary'!$B$10*12,I43,0)+IF(A124=A44+'Summary'!$B$10*12,I44,0)+IF(A124=A45+'Summary'!$B$10*12,I45,0)+IF(A124=A46+'Summary'!$B$10*12,I46,0)+IF(A124=A47+'Summary'!$B$10*12,I47,0)+IF(A124=A48+'Summary'!$B$10*12,I48,0)+IF(A124=A49+'Summary'!$B$10*12,I49,0)+IF(A124=A50+'Summary'!$B$10*12,I50,0)+IF(A124=A51+'Summary'!$B$10*12,I51,0)+IF(A124=A52+'Summary'!$B$10*12,I52,0)+IF(A124=A53+'Summary'!$B$10*12,I53,0)+IF(A124=A54+'Summary'!$B$10*12,I54,0)+IF(A124=A55+'Summary'!$B$10*12,I55,0)+IF(A124=A56+'Summary'!$B$10*12,I56,0)+IF(A124=A57+'Summary'!$B$10*12,I57,0)+IF(A124=A58+'Summary'!$B$10*12,I58,0)+IF(A124=A59+'Summary'!$B$10*12,I59,0)+IF(A124=A60+'Summary'!$B$10*12,I60,0)+IF(A124=A61+'Summary'!$B$10*12,I61,0)+IF(A124=A62+'Summary'!$B$10*12,I62,0)+IF(A124=A63+'Summary'!$B$10*12,I63,0)+IF(A124=A64+'Summary'!$B$10*12,I64,0)+IF(A124=A65+'Summary'!$B$10*12,I65,0)+IF(A124=A66+'Summary'!$B$10*12,I66,0)+IF(A124=A67+'Summary'!$B$10*12,I67,0)+IF(A124=A68+'Summary'!$B$10*12,I68,0)+IF(A124=A69+'Summary'!$B$10*12,I69,0)+IF(A124=A70+'Summary'!$B$10*12,I70,0)+IF(A124=A71+'Summary'!$B$10*12,I71,0)+IF(A124=A72+'Summary'!$B$10*12,I72,0)+IF(A124=A73+'Summary'!$B$10*12,I73,0)+IF(A124=A74+'Summary'!$B$10*12,I74,0)+IF(A124=A75+'Summary'!$B$10*12,I75,0)+IF(A124=A76+'Summary'!$B$10*12,I76,0)+IF(A124=A77+'Summary'!$B$10*12,I77,0)+IF(A124=A78+'Summary'!$B$10*12,I78,0)+IF(A124=A79+'Summary'!$B$10*12,I79,0)+IF(A124=A80+'Summary'!$B$10*12,I80,0)+IF(A124=A81+'Summary'!$B$10*12,I81,0)+IF(A124=A82+'Summary'!$B$10*12,I82,0)+IF(A124=A83+'Summary'!$B$10*12,I83,0)+IF(A124=A84+'Summary'!$B$10*12,I84,0)+IF(A124=A85+'Summary'!$B$10*12,I85,0)+IF(A124=A86+'Summary'!$B$10*12,I86,0)+IF(A124=A87+'Summary'!$B$10*12,I87,0)+IF(A124=A88+'Summary'!$B$10*12,I88,0)+IF(A124=A89+'Summary'!$B$10*12,I89,0)+IF(A124=A90+'Summary'!$B$10*12,I90,0)+IF(A124=A91+'Summary'!$B$10*12,I91,0)+IF(A124=A92+'Summary'!$B$10*12,I92,0)+IF(A124=A93+'Summary'!$B$10*12,I93,0)+IF(A124=A94+'Summary'!$B$10*12,I94,0)+IF(A124=A95+'Summary'!$B$10*12,I95,0)+IF(A124=A96+'Summary'!$B$10*12,I96,0)+IF(A124=A97+'Summary'!$B$10*12,I97,0)+IF(A124=A98+'Summary'!$B$10*12,I98,0)+IF(A124=A99+'Summary'!$B$10*12,I99,0)+IF(A124=A100+'Summary'!$B$10*12,I100,0)+IF(A124=A101+'Summary'!$B$10*12,I101,0)+IF(A124=A102+'Summary'!$B$10*12,I102,0)+IF(A124=A103+'Summary'!$B$10*12,I103,0)+IF(A124=A104+'Summary'!$B$10*12,I104,0)+IF(A124=A105+'Summary'!$B$10*12,I105,0)+IF(A124=A106+'Summary'!$B$10*12,I106,0)+IF(A124=A107+'Summary'!$B$10*12,I107,0)+IF(A124=A108+'Summary'!$B$10*12,I108,0)+IF(A124=A109+'Summary'!$B$10*12,I109,0)+IF(A124=A110+'Summary'!$B$10*12,I110,0)+IF(A124=A111+'Summary'!$B$10*12,I111,0)+IF(A124=A112+'Summary'!$B$10*12,I112,0)+IF(A124=A113+'Summary'!$B$10*12,I113,0)+IF(A124=A114+'Summary'!$B$10*12,I114,0)+IF(A124=A115+'Summary'!$B$10*12,I115,0)+IF(A124=A116+'Summary'!$B$10*12,I116,0)+IF(A124=A117+'Summary'!$B$10*12,I117,0)+IF(A124=A118+'Summary'!$B$10*12,I118,0)+IF(A124=A119+'Summary'!$B$10*12,I119,0)+IF(A124=A120+'Summary'!$B$10*12,I120,0)+IF(A124=A121+'Summary'!$B$10*12,I121,0)+IF(A124=A122+'Summary'!$B$10*12,I122,0)+IF(A124=A123+'Summary'!$B$10*12,I123,0)</x:f>
        <x:v>118.04104526401468</x:v>
      </x:c>
      <x:c r="H124" s="62" t="n">
        <x:f>E124+D124+F124+G124</x:f>
        <x:v>259.96959497049227</x:v>
      </x:c>
      <x:c r="I124" s="62" t="n">
        <x:f>IF(B124,IF(H124&gt;='Summary'!$B$12,H124,0),0)</x:f>
        <x:v>259.96959497049227</x:v>
      </x:c>
      <x:c r="J124" s="62" t="n">
        <x:f>H124-I124</x:f>
        <x:v>0</x:v>
      </x:c>
      <x:c r="K124" s="63" t="n">
        <x:f>J124+IF(A8+'Summary'!$B$10*12&gt;A124,I8,0)+IF(A9+'Summary'!$B$10*12&gt;A124,I9,0)+IF(A10+'Summary'!$B$10*12&gt;A124,I10,0)+IF(A11+'Summary'!$B$10*12&gt;A124,I11,0)+IF(A12+'Summary'!$B$10*12&gt;A124,I12,0)+IF(A13+'Summary'!$B$10*12&gt;A124,I13,0)+IF(A14+'Summary'!$B$10*12&gt;A124,I14,0)+IF(A15+'Summary'!$B$10*12&gt;A124,I15,0)+IF(A16+'Summary'!$B$10*12&gt;A124,I16,0)+IF(A17+'Summary'!$B$10*12&gt;A124,I17,0)+IF(A18+'Summary'!$B$10*12&gt;A124,I18,0)+IF(A19+'Summary'!$B$10*12&gt;A124,I19,0)+IF(A20+'Summary'!$B$10*12&gt;A124,I20,0)+IF(A21+'Summary'!$B$10*12&gt;A124,I21,0)+IF(A22+'Summary'!$B$10*12&gt;A124,I22,0)+IF(A23+'Summary'!$B$10*12&gt;A124,I23,0)+IF(A24+'Summary'!$B$10*12&gt;A124,I24,0)+IF(A25+'Summary'!$B$10*12&gt;A124,I25,0)+IF(A26+'Summary'!$B$10*12&gt;A124,I26,0)+IF(A27+'Summary'!$B$10*12&gt;A124,I27,0)+IF(A28+'Summary'!$B$10*12&gt;A124,I28,0)+IF(A29+'Summary'!$B$10*12&gt;A124,I29,0)+IF(A30+'Summary'!$B$10*12&gt;A124,I30,0)+IF(A31+'Summary'!$B$10*12&gt;A124,I31,0)+IF(A32+'Summary'!$B$10*12&gt;A124,I32,0)+IF(A33+'Summary'!$B$10*12&gt;A124,I33,0)+IF(A34+'Summary'!$B$10*12&gt;A124,I34,0)+IF(A35+'Summary'!$B$10*12&gt;A124,I35,0)+IF(A36+'Summary'!$B$10*12&gt;A124,I36,0)+IF(A37+'Summary'!$B$10*12&gt;A124,I37,0)+IF(A38+'Summary'!$B$10*12&gt;A124,I38,0)+IF(A39+'Summary'!$B$10*12&gt;A124,I39,0)+IF(A40+'Summary'!$B$10*12&gt;A124,I40,0)+IF(A41+'Summary'!$B$10*12&gt;A124,I41,0)+IF(A42+'Summary'!$B$10*12&gt;A124,I42,0)+IF(A43+'Summary'!$B$10*12&gt;A124,I43,0)+IF(A44+'Summary'!$B$10*12&gt;A124,I44,0)+IF(A45+'Summary'!$B$10*12&gt;A124,I45,0)+IF(A46+'Summary'!$B$10*12&gt;A124,I46,0)+IF(A47+'Summary'!$B$10*12&gt;A124,I47,0)+IF(A48+'Summary'!$B$10*12&gt;A124,I48,0)+IF(A49+'Summary'!$B$10*12&gt;A124,I49,0)+IF(A50+'Summary'!$B$10*12&gt;A124,I50,0)+IF(A51+'Summary'!$B$10*12&gt;A124,I51,0)+IF(A52+'Summary'!$B$10*12&gt;A124,I52,0)+IF(A53+'Summary'!$B$10*12&gt;A124,I53,0)+IF(A54+'Summary'!$B$10*12&gt;A124,I54,0)+IF(A55+'Summary'!$B$10*12&gt;A124,I55,0)+IF(A56+'Summary'!$B$10*12&gt;A124,I56,0)+IF(A57+'Summary'!$B$10*12&gt;A124,I57,0)+IF(A58+'Summary'!$B$10*12&gt;A124,I58,0)+IF(A59+'Summary'!$B$10*12&gt;A124,I59,0)+IF(A60+'Summary'!$B$10*12&gt;A124,I60,0)+IF(A61+'Summary'!$B$10*12&gt;A124,I61,0)+IF(A62+'Summary'!$B$10*12&gt;A124,I62,0)+IF(A63+'Summary'!$B$10*12&gt;A124,I63,0)+IF(A64+'Summary'!$B$10*12&gt;A124,I64,0)+IF(A65+'Summary'!$B$10*12&gt;A124,I65,0)+IF(A66+'Summary'!$B$10*12&gt;A124,I66,0)+IF(A67+'Summary'!$B$10*12&gt;A124,I67,0)+IF(A68+'Summary'!$B$10*12&gt;A124,I68,0)+IF(A69+'Summary'!$B$10*12&gt;A124,I69,0)+IF(A70+'Summary'!$B$10*12&gt;A124,I70,0)+IF(A71+'Summary'!$B$10*12&gt;A124,I71,0)+IF(A72+'Summary'!$B$10*12&gt;A124,I72,0)+IF(A73+'Summary'!$B$10*12&gt;A124,I73,0)+IF(A74+'Summary'!$B$10*12&gt;A124,I74,0)+IF(A75+'Summary'!$B$10*12&gt;A124,I75,0)+IF(A76+'Summary'!$B$10*12&gt;A124,I76,0)+IF(A77+'Summary'!$B$10*12&gt;A124,I77,0)+IF(A78+'Summary'!$B$10*12&gt;A124,I78,0)+IF(A79+'Summary'!$B$10*12&gt;A124,I79,0)+IF(A80+'Summary'!$B$10*12&gt;A124,I80,0)+IF(A81+'Summary'!$B$10*12&gt;A124,I81,0)+IF(A82+'Summary'!$B$10*12&gt;A124,I82,0)+IF(A83+'Summary'!$B$10*12&gt;A124,I83,0)+IF(A84+'Summary'!$B$10*12&gt;A124,I84,0)+IF(A85+'Summary'!$B$10*12&gt;A124,I85,0)+IF(A86+'Summary'!$B$10*12&gt;A124,I86,0)+IF(A87+'Summary'!$B$10*12&gt;A124,I87,0)+IF(A88+'Summary'!$B$10*12&gt;A124,I88,0)+IF(A89+'Summary'!$B$10*12&gt;A124,I89,0)+IF(A90+'Summary'!$B$10*12&gt;A124,I90,0)+IF(A91+'Summary'!$B$10*12&gt;A124,I91,0)+IF(A92+'Summary'!$B$10*12&gt;A124,I92,0)+IF(A93+'Summary'!$B$10*12&gt;A124,I93,0)+IF(A94+'Summary'!$B$10*12&gt;A124,I94,0)+IF(A95+'Summary'!$B$10*12&gt;A124,I95,0)+IF(A96+'Summary'!$B$10*12&gt;A124,I96,0)+IF(A97+'Summary'!$B$10*12&gt;A124,I97,0)+IF(A98+'Summary'!$B$10*12&gt;A124,I98,0)+IF(A99+'Summary'!$B$10*12&gt;A124,I99,0)+IF(A100+'Summary'!$B$10*12&gt;A124,I100,0)+IF(A101+'Summary'!$B$10*12&gt;A124,I101,0)+IF(A102+'Summary'!$B$10*12&gt;A124,I102,0)+IF(A103+'Summary'!$B$10*12&gt;A124,I103,0)+IF(A104+'Summary'!$B$10*12&gt;A124,I104,0)+IF(A105+'Summary'!$B$10*12&gt;A124,I105,0)+IF(A106+'Summary'!$B$10*12&gt;A124,I106,0)+IF(A107+'Summary'!$B$10*12&gt;A124,I107,0)+IF(A108+'Summary'!$B$10*12&gt;A124,I108,0)+IF(A109+'Summary'!$B$10*12&gt;A124,I109,0)+IF(A110+'Summary'!$B$10*12&gt;A124,I110,0)+IF(A111+'Summary'!$B$10*12&gt;A124,I111,0)+IF(A112+'Summary'!$B$10*12&gt;A124,I112,0)+IF(A113+'Summary'!$B$10*12&gt;A124,I113,0)+IF(A114+'Summary'!$B$10*12&gt;A124,I114,0)+IF(A115+'Summary'!$B$10*12&gt;A124,I115,0)+IF(A116+'Summary'!$B$10*12&gt;A124,I116,0)+IF(A117+'Summary'!$B$10*12&gt;A124,I117,0)+IF(A118+'Summary'!$B$10*12&gt;A124,I118,0)+IF(A119+'Summary'!$B$10*12&gt;A124,I119,0)+IF(A120+'Summary'!$B$10*12&gt;A124,I120,0)+IF(A121+'Summary'!$B$10*12&gt;A124,I121,0)+IF(A122+'Summary'!$B$10*12&gt;A124,I122,0)+IF(A123+'Summary'!$B$10*12&gt;A124,I123,0)+IF(A124+'Summary'!$B$10*12&gt;A124,I124,0)</x:f>
        <x:v>28143.97923475997</x:v>
      </x:c>
    </x:row>
    <x:row r="125">
      <x:c r="A125" s="55" t="n">
        <x:v>117</x:v>
      </x:c>
      <x:c r="B125" s="71" t="b">
        <x:f>A125&lt;='Summary'!$B$9*12</x:f>
        <x:v>1</x:v>
      </x:c>
      <x:c r="C125" s="62" t="n">
        <x:f>IF(A125=0,IF('Summary'!$B$6&gt;=5,'Summary'!$B$6,0),C124)+IF(A125&lt;'Summary'!$B$9*12,IF('Summary'!$B$7&gt;=5,'Summary'!$B$7,0),0)</x:f>
        <x:v>21800</x:v>
      </x:c>
      <x:c r="D125" s="62" t="n">
        <x:f>IF(A125=0,IF('Summary'!$B$6&gt;=5,'Summary'!$B$6,0),0)+IF(A125&lt;'Summary'!$B$9*12,IF('Summary'!$B$7&gt;=5,'Summary'!$B$7,0),0)</x:f>
        <x:v>100</x:v>
      </x:c>
      <x:c r="E125" s="62" t="n">
        <x:f>J124</x:f>
        <x:v>0</x:v>
      </x:c>
      <x:c r="F125" s="62" t="n">
        <x:f>(IF(AND(A125&gt;A8,A125&lt;=A8+'Summary'!$B$10*12,MOD(A125-A8,'Summary'!$B$11)=0),I8,0)+IF(AND(A125&gt;A9,A125&lt;=A9+'Summary'!$B$10*12,MOD(A125-A9,'Summary'!$B$11)=0),I9,0)+IF(AND(A125&gt;A10,A125&lt;=A10+'Summary'!$B$10*12,MOD(A125-A10,'Summary'!$B$11)=0),I10,0)+IF(AND(A125&gt;A11,A125&lt;=A11+'Summary'!$B$10*12,MOD(A125-A11,'Summary'!$B$11)=0),I11,0)+IF(AND(A125&gt;A12,A125&lt;=A12+'Summary'!$B$10*12,MOD(A125-A12,'Summary'!$B$11)=0),I12,0)+IF(AND(A125&gt;A13,A125&lt;=A13+'Summary'!$B$10*12,MOD(A125-A13,'Summary'!$B$11)=0),I13,0)+IF(AND(A125&gt;A14,A125&lt;=A14+'Summary'!$B$10*12,MOD(A125-A14,'Summary'!$B$11)=0),I14,0)+IF(AND(A125&gt;A15,A125&lt;=A15+'Summary'!$B$10*12,MOD(A125-A15,'Summary'!$B$11)=0),I15,0)+IF(AND(A125&gt;A16,A125&lt;=A16+'Summary'!$B$10*12,MOD(A125-A16,'Summary'!$B$11)=0),I16,0)+IF(AND(A125&gt;A17,A125&lt;=A17+'Summary'!$B$10*12,MOD(A125-A17,'Summary'!$B$11)=0),I17,0)+IF(AND(A125&gt;A18,A125&lt;=A18+'Summary'!$B$10*12,MOD(A125-A18,'Summary'!$B$11)=0),I18,0)+IF(AND(A125&gt;A19,A125&lt;=A19+'Summary'!$B$10*12,MOD(A125-A19,'Summary'!$B$11)=0),I19,0)+IF(AND(A125&gt;A20,A125&lt;=A20+'Summary'!$B$10*12,MOD(A125-A20,'Summary'!$B$11)=0),I20,0)+IF(AND(A125&gt;A21,A125&lt;=A21+'Summary'!$B$10*12,MOD(A125-A21,'Summary'!$B$11)=0),I21,0)+IF(AND(A125&gt;A22,A125&lt;=A22+'Summary'!$B$10*12,MOD(A125-A22,'Summary'!$B$11)=0),I22,0)+IF(AND(A125&gt;A23,A125&lt;=A23+'Summary'!$B$10*12,MOD(A125-A23,'Summary'!$B$11)=0),I23,0)+IF(AND(A125&gt;A24,A125&lt;=A24+'Summary'!$B$10*12,MOD(A125-A24,'Summary'!$B$11)=0),I24,0)+IF(AND(A125&gt;A25,A125&lt;=A25+'Summary'!$B$10*12,MOD(A125-A25,'Summary'!$B$11)=0),I25,0)+IF(AND(A125&gt;A26,A125&lt;=A26+'Summary'!$B$10*12,MOD(A125-A26,'Summary'!$B$11)=0),I26,0)+IF(AND(A125&gt;A27,A125&lt;=A27+'Summary'!$B$10*12,MOD(A125-A27,'Summary'!$B$11)=0),I27,0)+IF(AND(A125&gt;A28,A125&lt;=A28+'Summary'!$B$10*12,MOD(A125-A28,'Summary'!$B$11)=0),I28,0)+IF(AND(A125&gt;A29,A125&lt;=A29+'Summary'!$B$10*12,MOD(A125-A29,'Summary'!$B$11)=0),I29,0)+IF(AND(A125&gt;A30,A125&lt;=A30+'Summary'!$B$10*12,MOD(A125-A30,'Summary'!$B$11)=0),I30,0)+IF(AND(A125&gt;A31,A125&lt;=A31+'Summary'!$B$10*12,MOD(A125-A31,'Summary'!$B$11)=0),I31,0)+IF(AND(A125&gt;A32,A125&lt;=A32+'Summary'!$B$10*12,MOD(A125-A32,'Summary'!$B$11)=0),I32,0)+IF(AND(A125&gt;A33,A125&lt;=A33+'Summary'!$B$10*12,MOD(A125-A33,'Summary'!$B$11)=0),I33,0)+IF(AND(A125&gt;A34,A125&lt;=A34+'Summary'!$B$10*12,MOD(A125-A34,'Summary'!$B$11)=0),I34,0)+IF(AND(A125&gt;A35,A125&lt;=A35+'Summary'!$B$10*12,MOD(A125-A35,'Summary'!$B$11)=0),I35,0)+IF(AND(A125&gt;A36,A125&lt;=A36+'Summary'!$B$10*12,MOD(A125-A36,'Summary'!$B$11)=0),I36,0)+IF(AND(A125&gt;A37,A125&lt;=A37+'Summary'!$B$10*12,MOD(A125-A37,'Summary'!$B$11)=0),I37,0)+IF(AND(A125&gt;A38,A125&lt;=A38+'Summary'!$B$10*12,MOD(A125-A38,'Summary'!$B$11)=0),I38,0)+IF(AND(A125&gt;A39,A125&lt;=A39+'Summary'!$B$10*12,MOD(A125-A39,'Summary'!$B$11)=0),I39,0)+IF(AND(A125&gt;A40,A125&lt;=A40+'Summary'!$B$10*12,MOD(A125-A40,'Summary'!$B$11)=0),I40,0)+IF(AND(A125&gt;A41,A125&lt;=A41+'Summary'!$B$10*12,MOD(A125-A41,'Summary'!$B$11)=0),I41,0)+IF(AND(A125&gt;A42,A125&lt;=A42+'Summary'!$B$10*12,MOD(A125-A42,'Summary'!$B$11)=0),I42,0)+IF(AND(A125&gt;A43,A125&lt;=A43+'Summary'!$B$10*12,MOD(A125-A43,'Summary'!$B$11)=0),I43,0)+IF(AND(A125&gt;A44,A125&lt;=A44+'Summary'!$B$10*12,MOD(A125-A44,'Summary'!$B$11)=0),I44,0)+IF(AND(A125&gt;A45,A125&lt;=A45+'Summary'!$B$10*12,MOD(A125-A45,'Summary'!$B$11)=0),I45,0)+IF(AND(A125&gt;A46,A125&lt;=A46+'Summary'!$B$10*12,MOD(A125-A46,'Summary'!$B$11)=0),I46,0)+IF(AND(A125&gt;A47,A125&lt;=A47+'Summary'!$B$10*12,MOD(A125-A47,'Summary'!$B$11)=0),I47,0)+IF(AND(A125&gt;A48,A125&lt;=A48+'Summary'!$B$10*12,MOD(A125-A48,'Summary'!$B$11)=0),I48,0)+IF(AND(A125&gt;A49,A125&lt;=A49+'Summary'!$B$10*12,MOD(A125-A49,'Summary'!$B$11)=0),I49,0)+IF(AND(A125&gt;A50,A125&lt;=A50+'Summary'!$B$10*12,MOD(A125-A50,'Summary'!$B$11)=0),I50,0)+IF(AND(A125&gt;A51,A125&lt;=A51+'Summary'!$B$10*12,MOD(A125-A51,'Summary'!$B$11)=0),I51,0)+IF(AND(A125&gt;A52,A125&lt;=A52+'Summary'!$B$10*12,MOD(A125-A52,'Summary'!$B$11)=0),I52,0)+IF(AND(A125&gt;A53,A125&lt;=A53+'Summary'!$B$10*12,MOD(A125-A53,'Summary'!$B$11)=0),I53,0)+IF(AND(A125&gt;A54,A125&lt;=A54+'Summary'!$B$10*12,MOD(A125-A54,'Summary'!$B$11)=0),I54,0)+IF(AND(A125&gt;A55,A125&lt;=A55+'Summary'!$B$10*12,MOD(A125-A55,'Summary'!$B$11)=0),I55,0)+IF(AND(A125&gt;A56,A125&lt;=A56+'Summary'!$B$10*12,MOD(A125-A56,'Summary'!$B$11)=0),I56,0)+IF(AND(A125&gt;A57,A125&lt;=A57+'Summary'!$B$10*12,MOD(A125-A57,'Summary'!$B$11)=0),I57,0)+IF(AND(A125&gt;A58,A125&lt;=A58+'Summary'!$B$10*12,MOD(A125-A58,'Summary'!$B$11)=0),I58,0)+IF(AND(A125&gt;A59,A125&lt;=A59+'Summary'!$B$10*12,MOD(A125-A59,'Summary'!$B$11)=0),I59,0)+IF(AND(A125&gt;A60,A125&lt;=A60+'Summary'!$B$10*12,MOD(A125-A60,'Summary'!$B$11)=0),I60,0)+IF(AND(A125&gt;A61,A125&lt;=A61+'Summary'!$B$10*12,MOD(A125-A61,'Summary'!$B$11)=0),I61,0)+IF(AND(A125&gt;A62,A125&lt;=A62+'Summary'!$B$10*12,MOD(A125-A62,'Summary'!$B$11)=0),I62,0)+IF(AND(A125&gt;A63,A125&lt;=A63+'Summary'!$B$10*12,MOD(A125-A63,'Summary'!$B$11)=0),I63,0)+IF(AND(A125&gt;A64,A125&lt;=A64+'Summary'!$B$10*12,MOD(A125-A64,'Summary'!$B$11)=0),I64,0)+IF(AND(A125&gt;A65,A125&lt;=A65+'Summary'!$B$10*12,MOD(A125-A65,'Summary'!$B$11)=0),I65,0)+IF(AND(A125&gt;A66,A125&lt;=A66+'Summary'!$B$10*12,MOD(A125-A66,'Summary'!$B$11)=0),I66,0)+IF(AND(A125&gt;A67,A125&lt;=A67+'Summary'!$B$10*12,MOD(A125-A67,'Summary'!$B$11)=0),I67,0)+IF(AND(A125&gt;A68,A125&lt;=A68+'Summary'!$B$10*12,MOD(A125-A68,'Summary'!$B$11)=0),I68,0)+IF(AND(A125&gt;A69,A125&lt;=A69+'Summary'!$B$10*12,MOD(A125-A69,'Summary'!$B$11)=0),I69,0)+IF(AND(A125&gt;A70,A125&lt;=A70+'Summary'!$B$10*12,MOD(A125-A70,'Summary'!$B$11)=0),I70,0)+IF(AND(A125&gt;A71,A125&lt;=A71+'Summary'!$B$10*12,MOD(A125-A71,'Summary'!$B$11)=0),I71,0)+IF(AND(A125&gt;A72,A125&lt;=A72+'Summary'!$B$10*12,MOD(A125-A72,'Summary'!$B$11)=0),I72,0)+IF(AND(A125&gt;A73,A125&lt;=A73+'Summary'!$B$10*12,MOD(A125-A73,'Summary'!$B$11)=0),I73,0)+IF(AND(A125&gt;A74,A125&lt;=A74+'Summary'!$B$10*12,MOD(A125-A74,'Summary'!$B$11)=0),I74,0)+IF(AND(A125&gt;A75,A125&lt;=A75+'Summary'!$B$10*12,MOD(A125-A75,'Summary'!$B$11)=0),I75,0)+IF(AND(A125&gt;A76,A125&lt;=A76+'Summary'!$B$10*12,MOD(A125-A76,'Summary'!$B$11)=0),I76,0)+IF(AND(A125&gt;A77,A125&lt;=A77+'Summary'!$B$10*12,MOD(A125-A77,'Summary'!$B$11)=0),I77,0)+IF(AND(A125&gt;A78,A125&lt;=A78+'Summary'!$B$10*12,MOD(A125-A78,'Summary'!$B$11)=0),I78,0)+IF(AND(A125&gt;A79,A125&lt;=A79+'Summary'!$B$10*12,MOD(A125-A79,'Summary'!$B$11)=0),I79,0)+IF(AND(A125&gt;A80,A125&lt;=A80+'Summary'!$B$10*12,MOD(A125-A80,'Summary'!$B$11)=0),I80,0)+IF(AND(A125&gt;A81,A125&lt;=A81+'Summary'!$B$10*12,MOD(A125-A81,'Summary'!$B$11)=0),I81,0)+IF(AND(A125&gt;A82,A125&lt;=A82+'Summary'!$B$10*12,MOD(A125-A82,'Summary'!$B$11)=0),I82,0)+IF(AND(A125&gt;A83,A125&lt;=A83+'Summary'!$B$10*12,MOD(A125-A83,'Summary'!$B$11)=0),I83,0)+IF(AND(A125&gt;A84,A125&lt;=A84+'Summary'!$B$10*12,MOD(A125-A84,'Summary'!$B$11)=0),I84,0)+IF(AND(A125&gt;A85,A125&lt;=A85+'Summary'!$B$10*12,MOD(A125-A85,'Summary'!$B$11)=0),I85,0)+IF(AND(A125&gt;A86,A125&lt;=A86+'Summary'!$B$10*12,MOD(A125-A86,'Summary'!$B$11)=0),I86,0)+IF(AND(A125&gt;A87,A125&lt;=A87+'Summary'!$B$10*12,MOD(A125-A87,'Summary'!$B$11)=0),I87,0)+IF(AND(A125&gt;A88,A125&lt;=A88+'Summary'!$B$10*12,MOD(A125-A88,'Summary'!$B$11)=0),I88,0)+IF(AND(A125&gt;A89,A125&lt;=A89+'Summary'!$B$10*12,MOD(A125-A89,'Summary'!$B$11)=0),I89,0)+IF(AND(A125&gt;A90,A125&lt;=A90+'Summary'!$B$10*12,MOD(A125-A90,'Summary'!$B$11)=0),I90,0)+IF(AND(A125&gt;A91,A125&lt;=A91+'Summary'!$B$10*12,MOD(A125-A91,'Summary'!$B$11)=0),I91,0)+IF(AND(A125&gt;A92,A125&lt;=A92+'Summary'!$B$10*12,MOD(A125-A92,'Summary'!$B$11)=0),I92,0)+IF(AND(A125&gt;A93,A125&lt;=A93+'Summary'!$B$10*12,MOD(A125-A93,'Summary'!$B$11)=0),I93,0)+IF(AND(A125&gt;A94,A125&lt;=A94+'Summary'!$B$10*12,MOD(A125-A94,'Summary'!$B$11)=0),I94,0)+IF(AND(A125&gt;A95,A125&lt;=A95+'Summary'!$B$10*12,MOD(A125-A95,'Summary'!$B$11)=0),I95,0)+IF(AND(A125&gt;A96,A125&lt;=A96+'Summary'!$B$10*12,MOD(A125-A96,'Summary'!$B$11)=0),I96,0)+IF(AND(A125&gt;A97,A125&lt;=A97+'Summary'!$B$10*12,MOD(A125-A97,'Summary'!$B$11)=0),I97,0)+IF(AND(A125&gt;A98,A125&lt;=A98+'Summary'!$B$10*12,MOD(A125-A98,'Summary'!$B$11)=0),I98,0)+IF(AND(A125&gt;A99,A125&lt;=A99+'Summary'!$B$10*12,MOD(A125-A99,'Summary'!$B$11)=0),I99,0)+IF(AND(A125&gt;A100,A125&lt;=A100+'Summary'!$B$10*12,MOD(A125-A100,'Summary'!$B$11)=0),I100,0)+IF(AND(A125&gt;A101,A125&lt;=A101+'Summary'!$B$10*12,MOD(A125-A101,'Summary'!$B$11)=0),I101,0)+IF(AND(A125&gt;A102,A125&lt;=A102+'Summary'!$B$10*12,MOD(A125-A102,'Summary'!$B$11)=0),I102,0)+IF(AND(A125&gt;A103,A125&lt;=A103+'Summary'!$B$10*12,MOD(A125-A103,'Summary'!$B$11)=0),I103,0)+IF(AND(A125&gt;A104,A125&lt;=A104+'Summary'!$B$10*12,MOD(A125-A104,'Summary'!$B$11)=0),I104,0)+IF(AND(A125&gt;A105,A125&lt;=A105+'Summary'!$B$10*12,MOD(A125-A105,'Summary'!$B$11)=0),I105,0)+IF(AND(A125&gt;A106,A125&lt;=A106+'Summary'!$B$10*12,MOD(A125-A106,'Summary'!$B$11)=0),I106,0)+IF(AND(A125&gt;A107,A125&lt;=A107+'Summary'!$B$10*12,MOD(A125-A107,'Summary'!$B$11)=0),I107,0)+IF(AND(A125&gt;A108,A125&lt;=A108+'Summary'!$B$10*12,MOD(A125-A108,'Summary'!$B$11)=0),I108,0)+IF(AND(A125&gt;A109,A125&lt;=A109+'Summary'!$B$10*12,MOD(A125-A109,'Summary'!$B$11)=0),I109,0)+IF(AND(A125&gt;A110,A125&lt;=A110+'Summary'!$B$10*12,MOD(A125-A110,'Summary'!$B$11)=0),I110,0)+IF(AND(A125&gt;A111,A125&lt;=A111+'Summary'!$B$10*12,MOD(A125-A111,'Summary'!$B$11)=0),I111,0)+IF(AND(A125&gt;A112,A125&lt;=A112+'Summary'!$B$10*12,MOD(A125-A112,'Summary'!$B$11)=0),I112,0)+IF(AND(A125&gt;A113,A125&lt;=A113+'Summary'!$B$10*12,MOD(A125-A113,'Summary'!$B$11)=0),I113,0)+IF(AND(A125&gt;A114,A125&lt;=A114+'Summary'!$B$10*12,MOD(A125-A114,'Summary'!$B$11)=0),I114,0)+IF(AND(A125&gt;A115,A125&lt;=A115+'Summary'!$B$10*12,MOD(A125-A115,'Summary'!$B$11)=0),I115,0)+IF(AND(A125&gt;A116,A125&lt;=A116+'Summary'!$B$10*12,MOD(A125-A116,'Summary'!$B$11)=0),I116,0)+IF(AND(A125&gt;A117,A125&lt;=A117+'Summary'!$B$10*12,MOD(A125-A117,'Summary'!$B$11)=0),I117,0)+IF(AND(A125&gt;A118,A125&lt;=A118+'Summary'!$B$10*12,MOD(A125-A118,'Summary'!$B$11)=0),I118,0)+IF(AND(A125&gt;A119,A125&lt;=A119+'Summary'!$B$10*12,MOD(A125-A119,'Summary'!$B$11)=0),I119,0)+IF(AND(A125&gt;A120,A125&lt;=A120+'Summary'!$B$10*12,MOD(A125-A120,'Summary'!$B$11)=0),I120,0)+IF(AND(A125&gt;A121,A125&lt;=A121+'Summary'!$B$10*12,MOD(A125-A121,'Summary'!$B$11)=0),I121,0)+IF(AND(A125&gt;A122,A125&lt;=A122+'Summary'!$B$10*12,MOD(A125-A122,'Summary'!$B$11)=0),I122,0)+IF(AND(A125&gt;A123,A125&lt;=A123+'Summary'!$B$10*12,MOD(A125-A123,'Summary'!$B$11)=0),I123,0)+IF(AND(A125&gt;A124,A125&lt;=A124+'Summary'!$B$10*12,MOD(A125-A124,'Summary'!$B$11)=0),I124,0))*'Summary'!$B$8/2</x:f>
        <x:v>41.92854970647758</x:v>
      </x:c>
      <x:c r="G125" s="62" t="n">
        <x:f>IF(A125=A8+'Summary'!$B$10*12,I8,0)+IF(A125=A9+'Summary'!$B$10*12,I9,0)+IF(A125=A10+'Summary'!$B$10*12,I10,0)+IF(A125=A11+'Summary'!$B$10*12,I11,0)+IF(A125=A12+'Summary'!$B$10*12,I12,0)+IF(A125=A13+'Summary'!$B$10*12,I13,0)+IF(A125=A14+'Summary'!$B$10*12,I14,0)+IF(A125=A15+'Summary'!$B$10*12,I15,0)+IF(A125=A16+'Summary'!$B$10*12,I16,0)+IF(A125=A17+'Summary'!$B$10*12,I17,0)+IF(A125=A18+'Summary'!$B$10*12,I18,0)+IF(A125=A19+'Summary'!$B$10*12,I19,0)+IF(A125=A20+'Summary'!$B$10*12,I20,0)+IF(A125=A21+'Summary'!$B$10*12,I21,0)+IF(A125=A22+'Summary'!$B$10*12,I22,0)+IF(A125=A23+'Summary'!$B$10*12,I23,0)+IF(A125=A24+'Summary'!$B$10*12,I24,0)+IF(A125=A25+'Summary'!$B$10*12,I25,0)+IF(A125=A26+'Summary'!$B$10*12,I26,0)+IF(A125=A27+'Summary'!$B$10*12,I27,0)+IF(A125=A28+'Summary'!$B$10*12,I28,0)+IF(A125=A29+'Summary'!$B$10*12,I29,0)+IF(A125=A30+'Summary'!$B$10*12,I30,0)+IF(A125=A31+'Summary'!$B$10*12,I31,0)+IF(A125=A32+'Summary'!$B$10*12,I32,0)+IF(A125=A33+'Summary'!$B$10*12,I33,0)+IF(A125=A34+'Summary'!$B$10*12,I34,0)+IF(A125=A35+'Summary'!$B$10*12,I35,0)+IF(A125=A36+'Summary'!$B$10*12,I36,0)+IF(A125=A37+'Summary'!$B$10*12,I37,0)+IF(A125=A38+'Summary'!$B$10*12,I38,0)+IF(A125=A39+'Summary'!$B$10*12,I39,0)+IF(A125=A40+'Summary'!$B$10*12,I40,0)+IF(A125=A41+'Summary'!$B$10*12,I41,0)+IF(A125=A42+'Summary'!$B$10*12,I42,0)+IF(A125=A43+'Summary'!$B$10*12,I43,0)+IF(A125=A44+'Summary'!$B$10*12,I44,0)+IF(A125=A45+'Summary'!$B$10*12,I45,0)+IF(A125=A46+'Summary'!$B$10*12,I46,0)+IF(A125=A47+'Summary'!$B$10*12,I47,0)+IF(A125=A48+'Summary'!$B$10*12,I48,0)+IF(A125=A49+'Summary'!$B$10*12,I49,0)+IF(A125=A50+'Summary'!$B$10*12,I50,0)+IF(A125=A51+'Summary'!$B$10*12,I51,0)+IF(A125=A52+'Summary'!$B$10*12,I52,0)+IF(A125=A53+'Summary'!$B$10*12,I53,0)+IF(A125=A54+'Summary'!$B$10*12,I54,0)+IF(A125=A55+'Summary'!$B$10*12,I55,0)+IF(A125=A56+'Summary'!$B$10*12,I56,0)+IF(A125=A57+'Summary'!$B$10*12,I57,0)+IF(A125=A58+'Summary'!$B$10*12,I58,0)+IF(A125=A59+'Summary'!$B$10*12,I59,0)+IF(A125=A60+'Summary'!$B$10*12,I60,0)+IF(A125=A61+'Summary'!$B$10*12,I61,0)+IF(A125=A62+'Summary'!$B$10*12,I62,0)+IF(A125=A63+'Summary'!$B$10*12,I63,0)+IF(A125=A64+'Summary'!$B$10*12,I64,0)+IF(A125=A65+'Summary'!$B$10*12,I65,0)+IF(A125=A66+'Summary'!$B$10*12,I66,0)+IF(A125=A67+'Summary'!$B$10*12,I67,0)+IF(A125=A68+'Summary'!$B$10*12,I68,0)+IF(A125=A69+'Summary'!$B$10*12,I69,0)+IF(A125=A70+'Summary'!$B$10*12,I70,0)+IF(A125=A71+'Summary'!$B$10*12,I71,0)+IF(A125=A72+'Summary'!$B$10*12,I72,0)+IF(A125=A73+'Summary'!$B$10*12,I73,0)+IF(A125=A74+'Summary'!$B$10*12,I74,0)+IF(A125=A75+'Summary'!$B$10*12,I75,0)+IF(A125=A76+'Summary'!$B$10*12,I76,0)+IF(A125=A77+'Summary'!$B$10*12,I77,0)+IF(A125=A78+'Summary'!$B$10*12,I78,0)+IF(A125=A79+'Summary'!$B$10*12,I79,0)+IF(A125=A80+'Summary'!$B$10*12,I80,0)+IF(A125=A81+'Summary'!$B$10*12,I81,0)+IF(A125=A82+'Summary'!$B$10*12,I82,0)+IF(A125=A83+'Summary'!$B$10*12,I83,0)+IF(A125=A84+'Summary'!$B$10*12,I84,0)+IF(A125=A85+'Summary'!$B$10*12,I85,0)+IF(A125=A86+'Summary'!$B$10*12,I86,0)+IF(A125=A87+'Summary'!$B$10*12,I87,0)+IF(A125=A88+'Summary'!$B$10*12,I88,0)+IF(A125=A89+'Summary'!$B$10*12,I89,0)+IF(A125=A90+'Summary'!$B$10*12,I90,0)+IF(A125=A91+'Summary'!$B$10*12,I91,0)+IF(A125=A92+'Summary'!$B$10*12,I92,0)+IF(A125=A93+'Summary'!$B$10*12,I93,0)+IF(A125=A94+'Summary'!$B$10*12,I94,0)+IF(A125=A95+'Summary'!$B$10*12,I95,0)+IF(A125=A96+'Summary'!$B$10*12,I96,0)+IF(A125=A97+'Summary'!$B$10*12,I97,0)+IF(A125=A98+'Summary'!$B$10*12,I98,0)+IF(A125=A99+'Summary'!$B$10*12,I99,0)+IF(A125=A100+'Summary'!$B$10*12,I100,0)+IF(A125=A101+'Summary'!$B$10*12,I101,0)+IF(A125=A102+'Summary'!$B$10*12,I102,0)+IF(A125=A103+'Summary'!$B$10*12,I103,0)+IF(A125=A104+'Summary'!$B$10*12,I104,0)+IF(A125=A105+'Summary'!$B$10*12,I105,0)+IF(A125=A106+'Summary'!$B$10*12,I106,0)+IF(A125=A107+'Summary'!$B$10*12,I107,0)+IF(A125=A108+'Summary'!$B$10*12,I108,0)+IF(A125=A109+'Summary'!$B$10*12,I109,0)+IF(A125=A110+'Summary'!$B$10*12,I110,0)+IF(A125=A111+'Summary'!$B$10*12,I111,0)+IF(A125=A112+'Summary'!$B$10*12,I112,0)+IF(A125=A113+'Summary'!$B$10*12,I113,0)+IF(A125=A114+'Summary'!$B$10*12,I114,0)+IF(A125=A115+'Summary'!$B$10*12,I115,0)+IF(A125=A116+'Summary'!$B$10*12,I116,0)+IF(A125=A117+'Summary'!$B$10*12,I117,0)+IF(A125=A118+'Summary'!$B$10*12,I118,0)+IF(A125=A119+'Summary'!$B$10*12,I119,0)+IF(A125=A120+'Summary'!$B$10*12,I120,0)+IF(A125=A121+'Summary'!$B$10*12,I121,0)+IF(A125=A122+'Summary'!$B$10*12,I122,0)+IF(A125=A123+'Summary'!$B$10*12,I123,0)+IF(A125=A124+'Summary'!$B$10*12,I124,0)</x:f>
        <x:v>118.04104526401468</x:v>
      </x:c>
      <x:c r="H125" s="62" t="n">
        <x:f>E125+D125+F125+G125</x:f>
        <x:v>259.96959497049227</x:v>
      </x:c>
      <x:c r="I125" s="62" t="n">
        <x:f>IF(B125,IF(H125&gt;='Summary'!$B$12,H125,0),0)</x:f>
        <x:v>259.96959497049227</x:v>
      </x:c>
      <x:c r="J125" s="62" t="n">
        <x:f>H125-I125</x:f>
        <x:v>0</x:v>
      </x:c>
      <x:c r="K125" s="63" t="n">
        <x:f>J125+IF(A8+'Summary'!$B$10*12&gt;A125,I8,0)+IF(A9+'Summary'!$B$10*12&gt;A125,I9,0)+IF(A10+'Summary'!$B$10*12&gt;A125,I10,0)+IF(A11+'Summary'!$B$10*12&gt;A125,I11,0)+IF(A12+'Summary'!$B$10*12&gt;A125,I12,0)+IF(A13+'Summary'!$B$10*12&gt;A125,I13,0)+IF(A14+'Summary'!$B$10*12&gt;A125,I14,0)+IF(A15+'Summary'!$B$10*12&gt;A125,I15,0)+IF(A16+'Summary'!$B$10*12&gt;A125,I16,0)+IF(A17+'Summary'!$B$10*12&gt;A125,I17,0)+IF(A18+'Summary'!$B$10*12&gt;A125,I18,0)+IF(A19+'Summary'!$B$10*12&gt;A125,I19,0)+IF(A20+'Summary'!$B$10*12&gt;A125,I20,0)+IF(A21+'Summary'!$B$10*12&gt;A125,I21,0)+IF(A22+'Summary'!$B$10*12&gt;A125,I22,0)+IF(A23+'Summary'!$B$10*12&gt;A125,I23,0)+IF(A24+'Summary'!$B$10*12&gt;A125,I24,0)+IF(A25+'Summary'!$B$10*12&gt;A125,I25,0)+IF(A26+'Summary'!$B$10*12&gt;A125,I26,0)+IF(A27+'Summary'!$B$10*12&gt;A125,I27,0)+IF(A28+'Summary'!$B$10*12&gt;A125,I28,0)+IF(A29+'Summary'!$B$10*12&gt;A125,I29,0)+IF(A30+'Summary'!$B$10*12&gt;A125,I30,0)+IF(A31+'Summary'!$B$10*12&gt;A125,I31,0)+IF(A32+'Summary'!$B$10*12&gt;A125,I32,0)+IF(A33+'Summary'!$B$10*12&gt;A125,I33,0)+IF(A34+'Summary'!$B$10*12&gt;A125,I34,0)+IF(A35+'Summary'!$B$10*12&gt;A125,I35,0)+IF(A36+'Summary'!$B$10*12&gt;A125,I36,0)+IF(A37+'Summary'!$B$10*12&gt;A125,I37,0)+IF(A38+'Summary'!$B$10*12&gt;A125,I38,0)+IF(A39+'Summary'!$B$10*12&gt;A125,I39,0)+IF(A40+'Summary'!$B$10*12&gt;A125,I40,0)+IF(A41+'Summary'!$B$10*12&gt;A125,I41,0)+IF(A42+'Summary'!$B$10*12&gt;A125,I42,0)+IF(A43+'Summary'!$B$10*12&gt;A125,I43,0)+IF(A44+'Summary'!$B$10*12&gt;A125,I44,0)+IF(A45+'Summary'!$B$10*12&gt;A125,I45,0)+IF(A46+'Summary'!$B$10*12&gt;A125,I46,0)+IF(A47+'Summary'!$B$10*12&gt;A125,I47,0)+IF(A48+'Summary'!$B$10*12&gt;A125,I48,0)+IF(A49+'Summary'!$B$10*12&gt;A125,I49,0)+IF(A50+'Summary'!$B$10*12&gt;A125,I50,0)+IF(A51+'Summary'!$B$10*12&gt;A125,I51,0)+IF(A52+'Summary'!$B$10*12&gt;A125,I52,0)+IF(A53+'Summary'!$B$10*12&gt;A125,I53,0)+IF(A54+'Summary'!$B$10*12&gt;A125,I54,0)+IF(A55+'Summary'!$B$10*12&gt;A125,I55,0)+IF(A56+'Summary'!$B$10*12&gt;A125,I56,0)+IF(A57+'Summary'!$B$10*12&gt;A125,I57,0)+IF(A58+'Summary'!$B$10*12&gt;A125,I58,0)+IF(A59+'Summary'!$B$10*12&gt;A125,I59,0)+IF(A60+'Summary'!$B$10*12&gt;A125,I60,0)+IF(A61+'Summary'!$B$10*12&gt;A125,I61,0)+IF(A62+'Summary'!$B$10*12&gt;A125,I62,0)+IF(A63+'Summary'!$B$10*12&gt;A125,I63,0)+IF(A64+'Summary'!$B$10*12&gt;A125,I64,0)+IF(A65+'Summary'!$B$10*12&gt;A125,I65,0)+IF(A66+'Summary'!$B$10*12&gt;A125,I66,0)+IF(A67+'Summary'!$B$10*12&gt;A125,I67,0)+IF(A68+'Summary'!$B$10*12&gt;A125,I68,0)+IF(A69+'Summary'!$B$10*12&gt;A125,I69,0)+IF(A70+'Summary'!$B$10*12&gt;A125,I70,0)+IF(A71+'Summary'!$B$10*12&gt;A125,I71,0)+IF(A72+'Summary'!$B$10*12&gt;A125,I72,0)+IF(A73+'Summary'!$B$10*12&gt;A125,I73,0)+IF(A74+'Summary'!$B$10*12&gt;A125,I74,0)+IF(A75+'Summary'!$B$10*12&gt;A125,I75,0)+IF(A76+'Summary'!$B$10*12&gt;A125,I76,0)+IF(A77+'Summary'!$B$10*12&gt;A125,I77,0)+IF(A78+'Summary'!$B$10*12&gt;A125,I78,0)+IF(A79+'Summary'!$B$10*12&gt;A125,I79,0)+IF(A80+'Summary'!$B$10*12&gt;A125,I80,0)+IF(A81+'Summary'!$B$10*12&gt;A125,I81,0)+IF(A82+'Summary'!$B$10*12&gt;A125,I82,0)+IF(A83+'Summary'!$B$10*12&gt;A125,I83,0)+IF(A84+'Summary'!$B$10*12&gt;A125,I84,0)+IF(A85+'Summary'!$B$10*12&gt;A125,I85,0)+IF(A86+'Summary'!$B$10*12&gt;A125,I86,0)+IF(A87+'Summary'!$B$10*12&gt;A125,I87,0)+IF(A88+'Summary'!$B$10*12&gt;A125,I88,0)+IF(A89+'Summary'!$B$10*12&gt;A125,I89,0)+IF(A90+'Summary'!$B$10*12&gt;A125,I90,0)+IF(A91+'Summary'!$B$10*12&gt;A125,I91,0)+IF(A92+'Summary'!$B$10*12&gt;A125,I92,0)+IF(A93+'Summary'!$B$10*12&gt;A125,I93,0)+IF(A94+'Summary'!$B$10*12&gt;A125,I94,0)+IF(A95+'Summary'!$B$10*12&gt;A125,I95,0)+IF(A96+'Summary'!$B$10*12&gt;A125,I96,0)+IF(A97+'Summary'!$B$10*12&gt;A125,I97,0)+IF(A98+'Summary'!$B$10*12&gt;A125,I98,0)+IF(A99+'Summary'!$B$10*12&gt;A125,I99,0)+IF(A100+'Summary'!$B$10*12&gt;A125,I100,0)+IF(A101+'Summary'!$B$10*12&gt;A125,I101,0)+IF(A102+'Summary'!$B$10*12&gt;A125,I102,0)+IF(A103+'Summary'!$B$10*12&gt;A125,I103,0)+IF(A104+'Summary'!$B$10*12&gt;A125,I104,0)+IF(A105+'Summary'!$B$10*12&gt;A125,I105,0)+IF(A106+'Summary'!$B$10*12&gt;A125,I106,0)+IF(A107+'Summary'!$B$10*12&gt;A125,I107,0)+IF(A108+'Summary'!$B$10*12&gt;A125,I108,0)+IF(A109+'Summary'!$B$10*12&gt;A125,I109,0)+IF(A110+'Summary'!$B$10*12&gt;A125,I110,0)+IF(A111+'Summary'!$B$10*12&gt;A125,I111,0)+IF(A112+'Summary'!$B$10*12&gt;A125,I112,0)+IF(A113+'Summary'!$B$10*12&gt;A125,I113,0)+IF(A114+'Summary'!$B$10*12&gt;A125,I114,0)+IF(A115+'Summary'!$B$10*12&gt;A125,I115,0)+IF(A116+'Summary'!$B$10*12&gt;A125,I116,0)+IF(A117+'Summary'!$B$10*12&gt;A125,I117,0)+IF(A118+'Summary'!$B$10*12&gt;A125,I118,0)+IF(A119+'Summary'!$B$10*12&gt;A125,I119,0)+IF(A120+'Summary'!$B$10*12&gt;A125,I120,0)+IF(A121+'Summary'!$B$10*12&gt;A125,I121,0)+IF(A122+'Summary'!$B$10*12&gt;A125,I122,0)+IF(A123+'Summary'!$B$10*12&gt;A125,I123,0)+IF(A124+'Summary'!$B$10*12&gt;A125,I124,0)+IF(A125+'Summary'!$B$10*12&gt;A125,I125,0)</x:f>
        <x:v>28285.907784466446</x:v>
      </x:c>
    </x:row>
    <x:row r="126">
      <x:c r="A126" s="55" t="n">
        <x:v>118</x:v>
      </x:c>
      <x:c r="B126" s="71" t="b">
        <x:f>A126&lt;='Summary'!$B$9*12</x:f>
        <x:v>1</x:v>
      </x:c>
      <x:c r="C126" s="62" t="n">
        <x:f>IF(A126=0,IF('Summary'!$B$6&gt;=5,'Summary'!$B$6,0),C125)+IF(A126&lt;'Summary'!$B$9*12,IF('Summary'!$B$7&gt;=5,'Summary'!$B$7,0),0)</x:f>
        <x:v>21900</x:v>
      </x:c>
      <x:c r="D126" s="62" t="n">
        <x:f>IF(A126=0,IF('Summary'!$B$6&gt;=5,'Summary'!$B$6,0),0)+IF(A126&lt;'Summary'!$B$9*12,IF('Summary'!$B$7&gt;=5,'Summary'!$B$7,0),0)</x:f>
        <x:v>100</x:v>
      </x:c>
      <x:c r="E126" s="62" t="n">
        <x:f>J125</x:f>
        <x:v>0</x:v>
      </x:c>
      <x:c r="F126" s="62" t="n">
        <x:f>(IF(AND(A126&gt;A8,A126&lt;=A8+'Summary'!$B$10*12,MOD(A126-A8,'Summary'!$B$11)=0),I8,0)+IF(AND(A126&gt;A9,A126&lt;=A9+'Summary'!$B$10*12,MOD(A126-A9,'Summary'!$B$11)=0),I9,0)+IF(AND(A126&gt;A10,A126&lt;=A10+'Summary'!$B$10*12,MOD(A126-A10,'Summary'!$B$11)=0),I10,0)+IF(AND(A126&gt;A11,A126&lt;=A11+'Summary'!$B$10*12,MOD(A126-A11,'Summary'!$B$11)=0),I11,0)+IF(AND(A126&gt;A12,A126&lt;=A12+'Summary'!$B$10*12,MOD(A126-A12,'Summary'!$B$11)=0),I12,0)+IF(AND(A126&gt;A13,A126&lt;=A13+'Summary'!$B$10*12,MOD(A126-A13,'Summary'!$B$11)=0),I13,0)+IF(AND(A126&gt;A14,A126&lt;=A14+'Summary'!$B$10*12,MOD(A126-A14,'Summary'!$B$11)=0),I14,0)+IF(AND(A126&gt;A15,A126&lt;=A15+'Summary'!$B$10*12,MOD(A126-A15,'Summary'!$B$11)=0),I15,0)+IF(AND(A126&gt;A16,A126&lt;=A16+'Summary'!$B$10*12,MOD(A126-A16,'Summary'!$B$11)=0),I16,0)+IF(AND(A126&gt;A17,A126&lt;=A17+'Summary'!$B$10*12,MOD(A126-A17,'Summary'!$B$11)=0),I17,0)+IF(AND(A126&gt;A18,A126&lt;=A18+'Summary'!$B$10*12,MOD(A126-A18,'Summary'!$B$11)=0),I18,0)+IF(AND(A126&gt;A19,A126&lt;=A19+'Summary'!$B$10*12,MOD(A126-A19,'Summary'!$B$11)=0),I19,0)+IF(AND(A126&gt;A20,A126&lt;=A20+'Summary'!$B$10*12,MOD(A126-A20,'Summary'!$B$11)=0),I20,0)+IF(AND(A126&gt;A21,A126&lt;=A21+'Summary'!$B$10*12,MOD(A126-A21,'Summary'!$B$11)=0),I21,0)+IF(AND(A126&gt;A22,A126&lt;=A22+'Summary'!$B$10*12,MOD(A126-A22,'Summary'!$B$11)=0),I22,0)+IF(AND(A126&gt;A23,A126&lt;=A23+'Summary'!$B$10*12,MOD(A126-A23,'Summary'!$B$11)=0),I23,0)+IF(AND(A126&gt;A24,A126&lt;=A24+'Summary'!$B$10*12,MOD(A126-A24,'Summary'!$B$11)=0),I24,0)+IF(AND(A126&gt;A25,A126&lt;=A25+'Summary'!$B$10*12,MOD(A126-A25,'Summary'!$B$11)=0),I25,0)+IF(AND(A126&gt;A26,A126&lt;=A26+'Summary'!$B$10*12,MOD(A126-A26,'Summary'!$B$11)=0),I26,0)+IF(AND(A126&gt;A27,A126&lt;=A27+'Summary'!$B$10*12,MOD(A126-A27,'Summary'!$B$11)=0),I27,0)+IF(AND(A126&gt;A28,A126&lt;=A28+'Summary'!$B$10*12,MOD(A126-A28,'Summary'!$B$11)=0),I28,0)+IF(AND(A126&gt;A29,A126&lt;=A29+'Summary'!$B$10*12,MOD(A126-A29,'Summary'!$B$11)=0),I29,0)+IF(AND(A126&gt;A30,A126&lt;=A30+'Summary'!$B$10*12,MOD(A126-A30,'Summary'!$B$11)=0),I30,0)+IF(AND(A126&gt;A31,A126&lt;=A31+'Summary'!$B$10*12,MOD(A126-A31,'Summary'!$B$11)=0),I31,0)+IF(AND(A126&gt;A32,A126&lt;=A32+'Summary'!$B$10*12,MOD(A126-A32,'Summary'!$B$11)=0),I32,0)+IF(AND(A126&gt;A33,A126&lt;=A33+'Summary'!$B$10*12,MOD(A126-A33,'Summary'!$B$11)=0),I33,0)+IF(AND(A126&gt;A34,A126&lt;=A34+'Summary'!$B$10*12,MOD(A126-A34,'Summary'!$B$11)=0),I34,0)+IF(AND(A126&gt;A35,A126&lt;=A35+'Summary'!$B$10*12,MOD(A126-A35,'Summary'!$B$11)=0),I35,0)+IF(AND(A126&gt;A36,A126&lt;=A36+'Summary'!$B$10*12,MOD(A126-A36,'Summary'!$B$11)=0),I36,0)+IF(AND(A126&gt;A37,A126&lt;=A37+'Summary'!$B$10*12,MOD(A126-A37,'Summary'!$B$11)=0),I37,0)+IF(AND(A126&gt;A38,A126&lt;=A38+'Summary'!$B$10*12,MOD(A126-A38,'Summary'!$B$11)=0),I38,0)+IF(AND(A126&gt;A39,A126&lt;=A39+'Summary'!$B$10*12,MOD(A126-A39,'Summary'!$B$11)=0),I39,0)+IF(AND(A126&gt;A40,A126&lt;=A40+'Summary'!$B$10*12,MOD(A126-A40,'Summary'!$B$11)=0),I40,0)+IF(AND(A126&gt;A41,A126&lt;=A41+'Summary'!$B$10*12,MOD(A126-A41,'Summary'!$B$11)=0),I41,0)+IF(AND(A126&gt;A42,A126&lt;=A42+'Summary'!$B$10*12,MOD(A126-A42,'Summary'!$B$11)=0),I42,0)+IF(AND(A126&gt;A43,A126&lt;=A43+'Summary'!$B$10*12,MOD(A126-A43,'Summary'!$B$11)=0),I43,0)+IF(AND(A126&gt;A44,A126&lt;=A44+'Summary'!$B$10*12,MOD(A126-A44,'Summary'!$B$11)=0),I44,0)+IF(AND(A126&gt;A45,A126&lt;=A45+'Summary'!$B$10*12,MOD(A126-A45,'Summary'!$B$11)=0),I45,0)+IF(AND(A126&gt;A46,A126&lt;=A46+'Summary'!$B$10*12,MOD(A126-A46,'Summary'!$B$11)=0),I46,0)+IF(AND(A126&gt;A47,A126&lt;=A47+'Summary'!$B$10*12,MOD(A126-A47,'Summary'!$B$11)=0),I47,0)+IF(AND(A126&gt;A48,A126&lt;=A48+'Summary'!$B$10*12,MOD(A126-A48,'Summary'!$B$11)=0),I48,0)+IF(AND(A126&gt;A49,A126&lt;=A49+'Summary'!$B$10*12,MOD(A126-A49,'Summary'!$B$11)=0),I49,0)+IF(AND(A126&gt;A50,A126&lt;=A50+'Summary'!$B$10*12,MOD(A126-A50,'Summary'!$B$11)=0),I50,0)+IF(AND(A126&gt;A51,A126&lt;=A51+'Summary'!$B$10*12,MOD(A126-A51,'Summary'!$B$11)=0),I51,0)+IF(AND(A126&gt;A52,A126&lt;=A52+'Summary'!$B$10*12,MOD(A126-A52,'Summary'!$B$11)=0),I52,0)+IF(AND(A126&gt;A53,A126&lt;=A53+'Summary'!$B$10*12,MOD(A126-A53,'Summary'!$B$11)=0),I53,0)+IF(AND(A126&gt;A54,A126&lt;=A54+'Summary'!$B$10*12,MOD(A126-A54,'Summary'!$B$11)=0),I54,0)+IF(AND(A126&gt;A55,A126&lt;=A55+'Summary'!$B$10*12,MOD(A126-A55,'Summary'!$B$11)=0),I55,0)+IF(AND(A126&gt;A56,A126&lt;=A56+'Summary'!$B$10*12,MOD(A126-A56,'Summary'!$B$11)=0),I56,0)+IF(AND(A126&gt;A57,A126&lt;=A57+'Summary'!$B$10*12,MOD(A126-A57,'Summary'!$B$11)=0),I57,0)+IF(AND(A126&gt;A58,A126&lt;=A58+'Summary'!$B$10*12,MOD(A126-A58,'Summary'!$B$11)=0),I58,0)+IF(AND(A126&gt;A59,A126&lt;=A59+'Summary'!$B$10*12,MOD(A126-A59,'Summary'!$B$11)=0),I59,0)+IF(AND(A126&gt;A60,A126&lt;=A60+'Summary'!$B$10*12,MOD(A126-A60,'Summary'!$B$11)=0),I60,0)+IF(AND(A126&gt;A61,A126&lt;=A61+'Summary'!$B$10*12,MOD(A126-A61,'Summary'!$B$11)=0),I61,0)+IF(AND(A126&gt;A62,A126&lt;=A62+'Summary'!$B$10*12,MOD(A126-A62,'Summary'!$B$11)=0),I62,0)+IF(AND(A126&gt;A63,A126&lt;=A63+'Summary'!$B$10*12,MOD(A126-A63,'Summary'!$B$11)=0),I63,0)+IF(AND(A126&gt;A64,A126&lt;=A64+'Summary'!$B$10*12,MOD(A126-A64,'Summary'!$B$11)=0),I64,0)+IF(AND(A126&gt;A65,A126&lt;=A65+'Summary'!$B$10*12,MOD(A126-A65,'Summary'!$B$11)=0),I65,0)+IF(AND(A126&gt;A66,A126&lt;=A66+'Summary'!$B$10*12,MOD(A126-A66,'Summary'!$B$11)=0),I66,0)+IF(AND(A126&gt;A67,A126&lt;=A67+'Summary'!$B$10*12,MOD(A126-A67,'Summary'!$B$11)=0),I67,0)+IF(AND(A126&gt;A68,A126&lt;=A68+'Summary'!$B$10*12,MOD(A126-A68,'Summary'!$B$11)=0),I68,0)+IF(AND(A126&gt;A69,A126&lt;=A69+'Summary'!$B$10*12,MOD(A126-A69,'Summary'!$B$11)=0),I69,0)+IF(AND(A126&gt;A70,A126&lt;=A70+'Summary'!$B$10*12,MOD(A126-A70,'Summary'!$B$11)=0),I70,0)+IF(AND(A126&gt;A71,A126&lt;=A71+'Summary'!$B$10*12,MOD(A126-A71,'Summary'!$B$11)=0),I71,0)+IF(AND(A126&gt;A72,A126&lt;=A72+'Summary'!$B$10*12,MOD(A126-A72,'Summary'!$B$11)=0),I72,0)+IF(AND(A126&gt;A73,A126&lt;=A73+'Summary'!$B$10*12,MOD(A126-A73,'Summary'!$B$11)=0),I73,0)+IF(AND(A126&gt;A74,A126&lt;=A74+'Summary'!$B$10*12,MOD(A126-A74,'Summary'!$B$11)=0),I74,0)+IF(AND(A126&gt;A75,A126&lt;=A75+'Summary'!$B$10*12,MOD(A126-A75,'Summary'!$B$11)=0),I75,0)+IF(AND(A126&gt;A76,A126&lt;=A76+'Summary'!$B$10*12,MOD(A126-A76,'Summary'!$B$11)=0),I76,0)+IF(AND(A126&gt;A77,A126&lt;=A77+'Summary'!$B$10*12,MOD(A126-A77,'Summary'!$B$11)=0),I77,0)+IF(AND(A126&gt;A78,A126&lt;=A78+'Summary'!$B$10*12,MOD(A126-A78,'Summary'!$B$11)=0),I78,0)+IF(AND(A126&gt;A79,A126&lt;=A79+'Summary'!$B$10*12,MOD(A126-A79,'Summary'!$B$11)=0),I79,0)+IF(AND(A126&gt;A80,A126&lt;=A80+'Summary'!$B$10*12,MOD(A126-A80,'Summary'!$B$11)=0),I80,0)+IF(AND(A126&gt;A81,A126&lt;=A81+'Summary'!$B$10*12,MOD(A126-A81,'Summary'!$B$11)=0),I81,0)+IF(AND(A126&gt;A82,A126&lt;=A82+'Summary'!$B$10*12,MOD(A126-A82,'Summary'!$B$11)=0),I82,0)+IF(AND(A126&gt;A83,A126&lt;=A83+'Summary'!$B$10*12,MOD(A126-A83,'Summary'!$B$11)=0),I83,0)+IF(AND(A126&gt;A84,A126&lt;=A84+'Summary'!$B$10*12,MOD(A126-A84,'Summary'!$B$11)=0),I84,0)+IF(AND(A126&gt;A85,A126&lt;=A85+'Summary'!$B$10*12,MOD(A126-A85,'Summary'!$B$11)=0),I85,0)+IF(AND(A126&gt;A86,A126&lt;=A86+'Summary'!$B$10*12,MOD(A126-A86,'Summary'!$B$11)=0),I86,0)+IF(AND(A126&gt;A87,A126&lt;=A87+'Summary'!$B$10*12,MOD(A126-A87,'Summary'!$B$11)=0),I87,0)+IF(AND(A126&gt;A88,A126&lt;=A88+'Summary'!$B$10*12,MOD(A126-A88,'Summary'!$B$11)=0),I88,0)+IF(AND(A126&gt;A89,A126&lt;=A89+'Summary'!$B$10*12,MOD(A126-A89,'Summary'!$B$11)=0),I89,0)+IF(AND(A126&gt;A90,A126&lt;=A90+'Summary'!$B$10*12,MOD(A126-A90,'Summary'!$B$11)=0),I90,0)+IF(AND(A126&gt;A91,A126&lt;=A91+'Summary'!$B$10*12,MOD(A126-A91,'Summary'!$B$11)=0),I91,0)+IF(AND(A126&gt;A92,A126&lt;=A92+'Summary'!$B$10*12,MOD(A126-A92,'Summary'!$B$11)=0),I92,0)+IF(AND(A126&gt;A93,A126&lt;=A93+'Summary'!$B$10*12,MOD(A126-A93,'Summary'!$B$11)=0),I93,0)+IF(AND(A126&gt;A94,A126&lt;=A94+'Summary'!$B$10*12,MOD(A126-A94,'Summary'!$B$11)=0),I94,0)+IF(AND(A126&gt;A95,A126&lt;=A95+'Summary'!$B$10*12,MOD(A126-A95,'Summary'!$B$11)=0),I95,0)+IF(AND(A126&gt;A96,A126&lt;=A96+'Summary'!$B$10*12,MOD(A126-A96,'Summary'!$B$11)=0),I96,0)+IF(AND(A126&gt;A97,A126&lt;=A97+'Summary'!$B$10*12,MOD(A126-A97,'Summary'!$B$11)=0),I97,0)+IF(AND(A126&gt;A98,A126&lt;=A98+'Summary'!$B$10*12,MOD(A126-A98,'Summary'!$B$11)=0),I98,0)+IF(AND(A126&gt;A99,A126&lt;=A99+'Summary'!$B$10*12,MOD(A126-A99,'Summary'!$B$11)=0),I99,0)+IF(AND(A126&gt;A100,A126&lt;=A100+'Summary'!$B$10*12,MOD(A126-A100,'Summary'!$B$11)=0),I100,0)+IF(AND(A126&gt;A101,A126&lt;=A101+'Summary'!$B$10*12,MOD(A126-A101,'Summary'!$B$11)=0),I101,0)+IF(AND(A126&gt;A102,A126&lt;=A102+'Summary'!$B$10*12,MOD(A126-A102,'Summary'!$B$11)=0),I102,0)+IF(AND(A126&gt;A103,A126&lt;=A103+'Summary'!$B$10*12,MOD(A126-A103,'Summary'!$B$11)=0),I103,0)+IF(AND(A126&gt;A104,A126&lt;=A104+'Summary'!$B$10*12,MOD(A126-A104,'Summary'!$B$11)=0),I104,0)+IF(AND(A126&gt;A105,A126&lt;=A105+'Summary'!$B$10*12,MOD(A126-A105,'Summary'!$B$11)=0),I105,0)+IF(AND(A126&gt;A106,A126&lt;=A106+'Summary'!$B$10*12,MOD(A126-A106,'Summary'!$B$11)=0),I106,0)+IF(AND(A126&gt;A107,A126&lt;=A107+'Summary'!$B$10*12,MOD(A126-A107,'Summary'!$B$11)=0),I107,0)+IF(AND(A126&gt;A108,A126&lt;=A108+'Summary'!$B$10*12,MOD(A126-A108,'Summary'!$B$11)=0),I108,0)+IF(AND(A126&gt;A109,A126&lt;=A109+'Summary'!$B$10*12,MOD(A126-A109,'Summary'!$B$11)=0),I109,0)+IF(AND(A126&gt;A110,A126&lt;=A110+'Summary'!$B$10*12,MOD(A126-A110,'Summary'!$B$11)=0),I110,0)+IF(AND(A126&gt;A111,A126&lt;=A111+'Summary'!$B$10*12,MOD(A126-A111,'Summary'!$B$11)=0),I111,0)+IF(AND(A126&gt;A112,A126&lt;=A112+'Summary'!$B$10*12,MOD(A126-A112,'Summary'!$B$11)=0),I112,0)+IF(AND(A126&gt;A113,A126&lt;=A113+'Summary'!$B$10*12,MOD(A126-A113,'Summary'!$B$11)=0),I113,0)+IF(AND(A126&gt;A114,A126&lt;=A114+'Summary'!$B$10*12,MOD(A126-A114,'Summary'!$B$11)=0),I114,0)+IF(AND(A126&gt;A115,A126&lt;=A115+'Summary'!$B$10*12,MOD(A126-A115,'Summary'!$B$11)=0),I115,0)+IF(AND(A126&gt;A116,A126&lt;=A116+'Summary'!$B$10*12,MOD(A126-A116,'Summary'!$B$11)=0),I116,0)+IF(AND(A126&gt;A117,A126&lt;=A117+'Summary'!$B$10*12,MOD(A126-A117,'Summary'!$B$11)=0),I117,0)+IF(AND(A126&gt;A118,A126&lt;=A118+'Summary'!$B$10*12,MOD(A126-A118,'Summary'!$B$11)=0),I118,0)+IF(AND(A126&gt;A119,A126&lt;=A119+'Summary'!$B$10*12,MOD(A126-A119,'Summary'!$B$11)=0),I119,0)+IF(AND(A126&gt;A120,A126&lt;=A120+'Summary'!$B$10*12,MOD(A126-A120,'Summary'!$B$11)=0),I120,0)+IF(AND(A126&gt;A121,A126&lt;=A121+'Summary'!$B$10*12,MOD(A126-A121,'Summary'!$B$11)=0),I121,0)+IF(AND(A126&gt;A122,A126&lt;=A122+'Summary'!$B$10*12,MOD(A126-A122,'Summary'!$B$11)=0),I122,0)+IF(AND(A126&gt;A123,A126&lt;=A123+'Summary'!$B$10*12,MOD(A126-A123,'Summary'!$B$11)=0),I123,0)+IF(AND(A126&gt;A124,A126&lt;=A124+'Summary'!$B$10*12,MOD(A126-A124,'Summary'!$B$11)=0),I124,0)+IF(AND(A126&gt;A125,A126&lt;=A125+'Summary'!$B$10*12,MOD(A126-A125,'Summary'!$B$11)=0),I125,0))*'Summary'!$B$8/2</x:f>
        <x:v>41.92854970647758</x:v>
      </x:c>
      <x:c r="G126" s="62" t="n">
        <x:f>IF(A126=A8+'Summary'!$B$10*12,I8,0)+IF(A126=A9+'Summary'!$B$10*12,I9,0)+IF(A126=A10+'Summary'!$B$10*12,I10,0)+IF(A126=A11+'Summary'!$B$10*12,I11,0)+IF(A126=A12+'Summary'!$B$10*12,I12,0)+IF(A126=A13+'Summary'!$B$10*12,I13,0)+IF(A126=A14+'Summary'!$B$10*12,I14,0)+IF(A126=A15+'Summary'!$B$10*12,I15,0)+IF(A126=A16+'Summary'!$B$10*12,I16,0)+IF(A126=A17+'Summary'!$B$10*12,I17,0)+IF(A126=A18+'Summary'!$B$10*12,I18,0)+IF(A126=A19+'Summary'!$B$10*12,I19,0)+IF(A126=A20+'Summary'!$B$10*12,I20,0)+IF(A126=A21+'Summary'!$B$10*12,I21,0)+IF(A126=A22+'Summary'!$B$10*12,I22,0)+IF(A126=A23+'Summary'!$B$10*12,I23,0)+IF(A126=A24+'Summary'!$B$10*12,I24,0)+IF(A126=A25+'Summary'!$B$10*12,I25,0)+IF(A126=A26+'Summary'!$B$10*12,I26,0)+IF(A126=A27+'Summary'!$B$10*12,I27,0)+IF(A126=A28+'Summary'!$B$10*12,I28,0)+IF(A126=A29+'Summary'!$B$10*12,I29,0)+IF(A126=A30+'Summary'!$B$10*12,I30,0)+IF(A126=A31+'Summary'!$B$10*12,I31,0)+IF(A126=A32+'Summary'!$B$10*12,I32,0)+IF(A126=A33+'Summary'!$B$10*12,I33,0)+IF(A126=A34+'Summary'!$B$10*12,I34,0)+IF(A126=A35+'Summary'!$B$10*12,I35,0)+IF(A126=A36+'Summary'!$B$10*12,I36,0)+IF(A126=A37+'Summary'!$B$10*12,I37,0)+IF(A126=A38+'Summary'!$B$10*12,I38,0)+IF(A126=A39+'Summary'!$B$10*12,I39,0)+IF(A126=A40+'Summary'!$B$10*12,I40,0)+IF(A126=A41+'Summary'!$B$10*12,I41,0)+IF(A126=A42+'Summary'!$B$10*12,I42,0)+IF(A126=A43+'Summary'!$B$10*12,I43,0)+IF(A126=A44+'Summary'!$B$10*12,I44,0)+IF(A126=A45+'Summary'!$B$10*12,I45,0)+IF(A126=A46+'Summary'!$B$10*12,I46,0)+IF(A126=A47+'Summary'!$B$10*12,I47,0)+IF(A126=A48+'Summary'!$B$10*12,I48,0)+IF(A126=A49+'Summary'!$B$10*12,I49,0)+IF(A126=A50+'Summary'!$B$10*12,I50,0)+IF(A126=A51+'Summary'!$B$10*12,I51,0)+IF(A126=A52+'Summary'!$B$10*12,I52,0)+IF(A126=A53+'Summary'!$B$10*12,I53,0)+IF(A126=A54+'Summary'!$B$10*12,I54,0)+IF(A126=A55+'Summary'!$B$10*12,I55,0)+IF(A126=A56+'Summary'!$B$10*12,I56,0)+IF(A126=A57+'Summary'!$B$10*12,I57,0)+IF(A126=A58+'Summary'!$B$10*12,I58,0)+IF(A126=A59+'Summary'!$B$10*12,I59,0)+IF(A126=A60+'Summary'!$B$10*12,I60,0)+IF(A126=A61+'Summary'!$B$10*12,I61,0)+IF(A126=A62+'Summary'!$B$10*12,I62,0)+IF(A126=A63+'Summary'!$B$10*12,I63,0)+IF(A126=A64+'Summary'!$B$10*12,I64,0)+IF(A126=A65+'Summary'!$B$10*12,I65,0)+IF(A126=A66+'Summary'!$B$10*12,I66,0)+IF(A126=A67+'Summary'!$B$10*12,I67,0)+IF(A126=A68+'Summary'!$B$10*12,I68,0)+IF(A126=A69+'Summary'!$B$10*12,I69,0)+IF(A126=A70+'Summary'!$B$10*12,I70,0)+IF(A126=A71+'Summary'!$B$10*12,I71,0)+IF(A126=A72+'Summary'!$B$10*12,I72,0)+IF(A126=A73+'Summary'!$B$10*12,I73,0)+IF(A126=A74+'Summary'!$B$10*12,I74,0)+IF(A126=A75+'Summary'!$B$10*12,I75,0)+IF(A126=A76+'Summary'!$B$10*12,I76,0)+IF(A126=A77+'Summary'!$B$10*12,I77,0)+IF(A126=A78+'Summary'!$B$10*12,I78,0)+IF(A126=A79+'Summary'!$B$10*12,I79,0)+IF(A126=A80+'Summary'!$B$10*12,I80,0)+IF(A126=A81+'Summary'!$B$10*12,I81,0)+IF(A126=A82+'Summary'!$B$10*12,I82,0)+IF(A126=A83+'Summary'!$B$10*12,I83,0)+IF(A126=A84+'Summary'!$B$10*12,I84,0)+IF(A126=A85+'Summary'!$B$10*12,I85,0)+IF(A126=A86+'Summary'!$B$10*12,I86,0)+IF(A126=A87+'Summary'!$B$10*12,I87,0)+IF(A126=A88+'Summary'!$B$10*12,I88,0)+IF(A126=A89+'Summary'!$B$10*12,I89,0)+IF(A126=A90+'Summary'!$B$10*12,I90,0)+IF(A126=A91+'Summary'!$B$10*12,I91,0)+IF(A126=A92+'Summary'!$B$10*12,I92,0)+IF(A126=A93+'Summary'!$B$10*12,I93,0)+IF(A126=A94+'Summary'!$B$10*12,I94,0)+IF(A126=A95+'Summary'!$B$10*12,I95,0)+IF(A126=A96+'Summary'!$B$10*12,I96,0)+IF(A126=A97+'Summary'!$B$10*12,I97,0)+IF(A126=A98+'Summary'!$B$10*12,I98,0)+IF(A126=A99+'Summary'!$B$10*12,I99,0)+IF(A126=A100+'Summary'!$B$10*12,I100,0)+IF(A126=A101+'Summary'!$B$10*12,I101,0)+IF(A126=A102+'Summary'!$B$10*12,I102,0)+IF(A126=A103+'Summary'!$B$10*12,I103,0)+IF(A126=A104+'Summary'!$B$10*12,I104,0)+IF(A126=A105+'Summary'!$B$10*12,I105,0)+IF(A126=A106+'Summary'!$B$10*12,I106,0)+IF(A126=A107+'Summary'!$B$10*12,I107,0)+IF(A126=A108+'Summary'!$B$10*12,I108,0)+IF(A126=A109+'Summary'!$B$10*12,I109,0)+IF(A126=A110+'Summary'!$B$10*12,I110,0)+IF(A126=A111+'Summary'!$B$10*12,I111,0)+IF(A126=A112+'Summary'!$B$10*12,I112,0)+IF(A126=A113+'Summary'!$B$10*12,I113,0)+IF(A126=A114+'Summary'!$B$10*12,I114,0)+IF(A126=A115+'Summary'!$B$10*12,I115,0)+IF(A126=A116+'Summary'!$B$10*12,I116,0)+IF(A126=A117+'Summary'!$B$10*12,I117,0)+IF(A126=A118+'Summary'!$B$10*12,I118,0)+IF(A126=A119+'Summary'!$B$10*12,I119,0)+IF(A126=A120+'Summary'!$B$10*12,I120,0)+IF(A126=A121+'Summary'!$B$10*12,I121,0)+IF(A126=A122+'Summary'!$B$10*12,I122,0)+IF(A126=A123+'Summary'!$B$10*12,I123,0)+IF(A126=A124+'Summary'!$B$10*12,I124,0)+IF(A126=A125+'Summary'!$B$10*12,I125,0)</x:f>
        <x:v>118.04104526401468</x:v>
      </x:c>
      <x:c r="H126" s="62" t="n">
        <x:f>E126+D126+F126+G126</x:f>
        <x:v>259.96959497049227</x:v>
      </x:c>
      <x:c r="I126" s="62" t="n">
        <x:f>IF(B126,IF(H126&gt;='Summary'!$B$12,H126,0),0)</x:f>
        <x:v>259.96959497049227</x:v>
      </x:c>
      <x:c r="J126" s="62" t="n">
        <x:f>H126-I126</x:f>
        <x:v>0</x:v>
      </x:c>
      <x:c r="K126" s="63" t="n">
        <x:f>J126+IF(A8+'Summary'!$B$10*12&gt;A126,I8,0)+IF(A9+'Summary'!$B$10*12&gt;A126,I9,0)+IF(A10+'Summary'!$B$10*12&gt;A126,I10,0)+IF(A11+'Summary'!$B$10*12&gt;A126,I11,0)+IF(A12+'Summary'!$B$10*12&gt;A126,I12,0)+IF(A13+'Summary'!$B$10*12&gt;A126,I13,0)+IF(A14+'Summary'!$B$10*12&gt;A126,I14,0)+IF(A15+'Summary'!$B$10*12&gt;A126,I15,0)+IF(A16+'Summary'!$B$10*12&gt;A126,I16,0)+IF(A17+'Summary'!$B$10*12&gt;A126,I17,0)+IF(A18+'Summary'!$B$10*12&gt;A126,I18,0)+IF(A19+'Summary'!$B$10*12&gt;A126,I19,0)+IF(A20+'Summary'!$B$10*12&gt;A126,I20,0)+IF(A21+'Summary'!$B$10*12&gt;A126,I21,0)+IF(A22+'Summary'!$B$10*12&gt;A126,I22,0)+IF(A23+'Summary'!$B$10*12&gt;A126,I23,0)+IF(A24+'Summary'!$B$10*12&gt;A126,I24,0)+IF(A25+'Summary'!$B$10*12&gt;A126,I25,0)+IF(A26+'Summary'!$B$10*12&gt;A126,I26,0)+IF(A27+'Summary'!$B$10*12&gt;A126,I27,0)+IF(A28+'Summary'!$B$10*12&gt;A126,I28,0)+IF(A29+'Summary'!$B$10*12&gt;A126,I29,0)+IF(A30+'Summary'!$B$10*12&gt;A126,I30,0)+IF(A31+'Summary'!$B$10*12&gt;A126,I31,0)+IF(A32+'Summary'!$B$10*12&gt;A126,I32,0)+IF(A33+'Summary'!$B$10*12&gt;A126,I33,0)+IF(A34+'Summary'!$B$10*12&gt;A126,I34,0)+IF(A35+'Summary'!$B$10*12&gt;A126,I35,0)+IF(A36+'Summary'!$B$10*12&gt;A126,I36,0)+IF(A37+'Summary'!$B$10*12&gt;A126,I37,0)+IF(A38+'Summary'!$B$10*12&gt;A126,I38,0)+IF(A39+'Summary'!$B$10*12&gt;A126,I39,0)+IF(A40+'Summary'!$B$10*12&gt;A126,I40,0)+IF(A41+'Summary'!$B$10*12&gt;A126,I41,0)+IF(A42+'Summary'!$B$10*12&gt;A126,I42,0)+IF(A43+'Summary'!$B$10*12&gt;A126,I43,0)+IF(A44+'Summary'!$B$10*12&gt;A126,I44,0)+IF(A45+'Summary'!$B$10*12&gt;A126,I45,0)+IF(A46+'Summary'!$B$10*12&gt;A126,I46,0)+IF(A47+'Summary'!$B$10*12&gt;A126,I47,0)+IF(A48+'Summary'!$B$10*12&gt;A126,I48,0)+IF(A49+'Summary'!$B$10*12&gt;A126,I49,0)+IF(A50+'Summary'!$B$10*12&gt;A126,I50,0)+IF(A51+'Summary'!$B$10*12&gt;A126,I51,0)+IF(A52+'Summary'!$B$10*12&gt;A126,I52,0)+IF(A53+'Summary'!$B$10*12&gt;A126,I53,0)+IF(A54+'Summary'!$B$10*12&gt;A126,I54,0)+IF(A55+'Summary'!$B$10*12&gt;A126,I55,0)+IF(A56+'Summary'!$B$10*12&gt;A126,I56,0)+IF(A57+'Summary'!$B$10*12&gt;A126,I57,0)+IF(A58+'Summary'!$B$10*12&gt;A126,I58,0)+IF(A59+'Summary'!$B$10*12&gt;A126,I59,0)+IF(A60+'Summary'!$B$10*12&gt;A126,I60,0)+IF(A61+'Summary'!$B$10*12&gt;A126,I61,0)+IF(A62+'Summary'!$B$10*12&gt;A126,I62,0)+IF(A63+'Summary'!$B$10*12&gt;A126,I63,0)+IF(A64+'Summary'!$B$10*12&gt;A126,I64,0)+IF(A65+'Summary'!$B$10*12&gt;A126,I65,0)+IF(A66+'Summary'!$B$10*12&gt;A126,I66,0)+IF(A67+'Summary'!$B$10*12&gt;A126,I67,0)+IF(A68+'Summary'!$B$10*12&gt;A126,I68,0)+IF(A69+'Summary'!$B$10*12&gt;A126,I69,0)+IF(A70+'Summary'!$B$10*12&gt;A126,I70,0)+IF(A71+'Summary'!$B$10*12&gt;A126,I71,0)+IF(A72+'Summary'!$B$10*12&gt;A126,I72,0)+IF(A73+'Summary'!$B$10*12&gt;A126,I73,0)+IF(A74+'Summary'!$B$10*12&gt;A126,I74,0)+IF(A75+'Summary'!$B$10*12&gt;A126,I75,0)+IF(A76+'Summary'!$B$10*12&gt;A126,I76,0)+IF(A77+'Summary'!$B$10*12&gt;A126,I77,0)+IF(A78+'Summary'!$B$10*12&gt;A126,I78,0)+IF(A79+'Summary'!$B$10*12&gt;A126,I79,0)+IF(A80+'Summary'!$B$10*12&gt;A126,I80,0)+IF(A81+'Summary'!$B$10*12&gt;A126,I81,0)+IF(A82+'Summary'!$B$10*12&gt;A126,I82,0)+IF(A83+'Summary'!$B$10*12&gt;A126,I83,0)+IF(A84+'Summary'!$B$10*12&gt;A126,I84,0)+IF(A85+'Summary'!$B$10*12&gt;A126,I85,0)+IF(A86+'Summary'!$B$10*12&gt;A126,I86,0)+IF(A87+'Summary'!$B$10*12&gt;A126,I87,0)+IF(A88+'Summary'!$B$10*12&gt;A126,I88,0)+IF(A89+'Summary'!$B$10*12&gt;A126,I89,0)+IF(A90+'Summary'!$B$10*12&gt;A126,I90,0)+IF(A91+'Summary'!$B$10*12&gt;A126,I91,0)+IF(A92+'Summary'!$B$10*12&gt;A126,I92,0)+IF(A93+'Summary'!$B$10*12&gt;A126,I93,0)+IF(A94+'Summary'!$B$10*12&gt;A126,I94,0)+IF(A95+'Summary'!$B$10*12&gt;A126,I95,0)+IF(A96+'Summary'!$B$10*12&gt;A126,I96,0)+IF(A97+'Summary'!$B$10*12&gt;A126,I97,0)+IF(A98+'Summary'!$B$10*12&gt;A126,I98,0)+IF(A99+'Summary'!$B$10*12&gt;A126,I99,0)+IF(A100+'Summary'!$B$10*12&gt;A126,I100,0)+IF(A101+'Summary'!$B$10*12&gt;A126,I101,0)+IF(A102+'Summary'!$B$10*12&gt;A126,I102,0)+IF(A103+'Summary'!$B$10*12&gt;A126,I103,0)+IF(A104+'Summary'!$B$10*12&gt;A126,I104,0)+IF(A105+'Summary'!$B$10*12&gt;A126,I105,0)+IF(A106+'Summary'!$B$10*12&gt;A126,I106,0)+IF(A107+'Summary'!$B$10*12&gt;A126,I107,0)+IF(A108+'Summary'!$B$10*12&gt;A126,I108,0)+IF(A109+'Summary'!$B$10*12&gt;A126,I109,0)+IF(A110+'Summary'!$B$10*12&gt;A126,I110,0)+IF(A111+'Summary'!$B$10*12&gt;A126,I111,0)+IF(A112+'Summary'!$B$10*12&gt;A126,I112,0)+IF(A113+'Summary'!$B$10*12&gt;A126,I113,0)+IF(A114+'Summary'!$B$10*12&gt;A126,I114,0)+IF(A115+'Summary'!$B$10*12&gt;A126,I115,0)+IF(A116+'Summary'!$B$10*12&gt;A126,I116,0)+IF(A117+'Summary'!$B$10*12&gt;A126,I117,0)+IF(A118+'Summary'!$B$10*12&gt;A126,I118,0)+IF(A119+'Summary'!$B$10*12&gt;A126,I119,0)+IF(A120+'Summary'!$B$10*12&gt;A126,I120,0)+IF(A121+'Summary'!$B$10*12&gt;A126,I121,0)+IF(A122+'Summary'!$B$10*12&gt;A126,I122,0)+IF(A123+'Summary'!$B$10*12&gt;A126,I123,0)+IF(A124+'Summary'!$B$10*12&gt;A126,I124,0)+IF(A125+'Summary'!$B$10*12&gt;A126,I125,0)+IF(A126+'Summary'!$B$10*12&gt;A126,I126,0)</x:f>
        <x:v>28427.836334172924</x:v>
      </x:c>
    </x:row>
    <x:row r="127">
      <x:c r="A127" s="55" t="n">
        <x:v>119</x:v>
      </x:c>
      <x:c r="B127" s="71" t="b">
        <x:f>A127&lt;='Summary'!$B$9*12</x:f>
        <x:v>1</x:v>
      </x:c>
      <x:c r="C127" s="62" t="n">
        <x:f>IF(A127=0,IF('Summary'!$B$6&gt;=5,'Summary'!$B$6,0),C126)+IF(A127&lt;'Summary'!$B$9*12,IF('Summary'!$B$7&gt;=5,'Summary'!$B$7,0),0)</x:f>
        <x:v>22000</x:v>
      </x:c>
      <x:c r="D127" s="62" t="n">
        <x:f>IF(A127=0,IF('Summary'!$B$6&gt;=5,'Summary'!$B$6,0),0)+IF(A127&lt;'Summary'!$B$9*12,IF('Summary'!$B$7&gt;=5,'Summary'!$B$7,0),0)</x:f>
        <x:v>100</x:v>
      </x:c>
      <x:c r="E127" s="62" t="n">
        <x:f>J126</x:f>
        <x:v>0</x:v>
      </x:c>
      <x:c r="F127" s="62" t="n">
        <x:f>(IF(AND(A127&gt;A8,A127&lt;=A8+'Summary'!$B$10*12,MOD(A127-A8,'Summary'!$B$11)=0),I8,0)+IF(AND(A127&gt;A9,A127&lt;=A9+'Summary'!$B$10*12,MOD(A127-A9,'Summary'!$B$11)=0),I9,0)+IF(AND(A127&gt;A10,A127&lt;=A10+'Summary'!$B$10*12,MOD(A127-A10,'Summary'!$B$11)=0),I10,0)+IF(AND(A127&gt;A11,A127&lt;=A11+'Summary'!$B$10*12,MOD(A127-A11,'Summary'!$B$11)=0),I11,0)+IF(AND(A127&gt;A12,A127&lt;=A12+'Summary'!$B$10*12,MOD(A127-A12,'Summary'!$B$11)=0),I12,0)+IF(AND(A127&gt;A13,A127&lt;=A13+'Summary'!$B$10*12,MOD(A127-A13,'Summary'!$B$11)=0),I13,0)+IF(AND(A127&gt;A14,A127&lt;=A14+'Summary'!$B$10*12,MOD(A127-A14,'Summary'!$B$11)=0),I14,0)+IF(AND(A127&gt;A15,A127&lt;=A15+'Summary'!$B$10*12,MOD(A127-A15,'Summary'!$B$11)=0),I15,0)+IF(AND(A127&gt;A16,A127&lt;=A16+'Summary'!$B$10*12,MOD(A127-A16,'Summary'!$B$11)=0),I16,0)+IF(AND(A127&gt;A17,A127&lt;=A17+'Summary'!$B$10*12,MOD(A127-A17,'Summary'!$B$11)=0),I17,0)+IF(AND(A127&gt;A18,A127&lt;=A18+'Summary'!$B$10*12,MOD(A127-A18,'Summary'!$B$11)=0),I18,0)+IF(AND(A127&gt;A19,A127&lt;=A19+'Summary'!$B$10*12,MOD(A127-A19,'Summary'!$B$11)=0),I19,0)+IF(AND(A127&gt;A20,A127&lt;=A20+'Summary'!$B$10*12,MOD(A127-A20,'Summary'!$B$11)=0),I20,0)+IF(AND(A127&gt;A21,A127&lt;=A21+'Summary'!$B$10*12,MOD(A127-A21,'Summary'!$B$11)=0),I21,0)+IF(AND(A127&gt;A22,A127&lt;=A22+'Summary'!$B$10*12,MOD(A127-A22,'Summary'!$B$11)=0),I22,0)+IF(AND(A127&gt;A23,A127&lt;=A23+'Summary'!$B$10*12,MOD(A127-A23,'Summary'!$B$11)=0),I23,0)+IF(AND(A127&gt;A24,A127&lt;=A24+'Summary'!$B$10*12,MOD(A127-A24,'Summary'!$B$11)=0),I24,0)+IF(AND(A127&gt;A25,A127&lt;=A25+'Summary'!$B$10*12,MOD(A127-A25,'Summary'!$B$11)=0),I25,0)+IF(AND(A127&gt;A26,A127&lt;=A26+'Summary'!$B$10*12,MOD(A127-A26,'Summary'!$B$11)=0),I26,0)+IF(AND(A127&gt;A27,A127&lt;=A27+'Summary'!$B$10*12,MOD(A127-A27,'Summary'!$B$11)=0),I27,0)+IF(AND(A127&gt;A28,A127&lt;=A28+'Summary'!$B$10*12,MOD(A127-A28,'Summary'!$B$11)=0),I28,0)+IF(AND(A127&gt;A29,A127&lt;=A29+'Summary'!$B$10*12,MOD(A127-A29,'Summary'!$B$11)=0),I29,0)+IF(AND(A127&gt;A30,A127&lt;=A30+'Summary'!$B$10*12,MOD(A127-A30,'Summary'!$B$11)=0),I30,0)+IF(AND(A127&gt;A31,A127&lt;=A31+'Summary'!$B$10*12,MOD(A127-A31,'Summary'!$B$11)=0),I31,0)+IF(AND(A127&gt;A32,A127&lt;=A32+'Summary'!$B$10*12,MOD(A127-A32,'Summary'!$B$11)=0),I32,0)+IF(AND(A127&gt;A33,A127&lt;=A33+'Summary'!$B$10*12,MOD(A127-A33,'Summary'!$B$11)=0),I33,0)+IF(AND(A127&gt;A34,A127&lt;=A34+'Summary'!$B$10*12,MOD(A127-A34,'Summary'!$B$11)=0),I34,0)+IF(AND(A127&gt;A35,A127&lt;=A35+'Summary'!$B$10*12,MOD(A127-A35,'Summary'!$B$11)=0),I35,0)+IF(AND(A127&gt;A36,A127&lt;=A36+'Summary'!$B$10*12,MOD(A127-A36,'Summary'!$B$11)=0),I36,0)+IF(AND(A127&gt;A37,A127&lt;=A37+'Summary'!$B$10*12,MOD(A127-A37,'Summary'!$B$11)=0),I37,0)+IF(AND(A127&gt;A38,A127&lt;=A38+'Summary'!$B$10*12,MOD(A127-A38,'Summary'!$B$11)=0),I38,0)+IF(AND(A127&gt;A39,A127&lt;=A39+'Summary'!$B$10*12,MOD(A127-A39,'Summary'!$B$11)=0),I39,0)+IF(AND(A127&gt;A40,A127&lt;=A40+'Summary'!$B$10*12,MOD(A127-A40,'Summary'!$B$11)=0),I40,0)+IF(AND(A127&gt;A41,A127&lt;=A41+'Summary'!$B$10*12,MOD(A127-A41,'Summary'!$B$11)=0),I41,0)+IF(AND(A127&gt;A42,A127&lt;=A42+'Summary'!$B$10*12,MOD(A127-A42,'Summary'!$B$11)=0),I42,0)+IF(AND(A127&gt;A43,A127&lt;=A43+'Summary'!$B$10*12,MOD(A127-A43,'Summary'!$B$11)=0),I43,0)+IF(AND(A127&gt;A44,A127&lt;=A44+'Summary'!$B$10*12,MOD(A127-A44,'Summary'!$B$11)=0),I44,0)+IF(AND(A127&gt;A45,A127&lt;=A45+'Summary'!$B$10*12,MOD(A127-A45,'Summary'!$B$11)=0),I45,0)+IF(AND(A127&gt;A46,A127&lt;=A46+'Summary'!$B$10*12,MOD(A127-A46,'Summary'!$B$11)=0),I46,0)+IF(AND(A127&gt;A47,A127&lt;=A47+'Summary'!$B$10*12,MOD(A127-A47,'Summary'!$B$11)=0),I47,0)+IF(AND(A127&gt;A48,A127&lt;=A48+'Summary'!$B$10*12,MOD(A127-A48,'Summary'!$B$11)=0),I48,0)+IF(AND(A127&gt;A49,A127&lt;=A49+'Summary'!$B$10*12,MOD(A127-A49,'Summary'!$B$11)=0),I49,0)+IF(AND(A127&gt;A50,A127&lt;=A50+'Summary'!$B$10*12,MOD(A127-A50,'Summary'!$B$11)=0),I50,0)+IF(AND(A127&gt;A51,A127&lt;=A51+'Summary'!$B$10*12,MOD(A127-A51,'Summary'!$B$11)=0),I51,0)+IF(AND(A127&gt;A52,A127&lt;=A52+'Summary'!$B$10*12,MOD(A127-A52,'Summary'!$B$11)=0),I52,0)+IF(AND(A127&gt;A53,A127&lt;=A53+'Summary'!$B$10*12,MOD(A127-A53,'Summary'!$B$11)=0),I53,0)+IF(AND(A127&gt;A54,A127&lt;=A54+'Summary'!$B$10*12,MOD(A127-A54,'Summary'!$B$11)=0),I54,0)+IF(AND(A127&gt;A55,A127&lt;=A55+'Summary'!$B$10*12,MOD(A127-A55,'Summary'!$B$11)=0),I55,0)+IF(AND(A127&gt;A56,A127&lt;=A56+'Summary'!$B$10*12,MOD(A127-A56,'Summary'!$B$11)=0),I56,0)+IF(AND(A127&gt;A57,A127&lt;=A57+'Summary'!$B$10*12,MOD(A127-A57,'Summary'!$B$11)=0),I57,0)+IF(AND(A127&gt;A58,A127&lt;=A58+'Summary'!$B$10*12,MOD(A127-A58,'Summary'!$B$11)=0),I58,0)+IF(AND(A127&gt;A59,A127&lt;=A59+'Summary'!$B$10*12,MOD(A127-A59,'Summary'!$B$11)=0),I59,0)+IF(AND(A127&gt;A60,A127&lt;=A60+'Summary'!$B$10*12,MOD(A127-A60,'Summary'!$B$11)=0),I60,0)+IF(AND(A127&gt;A61,A127&lt;=A61+'Summary'!$B$10*12,MOD(A127-A61,'Summary'!$B$11)=0),I61,0)+IF(AND(A127&gt;A62,A127&lt;=A62+'Summary'!$B$10*12,MOD(A127-A62,'Summary'!$B$11)=0),I62,0)+IF(AND(A127&gt;A63,A127&lt;=A63+'Summary'!$B$10*12,MOD(A127-A63,'Summary'!$B$11)=0),I63,0)+IF(AND(A127&gt;A64,A127&lt;=A64+'Summary'!$B$10*12,MOD(A127-A64,'Summary'!$B$11)=0),I64,0)+IF(AND(A127&gt;A65,A127&lt;=A65+'Summary'!$B$10*12,MOD(A127-A65,'Summary'!$B$11)=0),I65,0)+IF(AND(A127&gt;A66,A127&lt;=A66+'Summary'!$B$10*12,MOD(A127-A66,'Summary'!$B$11)=0),I66,0)+IF(AND(A127&gt;A67,A127&lt;=A67+'Summary'!$B$10*12,MOD(A127-A67,'Summary'!$B$11)=0),I67,0)+IF(AND(A127&gt;A68,A127&lt;=A68+'Summary'!$B$10*12,MOD(A127-A68,'Summary'!$B$11)=0),I68,0)+IF(AND(A127&gt;A69,A127&lt;=A69+'Summary'!$B$10*12,MOD(A127-A69,'Summary'!$B$11)=0),I69,0)+IF(AND(A127&gt;A70,A127&lt;=A70+'Summary'!$B$10*12,MOD(A127-A70,'Summary'!$B$11)=0),I70,0)+IF(AND(A127&gt;A71,A127&lt;=A71+'Summary'!$B$10*12,MOD(A127-A71,'Summary'!$B$11)=0),I71,0)+IF(AND(A127&gt;A72,A127&lt;=A72+'Summary'!$B$10*12,MOD(A127-A72,'Summary'!$B$11)=0),I72,0)+IF(AND(A127&gt;A73,A127&lt;=A73+'Summary'!$B$10*12,MOD(A127-A73,'Summary'!$B$11)=0),I73,0)+IF(AND(A127&gt;A74,A127&lt;=A74+'Summary'!$B$10*12,MOD(A127-A74,'Summary'!$B$11)=0),I74,0)+IF(AND(A127&gt;A75,A127&lt;=A75+'Summary'!$B$10*12,MOD(A127-A75,'Summary'!$B$11)=0),I75,0)+IF(AND(A127&gt;A76,A127&lt;=A76+'Summary'!$B$10*12,MOD(A127-A76,'Summary'!$B$11)=0),I76,0)+IF(AND(A127&gt;A77,A127&lt;=A77+'Summary'!$B$10*12,MOD(A127-A77,'Summary'!$B$11)=0),I77,0)+IF(AND(A127&gt;A78,A127&lt;=A78+'Summary'!$B$10*12,MOD(A127-A78,'Summary'!$B$11)=0),I78,0)+IF(AND(A127&gt;A79,A127&lt;=A79+'Summary'!$B$10*12,MOD(A127-A79,'Summary'!$B$11)=0),I79,0)+IF(AND(A127&gt;A80,A127&lt;=A80+'Summary'!$B$10*12,MOD(A127-A80,'Summary'!$B$11)=0),I80,0)+IF(AND(A127&gt;A81,A127&lt;=A81+'Summary'!$B$10*12,MOD(A127-A81,'Summary'!$B$11)=0),I81,0)+IF(AND(A127&gt;A82,A127&lt;=A82+'Summary'!$B$10*12,MOD(A127-A82,'Summary'!$B$11)=0),I82,0)+IF(AND(A127&gt;A83,A127&lt;=A83+'Summary'!$B$10*12,MOD(A127-A83,'Summary'!$B$11)=0),I83,0)+IF(AND(A127&gt;A84,A127&lt;=A84+'Summary'!$B$10*12,MOD(A127-A84,'Summary'!$B$11)=0),I84,0)+IF(AND(A127&gt;A85,A127&lt;=A85+'Summary'!$B$10*12,MOD(A127-A85,'Summary'!$B$11)=0),I85,0)+IF(AND(A127&gt;A86,A127&lt;=A86+'Summary'!$B$10*12,MOD(A127-A86,'Summary'!$B$11)=0),I86,0)+IF(AND(A127&gt;A87,A127&lt;=A87+'Summary'!$B$10*12,MOD(A127-A87,'Summary'!$B$11)=0),I87,0)+IF(AND(A127&gt;A88,A127&lt;=A88+'Summary'!$B$10*12,MOD(A127-A88,'Summary'!$B$11)=0),I88,0)+IF(AND(A127&gt;A89,A127&lt;=A89+'Summary'!$B$10*12,MOD(A127-A89,'Summary'!$B$11)=0),I89,0)+IF(AND(A127&gt;A90,A127&lt;=A90+'Summary'!$B$10*12,MOD(A127-A90,'Summary'!$B$11)=0),I90,0)+IF(AND(A127&gt;A91,A127&lt;=A91+'Summary'!$B$10*12,MOD(A127-A91,'Summary'!$B$11)=0),I91,0)+IF(AND(A127&gt;A92,A127&lt;=A92+'Summary'!$B$10*12,MOD(A127-A92,'Summary'!$B$11)=0),I92,0)+IF(AND(A127&gt;A93,A127&lt;=A93+'Summary'!$B$10*12,MOD(A127-A93,'Summary'!$B$11)=0),I93,0)+IF(AND(A127&gt;A94,A127&lt;=A94+'Summary'!$B$10*12,MOD(A127-A94,'Summary'!$B$11)=0),I94,0)+IF(AND(A127&gt;A95,A127&lt;=A95+'Summary'!$B$10*12,MOD(A127-A95,'Summary'!$B$11)=0),I95,0)+IF(AND(A127&gt;A96,A127&lt;=A96+'Summary'!$B$10*12,MOD(A127-A96,'Summary'!$B$11)=0),I96,0)+IF(AND(A127&gt;A97,A127&lt;=A97+'Summary'!$B$10*12,MOD(A127-A97,'Summary'!$B$11)=0),I97,0)+IF(AND(A127&gt;A98,A127&lt;=A98+'Summary'!$B$10*12,MOD(A127-A98,'Summary'!$B$11)=0),I98,0)+IF(AND(A127&gt;A99,A127&lt;=A99+'Summary'!$B$10*12,MOD(A127-A99,'Summary'!$B$11)=0),I99,0)+IF(AND(A127&gt;A100,A127&lt;=A100+'Summary'!$B$10*12,MOD(A127-A100,'Summary'!$B$11)=0),I100,0)+IF(AND(A127&gt;A101,A127&lt;=A101+'Summary'!$B$10*12,MOD(A127-A101,'Summary'!$B$11)=0),I101,0)+IF(AND(A127&gt;A102,A127&lt;=A102+'Summary'!$B$10*12,MOD(A127-A102,'Summary'!$B$11)=0),I102,0)+IF(AND(A127&gt;A103,A127&lt;=A103+'Summary'!$B$10*12,MOD(A127-A103,'Summary'!$B$11)=0),I103,0)+IF(AND(A127&gt;A104,A127&lt;=A104+'Summary'!$B$10*12,MOD(A127-A104,'Summary'!$B$11)=0),I104,0)+IF(AND(A127&gt;A105,A127&lt;=A105+'Summary'!$B$10*12,MOD(A127-A105,'Summary'!$B$11)=0),I105,0)+IF(AND(A127&gt;A106,A127&lt;=A106+'Summary'!$B$10*12,MOD(A127-A106,'Summary'!$B$11)=0),I106,0)+IF(AND(A127&gt;A107,A127&lt;=A107+'Summary'!$B$10*12,MOD(A127-A107,'Summary'!$B$11)=0),I107,0)+IF(AND(A127&gt;A108,A127&lt;=A108+'Summary'!$B$10*12,MOD(A127-A108,'Summary'!$B$11)=0),I108,0)+IF(AND(A127&gt;A109,A127&lt;=A109+'Summary'!$B$10*12,MOD(A127-A109,'Summary'!$B$11)=0),I109,0)+IF(AND(A127&gt;A110,A127&lt;=A110+'Summary'!$B$10*12,MOD(A127-A110,'Summary'!$B$11)=0),I110,0)+IF(AND(A127&gt;A111,A127&lt;=A111+'Summary'!$B$10*12,MOD(A127-A111,'Summary'!$B$11)=0),I111,0)+IF(AND(A127&gt;A112,A127&lt;=A112+'Summary'!$B$10*12,MOD(A127-A112,'Summary'!$B$11)=0),I112,0)+IF(AND(A127&gt;A113,A127&lt;=A113+'Summary'!$B$10*12,MOD(A127-A113,'Summary'!$B$11)=0),I113,0)+IF(AND(A127&gt;A114,A127&lt;=A114+'Summary'!$B$10*12,MOD(A127-A114,'Summary'!$B$11)=0),I114,0)+IF(AND(A127&gt;A115,A127&lt;=A115+'Summary'!$B$10*12,MOD(A127-A115,'Summary'!$B$11)=0),I115,0)+IF(AND(A127&gt;A116,A127&lt;=A116+'Summary'!$B$10*12,MOD(A127-A116,'Summary'!$B$11)=0),I116,0)+IF(AND(A127&gt;A117,A127&lt;=A117+'Summary'!$B$10*12,MOD(A127-A117,'Summary'!$B$11)=0),I117,0)+IF(AND(A127&gt;A118,A127&lt;=A118+'Summary'!$B$10*12,MOD(A127-A118,'Summary'!$B$11)=0),I118,0)+IF(AND(A127&gt;A119,A127&lt;=A119+'Summary'!$B$10*12,MOD(A127-A119,'Summary'!$B$11)=0),I119,0)+IF(AND(A127&gt;A120,A127&lt;=A120+'Summary'!$B$10*12,MOD(A127-A120,'Summary'!$B$11)=0),I120,0)+IF(AND(A127&gt;A121,A127&lt;=A121+'Summary'!$B$10*12,MOD(A127-A121,'Summary'!$B$11)=0),I121,0)+IF(AND(A127&gt;A122,A127&lt;=A122+'Summary'!$B$10*12,MOD(A127-A122,'Summary'!$B$11)=0),I122,0)+IF(AND(A127&gt;A123,A127&lt;=A123+'Summary'!$B$10*12,MOD(A127-A123,'Summary'!$B$11)=0),I123,0)+IF(AND(A127&gt;A124,A127&lt;=A124+'Summary'!$B$10*12,MOD(A127-A124,'Summary'!$B$11)=0),I124,0)+IF(AND(A127&gt;A125,A127&lt;=A125+'Summary'!$B$10*12,MOD(A127-A125,'Summary'!$B$11)=0),I125,0)+IF(AND(A127&gt;A126,A127&lt;=A126+'Summary'!$B$10*12,MOD(A127-A126,'Summary'!$B$11)=0),I126,0))*'Summary'!$B$8/2</x:f>
        <x:v>41.92854970647758</x:v>
      </x:c>
      <x:c r="G127" s="62" t="n">
        <x:f>IF(A127=A8+'Summary'!$B$10*12,I8,0)+IF(A127=A9+'Summary'!$B$10*12,I9,0)+IF(A127=A10+'Summary'!$B$10*12,I10,0)+IF(A127=A11+'Summary'!$B$10*12,I11,0)+IF(A127=A12+'Summary'!$B$10*12,I12,0)+IF(A127=A13+'Summary'!$B$10*12,I13,0)+IF(A127=A14+'Summary'!$B$10*12,I14,0)+IF(A127=A15+'Summary'!$B$10*12,I15,0)+IF(A127=A16+'Summary'!$B$10*12,I16,0)+IF(A127=A17+'Summary'!$B$10*12,I17,0)+IF(A127=A18+'Summary'!$B$10*12,I18,0)+IF(A127=A19+'Summary'!$B$10*12,I19,0)+IF(A127=A20+'Summary'!$B$10*12,I20,0)+IF(A127=A21+'Summary'!$B$10*12,I21,0)+IF(A127=A22+'Summary'!$B$10*12,I22,0)+IF(A127=A23+'Summary'!$B$10*12,I23,0)+IF(A127=A24+'Summary'!$B$10*12,I24,0)+IF(A127=A25+'Summary'!$B$10*12,I25,0)+IF(A127=A26+'Summary'!$B$10*12,I26,0)+IF(A127=A27+'Summary'!$B$10*12,I27,0)+IF(A127=A28+'Summary'!$B$10*12,I28,0)+IF(A127=A29+'Summary'!$B$10*12,I29,0)+IF(A127=A30+'Summary'!$B$10*12,I30,0)+IF(A127=A31+'Summary'!$B$10*12,I31,0)+IF(A127=A32+'Summary'!$B$10*12,I32,0)+IF(A127=A33+'Summary'!$B$10*12,I33,0)+IF(A127=A34+'Summary'!$B$10*12,I34,0)+IF(A127=A35+'Summary'!$B$10*12,I35,0)+IF(A127=A36+'Summary'!$B$10*12,I36,0)+IF(A127=A37+'Summary'!$B$10*12,I37,0)+IF(A127=A38+'Summary'!$B$10*12,I38,0)+IF(A127=A39+'Summary'!$B$10*12,I39,0)+IF(A127=A40+'Summary'!$B$10*12,I40,0)+IF(A127=A41+'Summary'!$B$10*12,I41,0)+IF(A127=A42+'Summary'!$B$10*12,I42,0)+IF(A127=A43+'Summary'!$B$10*12,I43,0)+IF(A127=A44+'Summary'!$B$10*12,I44,0)+IF(A127=A45+'Summary'!$B$10*12,I45,0)+IF(A127=A46+'Summary'!$B$10*12,I46,0)+IF(A127=A47+'Summary'!$B$10*12,I47,0)+IF(A127=A48+'Summary'!$B$10*12,I48,0)+IF(A127=A49+'Summary'!$B$10*12,I49,0)+IF(A127=A50+'Summary'!$B$10*12,I50,0)+IF(A127=A51+'Summary'!$B$10*12,I51,0)+IF(A127=A52+'Summary'!$B$10*12,I52,0)+IF(A127=A53+'Summary'!$B$10*12,I53,0)+IF(A127=A54+'Summary'!$B$10*12,I54,0)+IF(A127=A55+'Summary'!$B$10*12,I55,0)+IF(A127=A56+'Summary'!$B$10*12,I56,0)+IF(A127=A57+'Summary'!$B$10*12,I57,0)+IF(A127=A58+'Summary'!$B$10*12,I58,0)+IF(A127=A59+'Summary'!$B$10*12,I59,0)+IF(A127=A60+'Summary'!$B$10*12,I60,0)+IF(A127=A61+'Summary'!$B$10*12,I61,0)+IF(A127=A62+'Summary'!$B$10*12,I62,0)+IF(A127=A63+'Summary'!$B$10*12,I63,0)+IF(A127=A64+'Summary'!$B$10*12,I64,0)+IF(A127=A65+'Summary'!$B$10*12,I65,0)+IF(A127=A66+'Summary'!$B$10*12,I66,0)+IF(A127=A67+'Summary'!$B$10*12,I67,0)+IF(A127=A68+'Summary'!$B$10*12,I68,0)+IF(A127=A69+'Summary'!$B$10*12,I69,0)+IF(A127=A70+'Summary'!$B$10*12,I70,0)+IF(A127=A71+'Summary'!$B$10*12,I71,0)+IF(A127=A72+'Summary'!$B$10*12,I72,0)+IF(A127=A73+'Summary'!$B$10*12,I73,0)+IF(A127=A74+'Summary'!$B$10*12,I74,0)+IF(A127=A75+'Summary'!$B$10*12,I75,0)+IF(A127=A76+'Summary'!$B$10*12,I76,0)+IF(A127=A77+'Summary'!$B$10*12,I77,0)+IF(A127=A78+'Summary'!$B$10*12,I78,0)+IF(A127=A79+'Summary'!$B$10*12,I79,0)+IF(A127=A80+'Summary'!$B$10*12,I80,0)+IF(A127=A81+'Summary'!$B$10*12,I81,0)+IF(A127=A82+'Summary'!$B$10*12,I82,0)+IF(A127=A83+'Summary'!$B$10*12,I83,0)+IF(A127=A84+'Summary'!$B$10*12,I84,0)+IF(A127=A85+'Summary'!$B$10*12,I85,0)+IF(A127=A86+'Summary'!$B$10*12,I86,0)+IF(A127=A87+'Summary'!$B$10*12,I87,0)+IF(A127=A88+'Summary'!$B$10*12,I88,0)+IF(A127=A89+'Summary'!$B$10*12,I89,0)+IF(A127=A90+'Summary'!$B$10*12,I90,0)+IF(A127=A91+'Summary'!$B$10*12,I91,0)+IF(A127=A92+'Summary'!$B$10*12,I92,0)+IF(A127=A93+'Summary'!$B$10*12,I93,0)+IF(A127=A94+'Summary'!$B$10*12,I94,0)+IF(A127=A95+'Summary'!$B$10*12,I95,0)+IF(A127=A96+'Summary'!$B$10*12,I96,0)+IF(A127=A97+'Summary'!$B$10*12,I97,0)+IF(A127=A98+'Summary'!$B$10*12,I98,0)+IF(A127=A99+'Summary'!$B$10*12,I99,0)+IF(A127=A100+'Summary'!$B$10*12,I100,0)+IF(A127=A101+'Summary'!$B$10*12,I101,0)+IF(A127=A102+'Summary'!$B$10*12,I102,0)+IF(A127=A103+'Summary'!$B$10*12,I103,0)+IF(A127=A104+'Summary'!$B$10*12,I104,0)+IF(A127=A105+'Summary'!$B$10*12,I105,0)+IF(A127=A106+'Summary'!$B$10*12,I106,0)+IF(A127=A107+'Summary'!$B$10*12,I107,0)+IF(A127=A108+'Summary'!$B$10*12,I108,0)+IF(A127=A109+'Summary'!$B$10*12,I109,0)+IF(A127=A110+'Summary'!$B$10*12,I110,0)+IF(A127=A111+'Summary'!$B$10*12,I111,0)+IF(A127=A112+'Summary'!$B$10*12,I112,0)+IF(A127=A113+'Summary'!$B$10*12,I113,0)+IF(A127=A114+'Summary'!$B$10*12,I114,0)+IF(A127=A115+'Summary'!$B$10*12,I115,0)+IF(A127=A116+'Summary'!$B$10*12,I116,0)+IF(A127=A117+'Summary'!$B$10*12,I117,0)+IF(A127=A118+'Summary'!$B$10*12,I118,0)+IF(A127=A119+'Summary'!$B$10*12,I119,0)+IF(A127=A120+'Summary'!$B$10*12,I120,0)+IF(A127=A121+'Summary'!$B$10*12,I121,0)+IF(A127=A122+'Summary'!$B$10*12,I122,0)+IF(A127=A123+'Summary'!$B$10*12,I123,0)+IF(A127=A124+'Summary'!$B$10*12,I124,0)+IF(A127=A125+'Summary'!$B$10*12,I125,0)+IF(A127=A126+'Summary'!$B$10*12,I126,0)</x:f>
        <x:v>118.04104526401468</x:v>
      </x:c>
      <x:c r="H127" s="62" t="n">
        <x:f>E127+D127+F127+G127</x:f>
        <x:v>259.96959497049227</x:v>
      </x:c>
      <x:c r="I127" s="62" t="n">
        <x:f>IF(B127,IF(H127&gt;='Summary'!$B$12,H127,0),0)</x:f>
        <x:v>259.96959497049227</x:v>
      </x:c>
      <x:c r="J127" s="62" t="n">
        <x:f>H127-I127</x:f>
        <x:v>0</x:v>
      </x:c>
      <x:c r="K127" s="63" t="n">
        <x:f>J127+IF(A8+'Summary'!$B$10*12&gt;A127,I8,0)+IF(A9+'Summary'!$B$10*12&gt;A127,I9,0)+IF(A10+'Summary'!$B$10*12&gt;A127,I10,0)+IF(A11+'Summary'!$B$10*12&gt;A127,I11,0)+IF(A12+'Summary'!$B$10*12&gt;A127,I12,0)+IF(A13+'Summary'!$B$10*12&gt;A127,I13,0)+IF(A14+'Summary'!$B$10*12&gt;A127,I14,0)+IF(A15+'Summary'!$B$10*12&gt;A127,I15,0)+IF(A16+'Summary'!$B$10*12&gt;A127,I16,0)+IF(A17+'Summary'!$B$10*12&gt;A127,I17,0)+IF(A18+'Summary'!$B$10*12&gt;A127,I18,0)+IF(A19+'Summary'!$B$10*12&gt;A127,I19,0)+IF(A20+'Summary'!$B$10*12&gt;A127,I20,0)+IF(A21+'Summary'!$B$10*12&gt;A127,I21,0)+IF(A22+'Summary'!$B$10*12&gt;A127,I22,0)+IF(A23+'Summary'!$B$10*12&gt;A127,I23,0)+IF(A24+'Summary'!$B$10*12&gt;A127,I24,0)+IF(A25+'Summary'!$B$10*12&gt;A127,I25,0)+IF(A26+'Summary'!$B$10*12&gt;A127,I26,0)+IF(A27+'Summary'!$B$10*12&gt;A127,I27,0)+IF(A28+'Summary'!$B$10*12&gt;A127,I28,0)+IF(A29+'Summary'!$B$10*12&gt;A127,I29,0)+IF(A30+'Summary'!$B$10*12&gt;A127,I30,0)+IF(A31+'Summary'!$B$10*12&gt;A127,I31,0)+IF(A32+'Summary'!$B$10*12&gt;A127,I32,0)+IF(A33+'Summary'!$B$10*12&gt;A127,I33,0)+IF(A34+'Summary'!$B$10*12&gt;A127,I34,0)+IF(A35+'Summary'!$B$10*12&gt;A127,I35,0)+IF(A36+'Summary'!$B$10*12&gt;A127,I36,0)+IF(A37+'Summary'!$B$10*12&gt;A127,I37,0)+IF(A38+'Summary'!$B$10*12&gt;A127,I38,0)+IF(A39+'Summary'!$B$10*12&gt;A127,I39,0)+IF(A40+'Summary'!$B$10*12&gt;A127,I40,0)+IF(A41+'Summary'!$B$10*12&gt;A127,I41,0)+IF(A42+'Summary'!$B$10*12&gt;A127,I42,0)+IF(A43+'Summary'!$B$10*12&gt;A127,I43,0)+IF(A44+'Summary'!$B$10*12&gt;A127,I44,0)+IF(A45+'Summary'!$B$10*12&gt;A127,I45,0)+IF(A46+'Summary'!$B$10*12&gt;A127,I46,0)+IF(A47+'Summary'!$B$10*12&gt;A127,I47,0)+IF(A48+'Summary'!$B$10*12&gt;A127,I48,0)+IF(A49+'Summary'!$B$10*12&gt;A127,I49,0)+IF(A50+'Summary'!$B$10*12&gt;A127,I50,0)+IF(A51+'Summary'!$B$10*12&gt;A127,I51,0)+IF(A52+'Summary'!$B$10*12&gt;A127,I52,0)+IF(A53+'Summary'!$B$10*12&gt;A127,I53,0)+IF(A54+'Summary'!$B$10*12&gt;A127,I54,0)+IF(A55+'Summary'!$B$10*12&gt;A127,I55,0)+IF(A56+'Summary'!$B$10*12&gt;A127,I56,0)+IF(A57+'Summary'!$B$10*12&gt;A127,I57,0)+IF(A58+'Summary'!$B$10*12&gt;A127,I58,0)+IF(A59+'Summary'!$B$10*12&gt;A127,I59,0)+IF(A60+'Summary'!$B$10*12&gt;A127,I60,0)+IF(A61+'Summary'!$B$10*12&gt;A127,I61,0)+IF(A62+'Summary'!$B$10*12&gt;A127,I62,0)+IF(A63+'Summary'!$B$10*12&gt;A127,I63,0)+IF(A64+'Summary'!$B$10*12&gt;A127,I64,0)+IF(A65+'Summary'!$B$10*12&gt;A127,I65,0)+IF(A66+'Summary'!$B$10*12&gt;A127,I66,0)+IF(A67+'Summary'!$B$10*12&gt;A127,I67,0)+IF(A68+'Summary'!$B$10*12&gt;A127,I68,0)+IF(A69+'Summary'!$B$10*12&gt;A127,I69,0)+IF(A70+'Summary'!$B$10*12&gt;A127,I70,0)+IF(A71+'Summary'!$B$10*12&gt;A127,I71,0)+IF(A72+'Summary'!$B$10*12&gt;A127,I72,0)+IF(A73+'Summary'!$B$10*12&gt;A127,I73,0)+IF(A74+'Summary'!$B$10*12&gt;A127,I74,0)+IF(A75+'Summary'!$B$10*12&gt;A127,I75,0)+IF(A76+'Summary'!$B$10*12&gt;A127,I76,0)+IF(A77+'Summary'!$B$10*12&gt;A127,I77,0)+IF(A78+'Summary'!$B$10*12&gt;A127,I78,0)+IF(A79+'Summary'!$B$10*12&gt;A127,I79,0)+IF(A80+'Summary'!$B$10*12&gt;A127,I80,0)+IF(A81+'Summary'!$B$10*12&gt;A127,I81,0)+IF(A82+'Summary'!$B$10*12&gt;A127,I82,0)+IF(A83+'Summary'!$B$10*12&gt;A127,I83,0)+IF(A84+'Summary'!$B$10*12&gt;A127,I84,0)+IF(A85+'Summary'!$B$10*12&gt;A127,I85,0)+IF(A86+'Summary'!$B$10*12&gt;A127,I86,0)+IF(A87+'Summary'!$B$10*12&gt;A127,I87,0)+IF(A88+'Summary'!$B$10*12&gt;A127,I88,0)+IF(A89+'Summary'!$B$10*12&gt;A127,I89,0)+IF(A90+'Summary'!$B$10*12&gt;A127,I90,0)+IF(A91+'Summary'!$B$10*12&gt;A127,I91,0)+IF(A92+'Summary'!$B$10*12&gt;A127,I92,0)+IF(A93+'Summary'!$B$10*12&gt;A127,I93,0)+IF(A94+'Summary'!$B$10*12&gt;A127,I94,0)+IF(A95+'Summary'!$B$10*12&gt;A127,I95,0)+IF(A96+'Summary'!$B$10*12&gt;A127,I96,0)+IF(A97+'Summary'!$B$10*12&gt;A127,I97,0)+IF(A98+'Summary'!$B$10*12&gt;A127,I98,0)+IF(A99+'Summary'!$B$10*12&gt;A127,I99,0)+IF(A100+'Summary'!$B$10*12&gt;A127,I100,0)+IF(A101+'Summary'!$B$10*12&gt;A127,I101,0)+IF(A102+'Summary'!$B$10*12&gt;A127,I102,0)+IF(A103+'Summary'!$B$10*12&gt;A127,I103,0)+IF(A104+'Summary'!$B$10*12&gt;A127,I104,0)+IF(A105+'Summary'!$B$10*12&gt;A127,I105,0)+IF(A106+'Summary'!$B$10*12&gt;A127,I106,0)+IF(A107+'Summary'!$B$10*12&gt;A127,I107,0)+IF(A108+'Summary'!$B$10*12&gt;A127,I108,0)+IF(A109+'Summary'!$B$10*12&gt;A127,I109,0)+IF(A110+'Summary'!$B$10*12&gt;A127,I110,0)+IF(A111+'Summary'!$B$10*12&gt;A127,I111,0)+IF(A112+'Summary'!$B$10*12&gt;A127,I112,0)+IF(A113+'Summary'!$B$10*12&gt;A127,I113,0)+IF(A114+'Summary'!$B$10*12&gt;A127,I114,0)+IF(A115+'Summary'!$B$10*12&gt;A127,I115,0)+IF(A116+'Summary'!$B$10*12&gt;A127,I116,0)+IF(A117+'Summary'!$B$10*12&gt;A127,I117,0)+IF(A118+'Summary'!$B$10*12&gt;A127,I118,0)+IF(A119+'Summary'!$B$10*12&gt;A127,I119,0)+IF(A120+'Summary'!$B$10*12&gt;A127,I120,0)+IF(A121+'Summary'!$B$10*12&gt;A127,I121,0)+IF(A122+'Summary'!$B$10*12&gt;A127,I122,0)+IF(A123+'Summary'!$B$10*12&gt;A127,I123,0)+IF(A124+'Summary'!$B$10*12&gt;A127,I124,0)+IF(A125+'Summary'!$B$10*12&gt;A127,I125,0)+IF(A126+'Summary'!$B$10*12&gt;A127,I126,0)+IF(A127+'Summary'!$B$10*12&gt;A127,I127,0)</x:f>
        <x:v>28569.764883879398</x:v>
      </x:c>
    </x:row>
    <x:row r="128">
      <x:c r="A128" s="56" t="n">
        <x:v>120</x:v>
      </x:c>
      <x:c r="B128" s="72" t="b">
        <x:f>A128&lt;='Summary'!$B$9*12</x:f>
        <x:v>1</x:v>
      </x:c>
      <x:c r="C128" s="64" t="n">
        <x:f>IF(A128=0,IF('Summary'!$B$6&gt;=5,'Summary'!$B$6,0),C127)+IF(A128&lt;'Summary'!$B$9*12,IF('Summary'!$B$7&gt;=5,'Summary'!$B$7,0),0)</x:f>
        <x:v>22000</x:v>
      </x:c>
      <x:c r="D128" s="64" t="n">
        <x:f>IF(A128=0,IF('Summary'!$B$6&gt;=5,'Summary'!$B$6,0),0)+IF(A128&lt;'Summary'!$B$9*12,IF('Summary'!$B$7&gt;=5,'Summary'!$B$7,0),0)</x:f>
        <x:v>0</x:v>
      </x:c>
      <x:c r="E128" s="64" t="n">
        <x:f>J127</x:f>
        <x:v>0</x:v>
      </x:c>
      <x:c r="F128" s="64" t="n">
        <x:f>(IF(AND(A128&gt;A8,A128&lt;=A8+'Summary'!$B$10*12,MOD(A128-A8,'Summary'!$B$11)=0),I8,0)+IF(AND(A128&gt;A9,A128&lt;=A9+'Summary'!$B$10*12,MOD(A128-A9,'Summary'!$B$11)=0),I9,0)+IF(AND(A128&gt;A10,A128&lt;=A10+'Summary'!$B$10*12,MOD(A128-A10,'Summary'!$B$11)=0),I10,0)+IF(AND(A128&gt;A11,A128&lt;=A11+'Summary'!$B$10*12,MOD(A128-A11,'Summary'!$B$11)=0),I11,0)+IF(AND(A128&gt;A12,A128&lt;=A12+'Summary'!$B$10*12,MOD(A128-A12,'Summary'!$B$11)=0),I12,0)+IF(AND(A128&gt;A13,A128&lt;=A13+'Summary'!$B$10*12,MOD(A128-A13,'Summary'!$B$11)=0),I13,0)+IF(AND(A128&gt;A14,A128&lt;=A14+'Summary'!$B$10*12,MOD(A128-A14,'Summary'!$B$11)=0),I14,0)+IF(AND(A128&gt;A15,A128&lt;=A15+'Summary'!$B$10*12,MOD(A128-A15,'Summary'!$B$11)=0),I15,0)+IF(AND(A128&gt;A16,A128&lt;=A16+'Summary'!$B$10*12,MOD(A128-A16,'Summary'!$B$11)=0),I16,0)+IF(AND(A128&gt;A17,A128&lt;=A17+'Summary'!$B$10*12,MOD(A128-A17,'Summary'!$B$11)=0),I17,0)+IF(AND(A128&gt;A18,A128&lt;=A18+'Summary'!$B$10*12,MOD(A128-A18,'Summary'!$B$11)=0),I18,0)+IF(AND(A128&gt;A19,A128&lt;=A19+'Summary'!$B$10*12,MOD(A128-A19,'Summary'!$B$11)=0),I19,0)+IF(AND(A128&gt;A20,A128&lt;=A20+'Summary'!$B$10*12,MOD(A128-A20,'Summary'!$B$11)=0),I20,0)+IF(AND(A128&gt;A21,A128&lt;=A21+'Summary'!$B$10*12,MOD(A128-A21,'Summary'!$B$11)=0),I21,0)+IF(AND(A128&gt;A22,A128&lt;=A22+'Summary'!$B$10*12,MOD(A128-A22,'Summary'!$B$11)=0),I22,0)+IF(AND(A128&gt;A23,A128&lt;=A23+'Summary'!$B$10*12,MOD(A128-A23,'Summary'!$B$11)=0),I23,0)+IF(AND(A128&gt;A24,A128&lt;=A24+'Summary'!$B$10*12,MOD(A128-A24,'Summary'!$B$11)=0),I24,0)+IF(AND(A128&gt;A25,A128&lt;=A25+'Summary'!$B$10*12,MOD(A128-A25,'Summary'!$B$11)=0),I25,0)+IF(AND(A128&gt;A26,A128&lt;=A26+'Summary'!$B$10*12,MOD(A128-A26,'Summary'!$B$11)=0),I26,0)+IF(AND(A128&gt;A27,A128&lt;=A27+'Summary'!$B$10*12,MOD(A128-A27,'Summary'!$B$11)=0),I27,0)+IF(AND(A128&gt;A28,A128&lt;=A28+'Summary'!$B$10*12,MOD(A128-A28,'Summary'!$B$11)=0),I28,0)+IF(AND(A128&gt;A29,A128&lt;=A29+'Summary'!$B$10*12,MOD(A128-A29,'Summary'!$B$11)=0),I29,0)+IF(AND(A128&gt;A30,A128&lt;=A30+'Summary'!$B$10*12,MOD(A128-A30,'Summary'!$B$11)=0),I30,0)+IF(AND(A128&gt;A31,A128&lt;=A31+'Summary'!$B$10*12,MOD(A128-A31,'Summary'!$B$11)=0),I31,0)+IF(AND(A128&gt;A32,A128&lt;=A32+'Summary'!$B$10*12,MOD(A128-A32,'Summary'!$B$11)=0),I32,0)+IF(AND(A128&gt;A33,A128&lt;=A33+'Summary'!$B$10*12,MOD(A128-A33,'Summary'!$B$11)=0),I33,0)+IF(AND(A128&gt;A34,A128&lt;=A34+'Summary'!$B$10*12,MOD(A128-A34,'Summary'!$B$11)=0),I34,0)+IF(AND(A128&gt;A35,A128&lt;=A35+'Summary'!$B$10*12,MOD(A128-A35,'Summary'!$B$11)=0),I35,0)+IF(AND(A128&gt;A36,A128&lt;=A36+'Summary'!$B$10*12,MOD(A128-A36,'Summary'!$B$11)=0),I36,0)+IF(AND(A128&gt;A37,A128&lt;=A37+'Summary'!$B$10*12,MOD(A128-A37,'Summary'!$B$11)=0),I37,0)+IF(AND(A128&gt;A38,A128&lt;=A38+'Summary'!$B$10*12,MOD(A128-A38,'Summary'!$B$11)=0),I38,0)+IF(AND(A128&gt;A39,A128&lt;=A39+'Summary'!$B$10*12,MOD(A128-A39,'Summary'!$B$11)=0),I39,0)+IF(AND(A128&gt;A40,A128&lt;=A40+'Summary'!$B$10*12,MOD(A128-A40,'Summary'!$B$11)=0),I40,0)+IF(AND(A128&gt;A41,A128&lt;=A41+'Summary'!$B$10*12,MOD(A128-A41,'Summary'!$B$11)=0),I41,0)+IF(AND(A128&gt;A42,A128&lt;=A42+'Summary'!$B$10*12,MOD(A128-A42,'Summary'!$B$11)=0),I42,0)+IF(AND(A128&gt;A43,A128&lt;=A43+'Summary'!$B$10*12,MOD(A128-A43,'Summary'!$B$11)=0),I43,0)+IF(AND(A128&gt;A44,A128&lt;=A44+'Summary'!$B$10*12,MOD(A128-A44,'Summary'!$B$11)=0),I44,0)+IF(AND(A128&gt;A45,A128&lt;=A45+'Summary'!$B$10*12,MOD(A128-A45,'Summary'!$B$11)=0),I45,0)+IF(AND(A128&gt;A46,A128&lt;=A46+'Summary'!$B$10*12,MOD(A128-A46,'Summary'!$B$11)=0),I46,0)+IF(AND(A128&gt;A47,A128&lt;=A47+'Summary'!$B$10*12,MOD(A128-A47,'Summary'!$B$11)=0),I47,0)+IF(AND(A128&gt;A48,A128&lt;=A48+'Summary'!$B$10*12,MOD(A128-A48,'Summary'!$B$11)=0),I48,0)+IF(AND(A128&gt;A49,A128&lt;=A49+'Summary'!$B$10*12,MOD(A128-A49,'Summary'!$B$11)=0),I49,0)+IF(AND(A128&gt;A50,A128&lt;=A50+'Summary'!$B$10*12,MOD(A128-A50,'Summary'!$B$11)=0),I50,0)+IF(AND(A128&gt;A51,A128&lt;=A51+'Summary'!$B$10*12,MOD(A128-A51,'Summary'!$B$11)=0),I51,0)+IF(AND(A128&gt;A52,A128&lt;=A52+'Summary'!$B$10*12,MOD(A128-A52,'Summary'!$B$11)=0),I52,0)+IF(AND(A128&gt;A53,A128&lt;=A53+'Summary'!$B$10*12,MOD(A128-A53,'Summary'!$B$11)=0),I53,0)+IF(AND(A128&gt;A54,A128&lt;=A54+'Summary'!$B$10*12,MOD(A128-A54,'Summary'!$B$11)=0),I54,0)+IF(AND(A128&gt;A55,A128&lt;=A55+'Summary'!$B$10*12,MOD(A128-A55,'Summary'!$B$11)=0),I55,0)+IF(AND(A128&gt;A56,A128&lt;=A56+'Summary'!$B$10*12,MOD(A128-A56,'Summary'!$B$11)=0),I56,0)+IF(AND(A128&gt;A57,A128&lt;=A57+'Summary'!$B$10*12,MOD(A128-A57,'Summary'!$B$11)=0),I57,0)+IF(AND(A128&gt;A58,A128&lt;=A58+'Summary'!$B$10*12,MOD(A128-A58,'Summary'!$B$11)=0),I58,0)+IF(AND(A128&gt;A59,A128&lt;=A59+'Summary'!$B$10*12,MOD(A128-A59,'Summary'!$B$11)=0),I59,0)+IF(AND(A128&gt;A60,A128&lt;=A60+'Summary'!$B$10*12,MOD(A128-A60,'Summary'!$B$11)=0),I60,0)+IF(AND(A128&gt;A61,A128&lt;=A61+'Summary'!$B$10*12,MOD(A128-A61,'Summary'!$B$11)=0),I61,0)+IF(AND(A128&gt;A62,A128&lt;=A62+'Summary'!$B$10*12,MOD(A128-A62,'Summary'!$B$11)=0),I62,0)+IF(AND(A128&gt;A63,A128&lt;=A63+'Summary'!$B$10*12,MOD(A128-A63,'Summary'!$B$11)=0),I63,0)+IF(AND(A128&gt;A64,A128&lt;=A64+'Summary'!$B$10*12,MOD(A128-A64,'Summary'!$B$11)=0),I64,0)+IF(AND(A128&gt;A65,A128&lt;=A65+'Summary'!$B$10*12,MOD(A128-A65,'Summary'!$B$11)=0),I65,0)+IF(AND(A128&gt;A66,A128&lt;=A66+'Summary'!$B$10*12,MOD(A128-A66,'Summary'!$B$11)=0),I66,0)+IF(AND(A128&gt;A67,A128&lt;=A67+'Summary'!$B$10*12,MOD(A128-A67,'Summary'!$B$11)=0),I67,0)+IF(AND(A128&gt;A68,A128&lt;=A68+'Summary'!$B$10*12,MOD(A128-A68,'Summary'!$B$11)=0),I68,0)+IF(AND(A128&gt;A69,A128&lt;=A69+'Summary'!$B$10*12,MOD(A128-A69,'Summary'!$B$11)=0),I69,0)+IF(AND(A128&gt;A70,A128&lt;=A70+'Summary'!$B$10*12,MOD(A128-A70,'Summary'!$B$11)=0),I70,0)+IF(AND(A128&gt;A71,A128&lt;=A71+'Summary'!$B$10*12,MOD(A128-A71,'Summary'!$B$11)=0),I71,0)+IF(AND(A128&gt;A72,A128&lt;=A72+'Summary'!$B$10*12,MOD(A128-A72,'Summary'!$B$11)=0),I72,0)+IF(AND(A128&gt;A73,A128&lt;=A73+'Summary'!$B$10*12,MOD(A128-A73,'Summary'!$B$11)=0),I73,0)+IF(AND(A128&gt;A74,A128&lt;=A74+'Summary'!$B$10*12,MOD(A128-A74,'Summary'!$B$11)=0),I74,0)+IF(AND(A128&gt;A75,A128&lt;=A75+'Summary'!$B$10*12,MOD(A128-A75,'Summary'!$B$11)=0),I75,0)+IF(AND(A128&gt;A76,A128&lt;=A76+'Summary'!$B$10*12,MOD(A128-A76,'Summary'!$B$11)=0),I76,0)+IF(AND(A128&gt;A77,A128&lt;=A77+'Summary'!$B$10*12,MOD(A128-A77,'Summary'!$B$11)=0),I77,0)+IF(AND(A128&gt;A78,A128&lt;=A78+'Summary'!$B$10*12,MOD(A128-A78,'Summary'!$B$11)=0),I78,0)+IF(AND(A128&gt;A79,A128&lt;=A79+'Summary'!$B$10*12,MOD(A128-A79,'Summary'!$B$11)=0),I79,0)+IF(AND(A128&gt;A80,A128&lt;=A80+'Summary'!$B$10*12,MOD(A128-A80,'Summary'!$B$11)=0),I80,0)+IF(AND(A128&gt;A81,A128&lt;=A81+'Summary'!$B$10*12,MOD(A128-A81,'Summary'!$B$11)=0),I81,0)+IF(AND(A128&gt;A82,A128&lt;=A82+'Summary'!$B$10*12,MOD(A128-A82,'Summary'!$B$11)=0),I82,0)+IF(AND(A128&gt;A83,A128&lt;=A83+'Summary'!$B$10*12,MOD(A128-A83,'Summary'!$B$11)=0),I83,0)+IF(AND(A128&gt;A84,A128&lt;=A84+'Summary'!$B$10*12,MOD(A128-A84,'Summary'!$B$11)=0),I84,0)+IF(AND(A128&gt;A85,A128&lt;=A85+'Summary'!$B$10*12,MOD(A128-A85,'Summary'!$B$11)=0),I85,0)+IF(AND(A128&gt;A86,A128&lt;=A86+'Summary'!$B$10*12,MOD(A128-A86,'Summary'!$B$11)=0),I86,0)+IF(AND(A128&gt;A87,A128&lt;=A87+'Summary'!$B$10*12,MOD(A128-A87,'Summary'!$B$11)=0),I87,0)+IF(AND(A128&gt;A88,A128&lt;=A88+'Summary'!$B$10*12,MOD(A128-A88,'Summary'!$B$11)=0),I88,0)+IF(AND(A128&gt;A89,A128&lt;=A89+'Summary'!$B$10*12,MOD(A128-A89,'Summary'!$B$11)=0),I89,0)+IF(AND(A128&gt;A90,A128&lt;=A90+'Summary'!$B$10*12,MOD(A128-A90,'Summary'!$B$11)=0),I90,0)+IF(AND(A128&gt;A91,A128&lt;=A91+'Summary'!$B$10*12,MOD(A128-A91,'Summary'!$B$11)=0),I91,0)+IF(AND(A128&gt;A92,A128&lt;=A92+'Summary'!$B$10*12,MOD(A128-A92,'Summary'!$B$11)=0),I92,0)+IF(AND(A128&gt;A93,A128&lt;=A93+'Summary'!$B$10*12,MOD(A128-A93,'Summary'!$B$11)=0),I93,0)+IF(AND(A128&gt;A94,A128&lt;=A94+'Summary'!$B$10*12,MOD(A128-A94,'Summary'!$B$11)=0),I94,0)+IF(AND(A128&gt;A95,A128&lt;=A95+'Summary'!$B$10*12,MOD(A128-A95,'Summary'!$B$11)=0),I95,0)+IF(AND(A128&gt;A96,A128&lt;=A96+'Summary'!$B$10*12,MOD(A128-A96,'Summary'!$B$11)=0),I96,0)+IF(AND(A128&gt;A97,A128&lt;=A97+'Summary'!$B$10*12,MOD(A128-A97,'Summary'!$B$11)=0),I97,0)+IF(AND(A128&gt;A98,A128&lt;=A98+'Summary'!$B$10*12,MOD(A128-A98,'Summary'!$B$11)=0),I98,0)+IF(AND(A128&gt;A99,A128&lt;=A99+'Summary'!$B$10*12,MOD(A128-A99,'Summary'!$B$11)=0),I99,0)+IF(AND(A128&gt;A100,A128&lt;=A100+'Summary'!$B$10*12,MOD(A128-A100,'Summary'!$B$11)=0),I100,0)+IF(AND(A128&gt;A101,A128&lt;=A101+'Summary'!$B$10*12,MOD(A128-A101,'Summary'!$B$11)=0),I101,0)+IF(AND(A128&gt;A102,A128&lt;=A102+'Summary'!$B$10*12,MOD(A128-A102,'Summary'!$B$11)=0),I102,0)+IF(AND(A128&gt;A103,A128&lt;=A103+'Summary'!$B$10*12,MOD(A128-A103,'Summary'!$B$11)=0),I103,0)+IF(AND(A128&gt;A104,A128&lt;=A104+'Summary'!$B$10*12,MOD(A128-A104,'Summary'!$B$11)=0),I104,0)+IF(AND(A128&gt;A105,A128&lt;=A105+'Summary'!$B$10*12,MOD(A128-A105,'Summary'!$B$11)=0),I105,0)+IF(AND(A128&gt;A106,A128&lt;=A106+'Summary'!$B$10*12,MOD(A128-A106,'Summary'!$B$11)=0),I106,0)+IF(AND(A128&gt;A107,A128&lt;=A107+'Summary'!$B$10*12,MOD(A128-A107,'Summary'!$B$11)=0),I107,0)+IF(AND(A128&gt;A108,A128&lt;=A108+'Summary'!$B$10*12,MOD(A128-A108,'Summary'!$B$11)=0),I108,0)+IF(AND(A128&gt;A109,A128&lt;=A109+'Summary'!$B$10*12,MOD(A128-A109,'Summary'!$B$11)=0),I109,0)+IF(AND(A128&gt;A110,A128&lt;=A110+'Summary'!$B$10*12,MOD(A128-A110,'Summary'!$B$11)=0),I110,0)+IF(AND(A128&gt;A111,A128&lt;=A111+'Summary'!$B$10*12,MOD(A128-A111,'Summary'!$B$11)=0),I111,0)+IF(AND(A128&gt;A112,A128&lt;=A112+'Summary'!$B$10*12,MOD(A128-A112,'Summary'!$B$11)=0),I112,0)+IF(AND(A128&gt;A113,A128&lt;=A113+'Summary'!$B$10*12,MOD(A128-A113,'Summary'!$B$11)=0),I113,0)+IF(AND(A128&gt;A114,A128&lt;=A114+'Summary'!$B$10*12,MOD(A128-A114,'Summary'!$B$11)=0),I114,0)+IF(AND(A128&gt;A115,A128&lt;=A115+'Summary'!$B$10*12,MOD(A128-A115,'Summary'!$B$11)=0),I115,0)+IF(AND(A128&gt;A116,A128&lt;=A116+'Summary'!$B$10*12,MOD(A128-A116,'Summary'!$B$11)=0),I116,0)+IF(AND(A128&gt;A117,A128&lt;=A117+'Summary'!$B$10*12,MOD(A128-A117,'Summary'!$B$11)=0),I117,0)+IF(AND(A128&gt;A118,A128&lt;=A118+'Summary'!$B$10*12,MOD(A128-A118,'Summary'!$B$11)=0),I118,0)+IF(AND(A128&gt;A119,A128&lt;=A119+'Summary'!$B$10*12,MOD(A128-A119,'Summary'!$B$11)=0),I119,0)+IF(AND(A128&gt;A120,A128&lt;=A120+'Summary'!$B$10*12,MOD(A128-A120,'Summary'!$B$11)=0),I120,0)+IF(AND(A128&gt;A121,A128&lt;=A121+'Summary'!$B$10*12,MOD(A128-A121,'Summary'!$B$11)=0),I121,0)+IF(AND(A128&gt;A122,A128&lt;=A122+'Summary'!$B$10*12,MOD(A128-A122,'Summary'!$B$11)=0),I122,0)+IF(AND(A128&gt;A123,A128&lt;=A123+'Summary'!$B$10*12,MOD(A128-A123,'Summary'!$B$11)=0),I123,0)+IF(AND(A128&gt;A124,A128&lt;=A124+'Summary'!$B$10*12,MOD(A128-A124,'Summary'!$B$11)=0),I124,0)+IF(AND(A128&gt;A125,A128&lt;=A125+'Summary'!$B$10*12,MOD(A128-A125,'Summary'!$B$11)=0),I125,0)+IF(AND(A128&gt;A126,A128&lt;=A126+'Summary'!$B$10*12,MOD(A128-A126,'Summary'!$B$11)=0),I126,0)+IF(AND(A128&gt;A127,A128&lt;=A127+'Summary'!$B$10*12,MOD(A128-A127,'Summary'!$B$11)=0),I127,0))*'Summary'!$B$8/2</x:f>
        <x:v>308.55552318506636</x:v>
      </x:c>
      <x:c r="G128" s="64" t="n">
        <x:f>IF(A128=A8+'Summary'!$B$10*12,I8,0)+IF(A128=A9+'Summary'!$B$10*12,I9,0)+IF(A128=A10+'Summary'!$B$10*12,I10,0)+IF(A128=A11+'Summary'!$B$10*12,I11,0)+IF(A128=A12+'Summary'!$B$10*12,I12,0)+IF(A128=A13+'Summary'!$B$10*12,I13,0)+IF(A128=A14+'Summary'!$B$10*12,I14,0)+IF(A128=A15+'Summary'!$B$10*12,I15,0)+IF(A128=A16+'Summary'!$B$10*12,I16,0)+IF(A128=A17+'Summary'!$B$10*12,I17,0)+IF(A128=A18+'Summary'!$B$10*12,I18,0)+IF(A128=A19+'Summary'!$B$10*12,I19,0)+IF(A128=A20+'Summary'!$B$10*12,I20,0)+IF(A128=A21+'Summary'!$B$10*12,I21,0)+IF(A128=A22+'Summary'!$B$10*12,I22,0)+IF(A128=A23+'Summary'!$B$10*12,I23,0)+IF(A128=A24+'Summary'!$B$10*12,I24,0)+IF(A128=A25+'Summary'!$B$10*12,I25,0)+IF(A128=A26+'Summary'!$B$10*12,I26,0)+IF(A128=A27+'Summary'!$B$10*12,I27,0)+IF(A128=A28+'Summary'!$B$10*12,I28,0)+IF(A128=A29+'Summary'!$B$10*12,I29,0)+IF(A128=A30+'Summary'!$B$10*12,I30,0)+IF(A128=A31+'Summary'!$B$10*12,I31,0)+IF(A128=A32+'Summary'!$B$10*12,I32,0)+IF(A128=A33+'Summary'!$B$10*12,I33,0)+IF(A128=A34+'Summary'!$B$10*12,I34,0)+IF(A128=A35+'Summary'!$B$10*12,I35,0)+IF(A128=A36+'Summary'!$B$10*12,I36,0)+IF(A128=A37+'Summary'!$B$10*12,I37,0)+IF(A128=A38+'Summary'!$B$10*12,I38,0)+IF(A128=A39+'Summary'!$B$10*12,I39,0)+IF(A128=A40+'Summary'!$B$10*12,I40,0)+IF(A128=A41+'Summary'!$B$10*12,I41,0)+IF(A128=A42+'Summary'!$B$10*12,I42,0)+IF(A128=A43+'Summary'!$B$10*12,I43,0)+IF(A128=A44+'Summary'!$B$10*12,I44,0)+IF(A128=A45+'Summary'!$B$10*12,I45,0)+IF(A128=A46+'Summary'!$B$10*12,I46,0)+IF(A128=A47+'Summary'!$B$10*12,I47,0)+IF(A128=A48+'Summary'!$B$10*12,I48,0)+IF(A128=A49+'Summary'!$B$10*12,I49,0)+IF(A128=A50+'Summary'!$B$10*12,I50,0)+IF(A128=A51+'Summary'!$B$10*12,I51,0)+IF(A128=A52+'Summary'!$B$10*12,I52,0)+IF(A128=A53+'Summary'!$B$10*12,I53,0)+IF(A128=A54+'Summary'!$B$10*12,I54,0)+IF(A128=A55+'Summary'!$B$10*12,I55,0)+IF(A128=A56+'Summary'!$B$10*12,I56,0)+IF(A128=A57+'Summary'!$B$10*12,I57,0)+IF(A128=A58+'Summary'!$B$10*12,I58,0)+IF(A128=A59+'Summary'!$B$10*12,I59,0)+IF(A128=A60+'Summary'!$B$10*12,I60,0)+IF(A128=A61+'Summary'!$B$10*12,I61,0)+IF(A128=A62+'Summary'!$B$10*12,I62,0)+IF(A128=A63+'Summary'!$B$10*12,I63,0)+IF(A128=A64+'Summary'!$B$10*12,I64,0)+IF(A128=A65+'Summary'!$B$10*12,I65,0)+IF(A128=A66+'Summary'!$B$10*12,I66,0)+IF(A128=A67+'Summary'!$B$10*12,I67,0)+IF(A128=A68+'Summary'!$B$10*12,I68,0)+IF(A128=A69+'Summary'!$B$10*12,I69,0)+IF(A128=A70+'Summary'!$B$10*12,I70,0)+IF(A128=A71+'Summary'!$B$10*12,I71,0)+IF(A128=A72+'Summary'!$B$10*12,I72,0)+IF(A128=A73+'Summary'!$B$10*12,I73,0)+IF(A128=A74+'Summary'!$B$10*12,I74,0)+IF(A128=A75+'Summary'!$B$10*12,I75,0)+IF(A128=A76+'Summary'!$B$10*12,I76,0)+IF(A128=A77+'Summary'!$B$10*12,I77,0)+IF(A128=A78+'Summary'!$B$10*12,I78,0)+IF(A128=A79+'Summary'!$B$10*12,I79,0)+IF(A128=A80+'Summary'!$B$10*12,I80,0)+IF(A128=A81+'Summary'!$B$10*12,I81,0)+IF(A128=A82+'Summary'!$B$10*12,I82,0)+IF(A128=A83+'Summary'!$B$10*12,I83,0)+IF(A128=A84+'Summary'!$B$10*12,I84,0)+IF(A128=A85+'Summary'!$B$10*12,I85,0)+IF(A128=A86+'Summary'!$B$10*12,I86,0)+IF(A128=A87+'Summary'!$B$10*12,I87,0)+IF(A128=A88+'Summary'!$B$10*12,I88,0)+IF(A128=A89+'Summary'!$B$10*12,I89,0)+IF(A128=A90+'Summary'!$B$10*12,I90,0)+IF(A128=A91+'Summary'!$B$10*12,I91,0)+IF(A128=A92+'Summary'!$B$10*12,I92,0)+IF(A128=A93+'Summary'!$B$10*12,I93,0)+IF(A128=A94+'Summary'!$B$10*12,I94,0)+IF(A128=A95+'Summary'!$B$10*12,I95,0)+IF(A128=A96+'Summary'!$B$10*12,I96,0)+IF(A128=A97+'Summary'!$B$10*12,I97,0)+IF(A128=A98+'Summary'!$B$10*12,I98,0)+IF(A128=A99+'Summary'!$B$10*12,I99,0)+IF(A128=A100+'Summary'!$B$10*12,I100,0)+IF(A128=A101+'Summary'!$B$10*12,I101,0)+IF(A128=A102+'Summary'!$B$10*12,I102,0)+IF(A128=A103+'Summary'!$B$10*12,I103,0)+IF(A128=A104+'Summary'!$B$10*12,I104,0)+IF(A128=A105+'Summary'!$B$10*12,I105,0)+IF(A128=A106+'Summary'!$B$10*12,I106,0)+IF(A128=A107+'Summary'!$B$10*12,I107,0)+IF(A128=A108+'Summary'!$B$10*12,I108,0)+IF(A128=A109+'Summary'!$B$10*12,I109,0)+IF(A128=A110+'Summary'!$B$10*12,I110,0)+IF(A128=A111+'Summary'!$B$10*12,I111,0)+IF(A128=A112+'Summary'!$B$10*12,I112,0)+IF(A128=A113+'Summary'!$B$10*12,I113,0)+IF(A128=A114+'Summary'!$B$10*12,I114,0)+IF(A128=A115+'Summary'!$B$10*12,I115,0)+IF(A128=A116+'Summary'!$B$10*12,I116,0)+IF(A128=A117+'Summary'!$B$10*12,I117,0)+IF(A128=A118+'Summary'!$B$10*12,I118,0)+IF(A128=A119+'Summary'!$B$10*12,I119,0)+IF(A128=A120+'Summary'!$B$10*12,I120,0)+IF(A128=A121+'Summary'!$B$10*12,I121,0)+IF(A128=A122+'Summary'!$B$10*12,I122,0)+IF(A128=A123+'Summary'!$B$10*12,I123,0)+IF(A128=A124+'Summary'!$B$10*12,I124,0)+IF(A128=A125+'Summary'!$B$10*12,I125,0)+IF(A128=A126+'Summary'!$B$10*12,I126,0)+IF(A128=A127+'Summary'!$B$10*12,I127,0)</x:f>
        <x:v>10439.792952896993</x:v>
      </x:c>
      <x:c r="H128" s="64" t="n">
        <x:f>E128+D128+F128+G128</x:f>
        <x:v>10748.34847608206</x:v>
      </x:c>
      <x:c r="I128" s="64" t="n">
        <x:f>IF(B128,IF(H128&gt;='Summary'!$B$12,H128,0),0)</x:f>
        <x:v>10748.34847608206</x:v>
      </x:c>
      <x:c r="J128" s="64" t="n">
        <x:f>H128-I128</x:f>
        <x:v>0</x:v>
      </x:c>
      <x:c r="K128" s="65" t="n">
        <x:f>J128+IF(A8+'Summary'!$B$10*12&gt;A128,I8,0)+IF(A9+'Summary'!$B$10*12&gt;A128,I9,0)+IF(A10+'Summary'!$B$10*12&gt;A128,I10,0)+IF(A11+'Summary'!$B$10*12&gt;A128,I11,0)+IF(A12+'Summary'!$B$10*12&gt;A128,I12,0)+IF(A13+'Summary'!$B$10*12&gt;A128,I13,0)+IF(A14+'Summary'!$B$10*12&gt;A128,I14,0)+IF(A15+'Summary'!$B$10*12&gt;A128,I15,0)+IF(A16+'Summary'!$B$10*12&gt;A128,I16,0)+IF(A17+'Summary'!$B$10*12&gt;A128,I17,0)+IF(A18+'Summary'!$B$10*12&gt;A128,I18,0)+IF(A19+'Summary'!$B$10*12&gt;A128,I19,0)+IF(A20+'Summary'!$B$10*12&gt;A128,I20,0)+IF(A21+'Summary'!$B$10*12&gt;A128,I21,0)+IF(A22+'Summary'!$B$10*12&gt;A128,I22,0)+IF(A23+'Summary'!$B$10*12&gt;A128,I23,0)+IF(A24+'Summary'!$B$10*12&gt;A128,I24,0)+IF(A25+'Summary'!$B$10*12&gt;A128,I25,0)+IF(A26+'Summary'!$B$10*12&gt;A128,I26,0)+IF(A27+'Summary'!$B$10*12&gt;A128,I27,0)+IF(A28+'Summary'!$B$10*12&gt;A128,I28,0)+IF(A29+'Summary'!$B$10*12&gt;A128,I29,0)+IF(A30+'Summary'!$B$10*12&gt;A128,I30,0)+IF(A31+'Summary'!$B$10*12&gt;A128,I31,0)+IF(A32+'Summary'!$B$10*12&gt;A128,I32,0)+IF(A33+'Summary'!$B$10*12&gt;A128,I33,0)+IF(A34+'Summary'!$B$10*12&gt;A128,I34,0)+IF(A35+'Summary'!$B$10*12&gt;A128,I35,0)+IF(A36+'Summary'!$B$10*12&gt;A128,I36,0)+IF(A37+'Summary'!$B$10*12&gt;A128,I37,0)+IF(A38+'Summary'!$B$10*12&gt;A128,I38,0)+IF(A39+'Summary'!$B$10*12&gt;A128,I39,0)+IF(A40+'Summary'!$B$10*12&gt;A128,I40,0)+IF(A41+'Summary'!$B$10*12&gt;A128,I41,0)+IF(A42+'Summary'!$B$10*12&gt;A128,I42,0)+IF(A43+'Summary'!$B$10*12&gt;A128,I43,0)+IF(A44+'Summary'!$B$10*12&gt;A128,I44,0)+IF(A45+'Summary'!$B$10*12&gt;A128,I45,0)+IF(A46+'Summary'!$B$10*12&gt;A128,I46,0)+IF(A47+'Summary'!$B$10*12&gt;A128,I47,0)+IF(A48+'Summary'!$B$10*12&gt;A128,I48,0)+IF(A49+'Summary'!$B$10*12&gt;A128,I49,0)+IF(A50+'Summary'!$B$10*12&gt;A128,I50,0)+IF(A51+'Summary'!$B$10*12&gt;A128,I51,0)+IF(A52+'Summary'!$B$10*12&gt;A128,I52,0)+IF(A53+'Summary'!$B$10*12&gt;A128,I53,0)+IF(A54+'Summary'!$B$10*12&gt;A128,I54,0)+IF(A55+'Summary'!$B$10*12&gt;A128,I55,0)+IF(A56+'Summary'!$B$10*12&gt;A128,I56,0)+IF(A57+'Summary'!$B$10*12&gt;A128,I57,0)+IF(A58+'Summary'!$B$10*12&gt;A128,I58,0)+IF(A59+'Summary'!$B$10*12&gt;A128,I59,0)+IF(A60+'Summary'!$B$10*12&gt;A128,I60,0)+IF(A61+'Summary'!$B$10*12&gt;A128,I61,0)+IF(A62+'Summary'!$B$10*12&gt;A128,I62,0)+IF(A63+'Summary'!$B$10*12&gt;A128,I63,0)+IF(A64+'Summary'!$B$10*12&gt;A128,I64,0)+IF(A65+'Summary'!$B$10*12&gt;A128,I65,0)+IF(A66+'Summary'!$B$10*12&gt;A128,I66,0)+IF(A67+'Summary'!$B$10*12&gt;A128,I67,0)+IF(A68+'Summary'!$B$10*12&gt;A128,I68,0)+IF(A69+'Summary'!$B$10*12&gt;A128,I69,0)+IF(A70+'Summary'!$B$10*12&gt;A128,I70,0)+IF(A71+'Summary'!$B$10*12&gt;A128,I71,0)+IF(A72+'Summary'!$B$10*12&gt;A128,I72,0)+IF(A73+'Summary'!$B$10*12&gt;A128,I73,0)+IF(A74+'Summary'!$B$10*12&gt;A128,I74,0)+IF(A75+'Summary'!$B$10*12&gt;A128,I75,0)+IF(A76+'Summary'!$B$10*12&gt;A128,I76,0)+IF(A77+'Summary'!$B$10*12&gt;A128,I77,0)+IF(A78+'Summary'!$B$10*12&gt;A128,I78,0)+IF(A79+'Summary'!$B$10*12&gt;A128,I79,0)+IF(A80+'Summary'!$B$10*12&gt;A128,I80,0)+IF(A81+'Summary'!$B$10*12&gt;A128,I81,0)+IF(A82+'Summary'!$B$10*12&gt;A128,I82,0)+IF(A83+'Summary'!$B$10*12&gt;A128,I83,0)+IF(A84+'Summary'!$B$10*12&gt;A128,I84,0)+IF(A85+'Summary'!$B$10*12&gt;A128,I85,0)+IF(A86+'Summary'!$B$10*12&gt;A128,I86,0)+IF(A87+'Summary'!$B$10*12&gt;A128,I87,0)+IF(A88+'Summary'!$B$10*12&gt;A128,I88,0)+IF(A89+'Summary'!$B$10*12&gt;A128,I89,0)+IF(A90+'Summary'!$B$10*12&gt;A128,I90,0)+IF(A91+'Summary'!$B$10*12&gt;A128,I91,0)+IF(A92+'Summary'!$B$10*12&gt;A128,I92,0)+IF(A93+'Summary'!$B$10*12&gt;A128,I93,0)+IF(A94+'Summary'!$B$10*12&gt;A128,I94,0)+IF(A95+'Summary'!$B$10*12&gt;A128,I95,0)+IF(A96+'Summary'!$B$10*12&gt;A128,I96,0)+IF(A97+'Summary'!$B$10*12&gt;A128,I97,0)+IF(A98+'Summary'!$B$10*12&gt;A128,I98,0)+IF(A99+'Summary'!$B$10*12&gt;A128,I99,0)+IF(A100+'Summary'!$B$10*12&gt;A128,I100,0)+IF(A101+'Summary'!$B$10*12&gt;A128,I101,0)+IF(A102+'Summary'!$B$10*12&gt;A128,I102,0)+IF(A103+'Summary'!$B$10*12&gt;A128,I103,0)+IF(A104+'Summary'!$B$10*12&gt;A128,I104,0)+IF(A105+'Summary'!$B$10*12&gt;A128,I105,0)+IF(A106+'Summary'!$B$10*12&gt;A128,I106,0)+IF(A107+'Summary'!$B$10*12&gt;A128,I107,0)+IF(A108+'Summary'!$B$10*12&gt;A128,I108,0)+IF(A109+'Summary'!$B$10*12&gt;A128,I109,0)+IF(A110+'Summary'!$B$10*12&gt;A128,I110,0)+IF(A111+'Summary'!$B$10*12&gt;A128,I111,0)+IF(A112+'Summary'!$B$10*12&gt;A128,I112,0)+IF(A113+'Summary'!$B$10*12&gt;A128,I113,0)+IF(A114+'Summary'!$B$10*12&gt;A128,I114,0)+IF(A115+'Summary'!$B$10*12&gt;A128,I115,0)+IF(A116+'Summary'!$B$10*12&gt;A128,I116,0)+IF(A117+'Summary'!$B$10*12&gt;A128,I117,0)+IF(A118+'Summary'!$B$10*12&gt;A128,I118,0)+IF(A119+'Summary'!$B$10*12&gt;A128,I119,0)+IF(A120+'Summary'!$B$10*12&gt;A128,I120,0)+IF(A121+'Summary'!$B$10*12&gt;A128,I121,0)+IF(A122+'Summary'!$B$10*12&gt;A128,I122,0)+IF(A123+'Summary'!$B$10*12&gt;A128,I123,0)+IF(A124+'Summary'!$B$10*12&gt;A128,I124,0)+IF(A125+'Summary'!$B$10*12&gt;A128,I125,0)+IF(A126+'Summary'!$B$10*12&gt;A128,I126,0)+IF(A127+'Summary'!$B$10*12&gt;A128,I127,0)+IF(A128+'Summary'!$B$10*12&gt;A128,I128,0)</x:f>
        <x:v>28878.320407064442</x:v>
      </x:c>
    </x:row>
    <x:row r="129">
      <x:c r="A129" s="57"/>
      <x:c r="B129" s="73"/>
      <x:c r="C129" s="66"/>
      <x:c r="D129" s="66"/>
      <x:c r="E129" s="66"/>
      <x:c r="F129" s="66"/>
      <x:c r="G129" s="66"/>
      <x:c r="H129" s="66"/>
      <x:c r="I129" s="66"/>
      <x:c r="J129" s="66"/>
      <x:c r="K129" s="66"/>
    </x:row>
    <x:row r="130">
      <x:c r="A130" s="58" t="str">
        <x:v>Selected output row</x:v>
      </x:c>
      <x:c r="B130" s="74" t="str"/>
      <x:c r="C130" s="67" t="str"/>
      <x:c r="D130" s="67" t="str"/>
      <x:c r="E130" s="67" t="str"/>
      <x:c r="F130" s="67" t="str"/>
      <x:c r="G130" s="67" t="str"/>
      <x:c r="H130" s="67" t="str"/>
      <x:c r="I130" s="67" t="str"/>
      <x:c r="J130" s="67" t="str"/>
      <x:c r="K130" s="67" t="str"/>
    </x:row>
    <x:row r="131">
      <x:c r="A131" s="59" t="n">
        <x:f>'Summary'!$B$9*12</x:f>
        <x:v>120</x:v>
      </x:c>
      <x:c r="B131" s="75" t="b">
        <x:f>INDEX(B8:B128,'Summary'!$B$9*12+1)</x:f>
        <x:v>1</x:v>
      </x:c>
      <x:c r="C131" s="68" t="n">
        <x:f>INDEX(C8:C128,'Summary'!$B$9*12+1)</x:f>
        <x:v>22000</x:v>
      </x:c>
      <x:c r="D131" s="68" t="n">
        <x:f>INDEX(D8:D128,'Summary'!$B$9*12+1)</x:f>
        <x:v>0</x:v>
      </x:c>
      <x:c r="E131" s="68" t="n">
        <x:f>INDEX(E8:E128,'Summary'!$B$9*12+1)</x:f>
        <x:v>0</x:v>
      </x:c>
      <x:c r="F131" s="68" t="n">
        <x:f>INDEX(F8:F128,'Summary'!$B$9*12+1)</x:f>
        <x:v>308.55552318506636</x:v>
      </x:c>
      <x:c r="G131" s="68" t="n">
        <x:f>INDEX(G8:G128,'Summary'!$B$9*12+1)</x:f>
        <x:v>10439.792952896993</x:v>
      </x:c>
      <x:c r="H131" s="68" t="n">
        <x:f>INDEX(H8:H128,'Summary'!$B$9*12+1)</x:f>
        <x:v>10748.34847608206</x:v>
      </x:c>
      <x:c r="I131" s="68" t="n">
        <x:f>INDEX(I8:I128,'Summary'!$B$9*12+1)</x:f>
        <x:v>10748.34847608206</x:v>
      </x:c>
      <x:c r="J131" s="68" t="n">
        <x:f>INDEX(J8:J128,'Summary'!$B$9*12+1)</x:f>
        <x:v>0</x:v>
      </x:c>
      <x:c r="K131" s="69" t="n">
        <x:f>INDEX(K8:K128,'Summary'!$B$9*12+1)</x:f>
        <x:v>28878.320407064442</x:v>
      </x:c>
    </x:row>
  </x:sheetData>
  <x:mergeCells>
    <x:mergeCell ref="A1:K1"/>
    <x:mergeCell ref="A3:K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110000610351562" hidden="0" customWidth="1"/>
    <x:col min="2" max="2" width="36.220001220703125" hidden="0" customWidth="1"/>
    <x:col min="3" max="3" width="19.780000686645508" hidden="0" customWidth="1"/>
    <x:col min="4" max="4" width="46" hidden="0" customWidth="1"/>
    <x:col min="5" max="5" width="48" hidden="0" customWidth="1"/>
  </x:cols>
  <x:sheetData>
    <x:row r="1">
      <x:c r="A1" s="2" t="str">
        <x:v>Formula Guide</x:v>
      </x:c>
      <x:c r="B1" s="2"/>
      <x:c r="C1" s="2"/>
      <x:c r="D1" s="2"/>
      <x:c r="E1" s="2"/>
      <x:c r="F1" s="2"/>
    </x:row>
    <x:row r="3">
      <x:c r="A3" s="38" t="str">
        <x:v>Step</x:v>
      </x:c>
      <x:c r="B3" s="39" t="str">
        <x:v>JS concept</x:v>
      </x:c>
      <x:c r="C3" s="39" t="str">
        <x:v>Spreadsheet location</x:v>
      </x:c>
      <x:c r="D3" s="39" t="str">
        <x:v>Formula idea</x:v>
      </x:c>
      <x:c r="E3" s="39" t="str">
        <x:v>Notes</x:v>
      </x:c>
      <x:c r="F3" s="40" t="str"/>
    </x:row>
    <x:row r="4">
      <x:c r="A4" s="77" t="str">
        <x:v>1</x:v>
      </x:c>
      <x:c r="B4" s="78" t="str">
        <x:v>Read user inputs</x:v>
      </x:c>
      <x:c r="C4" s="78" t="str">
        <x:v>Summary!B6:B13</x:v>
      </x:c>
      <x:c r="D4" s="78" t="str">
        <x:v>Editable assumptions</x:v>
      </x:c>
      <x:c r="E4" s="79" t="str">
        <x:v>Blue cells are the only inputs you need to change.</x:v>
      </x:c>
    </x:row>
    <x:row r="5">
      <x:c r="A5" s="80" t="str">
        <x:v>2</x:v>
      </x:c>
      <x:c r="B5" s="76" t="str">
        <x:v>Ignore contributions below £5</x:v>
      </x:c>
      <x:c r="C5" s="76" t="str">
        <x:v>Monthly Model!C:D</x:v>
      </x:c>
      <x:c r="D5" s="76" t="str">
        <x:v>IF(input&gt;=minimum,input,0)</x:v>
      </x:c>
      <x:c r="E5" s="81" t="str">
        <x:v>Matches JS parseContribution().</x:v>
      </x:c>
    </x:row>
    <x:row r="6">
      <x:c r="A6" s="80" t="str">
        <x:v>3</x:v>
      </x:c>
      <x:c r="B6" s="76" t="str">
        <x:v>Create a 5-year tranche whenever cash &gt;= £5</x:v>
      </x:c>
      <x:c r="C6" s="76" t="str">
        <x:v>Monthly Model!I:I</x:v>
      </x:c>
      <x:c r="D6" s="76" t="str">
        <x:v>IF(cash before reinvest &gt;= minimum, cash before reinvest, 0)</x:v>
      </x:c>
      <x:c r="E6" s="81" t="str">
        <x:v>The model sweeps all available cash into a new tranche.</x:v>
      </x:c>
    </x:row>
    <x:row r="7">
      <x:c r="A7" s="80" t="str">
        <x:v>4</x:v>
      </x:c>
      <x:c r="B7" s="76" t="str">
        <x:v>Pay interest every 6 months</x:v>
      </x:c>
      <x:c r="C7" s="76" t="str">
        <x:v>Monthly Model!F:F</x:v>
      </x:c>
      <x:c r="D7" s="76" t="str">
        <x:v>Add each active prior tranche due this month, then multiply by rate / 2</x:v>
      </x:c>
      <x:c r="E7" s="81" t="str">
        <x:v>Only prior tranches can pay interest in the current month.</x:v>
      </x:c>
    </x:row>
    <x:row r="8">
      <x:c r="A8" s="80" t="str">
        <x:v>5</x:v>
      </x:c>
      <x:c r="B8" s="76" t="str">
        <x:v>Return capital at maturity</x:v>
      </x:c>
      <x:c r="C8" s="76" t="str">
        <x:v>Monthly Model!G:G</x:v>
      </x:c>
      <x:c r="D8" s="76" t="str">
        <x:v>Add each prior tranche where current month = start month + 60</x:v>
      </x:c>
      <x:c r="E8" s="81" t="str">
        <x:v>Investment term defaults to 5 years, controlled by Summary!B10.</x:v>
      </x:c>
    </x:row>
    <x:row r="9">
      <x:c r="A9" s="80" t="str">
        <x:v>6</x:v>
      </x:c>
      <x:c r="B9" s="76" t="str">
        <x:v>Reinvest interest and matured capital</x:v>
      </x:c>
      <x:c r="C9" s="76" t="str">
        <x:v>Monthly Model!H:I</x:v>
      </x:c>
      <x:c r="D9" s="76" t="str">
        <x:v>Cash before reinvest then sweep if &gt;= £5</x:v>
      </x:c>
      <x:c r="E9" s="81" t="str">
        <x:v>This is the key compounding/reinvestment mechanic.</x:v>
      </x:c>
    </x:row>
    <x:row r="10">
      <x:c r="A10" s="80" t="str">
        <x:v>7</x:v>
      </x:c>
      <x:c r="B10" s="76" t="str">
        <x:v>Final estimated value</x:v>
      </x:c>
      <x:c r="C10" s="76" t="str">
        <x:v>Monthly Model!K:K</x:v>
      </x:c>
      <x:c r="D10" s="76" t="str">
        <x:v>Cash closing + active principal</x:v>
      </x:c>
      <x:c r="E10" s="81" t="str">
        <x:v>Summary uses the row for selected simulation length.</x:v>
      </x:c>
    </x:row>
    <x:row r="11">
      <x:c r="A11" s="80" t="str">
        <x:v>8</x:v>
      </x:c>
      <x:c r="B11" s="76" t="str">
        <x:v>No tax, defaults, fees, or unavailable investments</x:v>
      </x:c>
      <x:c r="C11" s="76" t="str">
        <x:v>Summary notes</x:v>
      </x:c>
      <x:c r="D11" s="76" t="str">
        <x:v>Assumption only</x:v>
      </x:c>
      <x:c r="E11" s="81" t="str">
        <x:v>This workbook checks method, not real-world outcomes.</x:v>
      </x:c>
    </x:row>
    <x:row r="12">
      <x:c r="A12" s="82" t="str">
        <x:v>9</x:v>
      </x:c>
      <x:c r="B12" s="83" t="str">
        <x:v>Selected output</x:v>
      </x:c>
      <x:c r="C12" s="83" t="str">
        <x:v>Monthly Model!A131:K131</x:v>
      </x:c>
      <x:c r="D12" s="83" t="str">
        <x:v>INDEX(monthly rows, selected years × 12 + 1)</x:v>
      </x:c>
      <x:c r="E12" s="84" t="str">
        <x:v>This is what Summary links to.</x:v>
      </x:c>
    </x:row>
  </x:sheetData>
  <x:mergeCells>
    <x:mergeCell ref="A1:F1"/>
  </x:mergeCells>
  <x:pageMargins left="0.7" right="0.7" top="0.75" bottom="0.75" header="0.3" footer="0.3"/>
</x:worksheet>
</file>