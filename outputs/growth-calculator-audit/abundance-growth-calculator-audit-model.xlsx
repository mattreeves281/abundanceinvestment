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ece23e079d46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6e4af118cec4ff6"/>
    <x:sheet xmlns:r="http://schemas.openxmlformats.org/officeDocument/2006/relationships" name="Assumptions" sheetId="2" r:id="Rfbc75d3c82d2412b"/>
    <x:sheet xmlns:r="http://schemas.openxmlformats.org/officeDocument/2006/relationships" name="Monthly Model" sheetId="3" r:id="Rbbe4a56e55854402"/>
    <x:sheet xmlns:r="http://schemas.openxmlformats.org/officeDocument/2006/relationships" name="One-Off Model" sheetId="4" r:id="R0311defeff854ed3"/>
    <x:sheet xmlns:r="http://schemas.openxmlformats.org/officeDocument/2006/relationships" name="Checks" sheetId="5" r:id="R963dc3b783cf40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&quot;£&quot;#,##0"/>
    <x:numFmt numFmtId="201" formatCode="#,##0"/>
    <x:numFmt numFmtId="202" formatCode="0.0%"/>
    <x:numFmt numFmtId="203" formatCode="&quot;£&quot;#,##0.00"/>
  </x:numFmts>
  <x:fonts count="13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24D"/>
      <x:name val="Carlito"/>
    </x:font>
    <x:font>
      <x:b/>
      <x:sz val="11"/>
      <x:color rgb="FF17324D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1"/>
      <x:color rgb="FF006100"/>
      <x:name val="Carlito"/>
    </x:font>
    <x:font>
      <x:b/>
      <x:sz val="10"/>
      <x:color rgb="FFFFFFFF"/>
      <x:name val="Arial"/>
    </x:font>
    <x:font>
      <x:i/>
      <x:sz val="10"/>
      <x:color rgb="FF17324D"/>
      <x:name val="Arial"/>
    </x:font>
    <x:font>
      <x:sz val="10"/>
      <x:name val="Arial"/>
    </x:font>
    <x:font>
      <x:b/>
      <x:sz val="10"/>
      <x:color rgb="FF17324D"/>
      <x:name val="Arial"/>
    </x:font>
    <x:font>
      <x:sz val="10"/>
      <x:color rgb="FF0000FF"/>
      <x:name val="Arial"/>
    </x:font>
    <x:font>
      <x:b/>
      <x:sz val="10"/>
      <x:color rgb="FF006100"/>
      <x:name val="Arial"/>
    </x:font>
  </x:fonts>
  <x:fills count="2">
    <x:fill>
      <x:patternFill patternType="none"/>
    </x:fill>
    <x:fill>
      <x:patternFill patternType="gray125"/>
    </x:fill>
  </x:fills>
  <x:borders count="24">
    <x:border/>
    <x:border>
      <x:left style="thin">
        <x:color rgb="FF9FB7C5"/>
      </x:left>
      <x:top style="thin">
        <x:color rgb="FF9FB7C5"/>
      </x:top>
      <x:bottom style="thin">
        <x:color rgb="FF9FB7C5"/>
      </x:bottom>
    </x:border>
    <x:border>
      <x:right style="thin">
        <x:color rgb="FF9FB7C5"/>
      </x:right>
      <x:top style="thin">
        <x:color rgb="FF9FB7C5"/>
      </x:top>
      <x:bottom style="thin">
        <x:color rgb="FF9FB7C5"/>
      </x:bottom>
    </x:border>
    <x:border>
      <x:right style="thin">
        <x:color rgb="FFEEF2F7"/>
      </x:right>
      <x:bottom style="thin">
        <x:color rgb="FFE5E7EB"/>
      </x:bottom>
    </x:border>
    <x:border>
      <x:left style="thin">
        <x:color rgb="FFEEF2F7"/>
      </x:left>
      <x:bottom style="thin">
        <x:color rgb="FFE5E7EB"/>
      </x:bottom>
    </x:border>
    <x:border>
      <x:right style="thin">
        <x:color rgb="FFEEF2F7"/>
      </x:right>
      <x:top style="thin">
        <x:color rgb="FFE5E7EB"/>
      </x:top>
      <x:bottom style="thin">
        <x:color rgb="FFE5E7EB"/>
      </x:bottom>
    </x:border>
    <x:border>
      <x:left style="thin">
        <x:color rgb="FFEEF2F7"/>
      </x:left>
      <x:top style="thin">
        <x:color rgb="FFE5E7EB"/>
      </x:top>
      <x:bottom style="thin">
        <x:color rgb="FFE5E7EB"/>
      </x:bottom>
    </x:border>
    <x:border>
      <x:right style="thin">
        <x:color rgb="FFEEF2F7"/>
      </x:right>
      <x:top style="thin">
        <x:color rgb="FFE5E7EB"/>
      </x:top>
      <x:bottom style="thin">
        <x:color rgb="FFCBD5E1"/>
      </x:bottom>
    </x:border>
    <x:border>
      <x:left style="thin">
        <x:color rgb="FFEEF2F7"/>
      </x:left>
      <x:top style="thin">
        <x:color rgb="FFE5E7EB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D6B656"/>
      </x:left>
      <x:right style="thin">
        <x:color rgb="FFD6B656"/>
      </x:right>
      <x:top style="thin">
        <x:color rgb="FFD6B656"/>
      </x:top>
      <x:bottom style="thin">
        <x:color rgb="FFE5E7EB"/>
      </x:bottom>
    </x:border>
    <x:border>
      <x:left style="thin">
        <x:color rgb="FFD6B656"/>
      </x:left>
      <x:right style="thin">
        <x:color rgb="FFD6B656"/>
      </x:right>
      <x:top style="thin">
        <x:color rgb="FFE5E7EB"/>
      </x:top>
      <x:bottom style="thin">
        <x:color rgb="FFE5E7EB"/>
      </x:bottom>
    </x:border>
    <x:border>
      <x:left style="thin">
        <x:color rgb="FFD6B656"/>
      </x:left>
      <x:right style="thin">
        <x:color rgb="FFD6B656"/>
      </x:right>
      <x:top style="thin">
        <x:color rgb="FFE5E7EB"/>
      </x:top>
      <x:bottom style="thin">
        <x:color rgb="FFD6B656"/>
      </x:bottom>
    </x:border>
    <x:border>
      <x:top style="thin">
        <x:color rgb="FF9FB7C5"/>
      </x:top>
      <x:bottom style="thin">
        <x:color rgb="FF9FB7C5"/>
      </x:bottom>
    </x:border>
    <x:border>
      <x:left style="thin">
        <x:color rgb="FFEEF2F7"/>
      </x:left>
      <x:right style="thin">
        <x:color rgb="FFEEF2F7"/>
      </x:right>
      <x:bottom style="thin">
        <x:color rgb="FFE5E7EB"/>
      </x:bottom>
    </x:border>
    <x:border>
      <x:left style="thin">
        <x:color rgb="FFEEF2F7"/>
      </x:left>
      <x:right style="thin">
        <x:color rgb="FFEEF2F7"/>
      </x:right>
      <x:top style="thin">
        <x:color rgb="FFE5E7EB"/>
      </x:top>
      <x:bottom style="thin">
        <x:color rgb="FFE5E7EB"/>
      </x:bottom>
    </x:border>
    <x:border>
      <x:left style="thin">
        <x:color rgb="FFEEF2F7"/>
      </x:left>
      <x:right style="thin">
        <x:color rgb="FFEEF2F7"/>
      </x:right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123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wrapText="1"/>
    </x:xf>
    <x:xf numFmtId="0" fontId="2" borderId="0" xfId="0" applyNumberFormat="1" applyFont="1" applyFill="0" applyBorder="1"/>
    <x:xf numFmtId="0" fontId="2" borderId="0" xfId="0" applyNumberFormat="1" applyFont="1" applyFill="0" applyBorder="1" applyAlignment="1">
      <x:alignment wrapText="1"/>
    </x:xf>
    <x:xf numFmtId="0" fontId="3" borderId="0" xfId="0" applyNumberFormat="1" applyFont="1" applyFill="0" applyBorder="1"/>
    <x:xf numFmtId="0" fontId="3" borderId="1" xfId="0" applyNumberFormat="1" applyFont="1" applyFill="0" applyBorder="1"/>
    <x:xf numFmtId="0" fontId="3" borderId="2" xfId="0" applyNumberFormat="1" applyFont="1" applyFill="0" applyBorder="1"/>
    <x:xf numFmtId="0" fontId="3" borderId="1" xfId="0" applyNumberFormat="1" applyFont="1" applyFill="0" applyBorder="1" applyAlignment="1">
      <x:alignment wrapText="1"/>
    </x:xf>
    <x:xf numFmtId="0" fontId="3" borderId="2" xfId="0" applyNumberFormat="1" applyFont="1" applyFill="0" applyBorder="1" applyAlignment="1">
      <x:alignment wrapText="1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200" fontId="0" fillId="0" borderId="8" xfId="0" applyNumberFormat="1" applyFont="1" applyFill="1" applyBorder="1"/>
    <x:xf numFmtId="0" fontId="4" borderId="0" xfId="0" applyNumberFormat="1" applyFont="1" applyFill="0" applyBorder="1"/>
    <x:xf numFmtId="0" fontId="0" fillId="0" borderId="0" xfId="0" applyNumberFormat="1" applyFont="1" applyFill="1" applyBorder="1" applyAlignment="1">
      <x:alignment wrapText="1"/>
    </x:xf>
    <x:xf numFmtId="0" fontId="0" borderId="0" xfId="0" applyNumberFormat="1" applyFont="1" applyFill="0" applyBorder="1" applyAlignment="1">
      <x:alignment wrapText="1"/>
    </x:xf>
    <x:xf numFmtId="0" fontId="0" borderId="9" xfId="0" applyNumberFormat="1" applyFont="1" applyFill="0" applyBorder="1" applyAlignment="1">
      <x:alignment wrapText="1"/>
    </x:xf>
    <x:xf numFmtId="0" fontId="0" borderId="10" xfId="0" applyNumberFormat="1" applyFont="1" applyFill="0" applyBorder="1" applyAlignment="1">
      <x:alignment wrapText="1"/>
    </x:xf>
    <x:xf numFmtId="0" fontId="0" borderId="11" xfId="0" applyNumberFormat="1" applyFont="1" applyFill="0" applyBorder="1" applyAlignment="1">
      <x:alignment wrapText="1"/>
    </x:xf>
    <x:xf numFmtId="0" fontId="0" borderId="12" xfId="0" applyNumberFormat="1" applyFont="1" applyFill="0" applyBorder="1" applyAlignment="1">
      <x:alignment wrapText="1"/>
    </x:xf>
    <x:xf numFmtId="0" fontId="0" borderId="13" xfId="0" applyNumberFormat="1" applyFont="1" applyFill="0" applyBorder="1" applyAlignment="1">
      <x:alignment wrapText="1"/>
    </x:xf>
    <x:xf numFmtId="0" fontId="0" borderId="14" xfId="0" applyNumberFormat="1" applyFont="1" applyFill="0" applyBorder="1" applyAlignment="1">
      <x:alignment wrapText="1"/>
    </x:xf>
    <x:xf numFmtId="0" fontId="0" borderId="15" xfId="0" applyNumberFormat="1" applyFont="1" applyFill="0" applyBorder="1" applyAlignment="1">
      <x:alignment wrapText="1"/>
    </x:xf>
    <x:xf numFmtId="0" fontId="0" borderId="16" xfId="0" applyNumberFormat="1" applyFont="1" applyFill="0" applyBorder="1" applyAlignment="1">
      <x:alignment wrapText="1"/>
    </x:xf>
    <x:xf numFmtId="0" fontId="5" fillId="0" borderId="4" xfId="0" applyNumberFormat="1" applyFont="1" applyFill="1" applyBorder="1"/>
    <x:xf numFmtId="0" fontId="5" fillId="0" borderId="6" xfId="0" applyNumberFormat="1" applyFont="1" applyFill="1" applyBorder="1"/>
    <x:xf numFmtId="0" fontId="5" fillId="0" borderId="8" xfId="0" applyNumberFormat="1" applyFont="1" applyFill="1" applyBorder="1"/>
    <x:xf numFmtId="0" fontId="5" borderId="4" xfId="0" applyNumberFormat="1" applyFont="1" applyFill="0" applyBorder="1"/>
    <x:xf numFmtId="0" fontId="5" borderId="6" xfId="0" applyNumberFormat="1" applyFont="1" applyFill="0" applyBorder="1"/>
    <x:xf numFmtId="0" fontId="5" borderId="8" xfId="0" applyNumberFormat="1" applyFont="1" applyFill="0" applyBorder="1"/>
    <x:xf numFmtId="0" fontId="5" borderId="17" xfId="0" applyNumberFormat="1" applyFont="1" applyFill="0" applyBorder="1"/>
    <x:xf numFmtId="0" fontId="5" borderId="18" xfId="0" applyNumberFormat="1" applyFont="1" applyFill="0" applyBorder="1"/>
    <x:xf numFmtId="0" fontId="5" borderId="19" xfId="0" applyNumberFormat="1" applyFont="1" applyFill="0" applyBorder="1"/>
    <x:xf numFmtId="200" fontId="5" borderId="17" xfId="0" applyNumberFormat="1" applyFont="1" applyFill="0" applyBorder="1"/>
    <x:xf numFmtId="200" fontId="5" borderId="18" xfId="0" applyNumberFormat="1" applyFont="1" applyFill="0" applyBorder="1"/>
    <x:xf numFmtId="201" fontId="5" borderId="18" xfId="0" applyNumberFormat="1" applyFont="1" applyFill="0" applyBorder="1"/>
    <x:xf numFmtId="201" fontId="5" borderId="19" xfId="0" applyNumberFormat="1" applyFont="1" applyFill="0" applyBorder="1"/>
    <x:xf numFmtId="202" fontId="5" borderId="17" xfId="0" applyNumberFormat="1" applyFont="1" applyFill="0" applyBorder="1"/>
    <x:xf numFmtId="202" fontId="5" borderId="18" xfId="0" applyNumberFormat="1" applyFont="1" applyFill="0" applyBorder="1"/>
    <x:xf numFmtId="202" fontId="5" borderId="19" xfId="0" applyNumberFormat="1" applyFont="1" applyFill="0" applyBorder="1"/>
    <x:xf numFmtId="0" fontId="3" borderId="20" xfId="0" applyNumberFormat="1" applyFont="1" applyFill="0" applyBorder="1"/>
    <x:xf numFmtId="0" fontId="3" borderId="20" xfId="0" applyNumberFormat="1" applyFont="1" applyFill="0" applyBorder="1" applyAlignment="1">
      <x:alignment wrapText="1"/>
    </x:xf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2" fontId="0" fillId="0" borderId="21" xfId="0" applyNumberFormat="1" applyFont="1" applyFill="1" applyBorder="1"/>
    <x:xf numFmtId="202" fontId="0" fillId="0" borderId="22" xfId="0" applyNumberFormat="1" applyFont="1" applyFill="1" applyBorder="1"/>
    <x:xf numFmtId="202" fontId="0" fillId="0" borderId="23" xfId="0" applyNumberFormat="1" applyFont="1" applyFill="1" applyBorder="1"/>
    <x:xf numFmtId="203" fontId="0" fillId="0" borderId="21" xfId="0" applyNumberFormat="1" applyFont="1" applyFill="1" applyBorder="1"/>
    <x:xf numFmtId="203" fontId="0" fillId="0" borderId="22" xfId="0" applyNumberFormat="1" applyFont="1" applyFill="1" applyBorder="1"/>
    <x:xf numFmtId="203" fontId="0" fillId="0" borderId="23" xfId="0" applyNumberFormat="1" applyFont="1" applyFill="1" applyBorder="1"/>
    <x:xf numFmtId="201" fontId="0" fillId="0" borderId="3" xfId="0" applyNumberFormat="1" applyFont="1" applyFill="1" applyBorder="1"/>
    <x:xf numFmtId="201" fontId="0" fillId="0" borderId="21" xfId="0" applyNumberFormat="1" applyFont="1" applyFill="1" applyBorder="1"/>
    <x:xf numFmtId="201" fontId="0" fillId="0" borderId="5" xfId="0" applyNumberFormat="1" applyFont="1" applyFill="1" applyBorder="1"/>
    <x:xf numFmtId="201" fontId="0" fillId="0" borderId="22" xfId="0" applyNumberFormat="1" applyFont="1" applyFill="1" applyBorder="1"/>
    <x:xf numFmtId="201" fontId="0" fillId="0" borderId="7" xfId="0" applyNumberFormat="1" applyFont="1" applyFill="1" applyBorder="1"/>
    <x:xf numFmtId="201" fontId="0" fillId="0" borderId="23" xfId="0" applyNumberFormat="1" applyFont="1" applyFill="1" applyBorder="1"/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borderId="4" xfId="0" applyNumberFormat="1" applyFont="1" applyFill="0" applyBorder="1"/>
    <x:xf numFmtId="0" fontId="0" borderId="6" xfId="0" applyNumberFormat="1" applyFont="1" applyFill="0" applyBorder="1"/>
    <x:xf numFmtId="0" fontId="0" borderId="8" xfId="0" applyNumberFormat="1" applyFont="1" applyFill="0" applyBorder="1"/>
    <x:xf numFmtId="0" fontId="6" borderId="4" xfId="0" applyNumberFormat="1" applyFont="1" applyFill="0" applyBorder="1"/>
    <x:xf numFmtId="0" fontId="6" borderId="6" xfId="0" applyNumberFormat="1" applyFont="1" applyFill="0" applyBorder="1"/>
    <x:xf numFmtId="0" fontId="6" borderId="8" xfId="0" applyNumberFormat="1" applyFont="1" applyFill="0" applyBorder="1"/>
    <x:xf numFmtId="0" fontId="7" borderId="0" xfId="0" applyNumberFormat="1" applyFont="1" applyFill="0" applyBorder="1" applyAlignment="1">
      <x:alignment wrapText="1"/>
    </x:xf>
    <x:xf numFmtId="0" fontId="8" borderId="0" xfId="0" applyNumberFormat="1" applyFont="1" applyFill="0" applyBorder="1" applyAlignment="1">
      <x:alignment wrapText="1"/>
    </x:xf>
    <x:xf numFmtId="0" fontId="9" fillId="0" borderId="0" xfId="0" applyNumberFormat="1" applyFont="1" applyFill="1" applyBorder="1"/>
    <x:xf numFmtId="0" fontId="10" borderId="1" xfId="0" applyNumberFormat="1" applyFont="1" applyFill="0" applyBorder="1" applyAlignment="1">
      <x:alignment wrapText="1"/>
    </x:xf>
    <x:xf numFmtId="0" fontId="10" borderId="2" xfId="0" applyNumberFormat="1" applyFont="1" applyFill="0" applyBorder="1" applyAlignment="1">
      <x:alignment wrapText="1"/>
    </x:xf>
    <x:xf numFmtId="0" fontId="7" borderId="0" xfId="0" applyNumberFormat="1" applyFont="1" applyFill="0" applyBorder="1"/>
    <x:xf numFmtId="0" fontId="9" fillId="0" borderId="3" xfId="0" applyNumberFormat="1" applyFont="1" applyFill="1" applyBorder="1"/>
    <x:xf numFmtId="200" fontId="9" fillId="0" borderId="4" xfId="0" applyNumberFormat="1" applyFont="1" applyFill="1" applyBorder="1"/>
    <x:xf numFmtId="0" fontId="9" borderId="9" xfId="0" applyNumberFormat="1" applyFont="1" applyFill="0" applyBorder="1" applyAlignment="1">
      <x:alignment wrapText="1"/>
    </x:xf>
    <x:xf numFmtId="0" fontId="9" borderId="10" xfId="0" applyNumberFormat="1" applyFont="1" applyFill="0" applyBorder="1" applyAlignment="1">
      <x:alignment wrapText="1"/>
    </x:xf>
    <x:xf numFmtId="0" fontId="9" borderId="11" xfId="0" applyNumberFormat="1" applyFont="1" applyFill="0" applyBorder="1" applyAlignment="1">
      <x:alignment wrapText="1"/>
    </x:xf>
    <x:xf numFmtId="0" fontId="9" fillId="0" borderId="5" xfId="0" applyNumberFormat="1" applyFont="1" applyFill="1" applyBorder="1"/>
    <x:xf numFmtId="200" fontId="9" fillId="0" borderId="6" xfId="0" applyNumberFormat="1" applyFont="1" applyFill="1" applyBorder="1"/>
    <x:xf numFmtId="0" fontId="9" borderId="12" xfId="0" applyNumberFormat="1" applyFont="1" applyFill="0" applyBorder="1" applyAlignment="1">
      <x:alignment wrapText="1"/>
    </x:xf>
    <x:xf numFmtId="0" fontId="9" borderId="0" xfId="0" applyNumberFormat="1" applyFont="1" applyFill="0" applyBorder="1" applyAlignment="1">
      <x:alignment wrapText="1"/>
    </x:xf>
    <x:xf numFmtId="0" fontId="9" borderId="13" xfId="0" applyNumberFormat="1" applyFont="1" applyFill="0" applyBorder="1" applyAlignment="1">
      <x:alignment wrapText="1"/>
    </x:xf>
    <x:xf numFmtId="0" fontId="9" borderId="14" xfId="0" applyNumberFormat="1" applyFont="1" applyFill="0" applyBorder="1" applyAlignment="1">
      <x:alignment wrapText="1"/>
    </x:xf>
    <x:xf numFmtId="0" fontId="9" borderId="15" xfId="0" applyNumberFormat="1" applyFont="1" applyFill="0" applyBorder="1" applyAlignment="1">
      <x:alignment wrapText="1"/>
    </x:xf>
    <x:xf numFmtId="0" fontId="9" borderId="16" xfId="0" applyNumberFormat="1" applyFont="1" applyFill="0" applyBorder="1" applyAlignment="1">
      <x:alignment wrapText="1"/>
    </x:xf>
    <x:xf numFmtId="0" fontId="9" fillId="0" borderId="7" xfId="0" applyNumberFormat="1" applyFont="1" applyFill="1" applyBorder="1"/>
    <x:xf numFmtId="200" fontId="9" fillId="0" borderId="8" xfId="0" applyNumberFormat="1" applyFont="1" applyFill="1" applyBorder="1"/>
    <x:xf numFmtId="200" fontId="11" borderId="17" xfId="0" applyNumberFormat="1" applyFont="1" applyFill="0" applyBorder="1"/>
    <x:xf numFmtId="200" fontId="11" borderId="18" xfId="0" applyNumberFormat="1" applyFont="1" applyFill="0" applyBorder="1"/>
    <x:xf numFmtId="201" fontId="11" borderId="18" xfId="0" applyNumberFormat="1" applyFont="1" applyFill="0" applyBorder="1"/>
    <x:xf numFmtId="201" fontId="11" borderId="19" xfId="0" applyNumberFormat="1" applyFont="1" applyFill="0" applyBorder="1"/>
    <x:xf numFmtId="202" fontId="11" borderId="17" xfId="0" applyNumberFormat="1" applyFont="1" applyFill="0" applyBorder="1"/>
    <x:xf numFmtId="202" fontId="11" borderId="18" xfId="0" applyNumberFormat="1" applyFont="1" applyFill="0" applyBorder="1"/>
    <x:xf numFmtId="202" fontId="11" borderId="19" xfId="0" applyNumberFormat="1" applyFont="1" applyFill="0" applyBorder="1"/>
    <x:xf numFmtId="0" fontId="10" borderId="20" xfId="0" applyNumberFormat="1" applyFont="1" applyFill="0" applyBorder="1" applyAlignment="1">
      <x:alignment wrapText="1"/>
    </x:xf>
    <x:xf numFmtId="201" fontId="9" fillId="0" borderId="3" xfId="0" applyNumberFormat="1" applyFont="1" applyFill="1" applyBorder="1"/>
    <x:xf numFmtId="201" fontId="9" fillId="0" borderId="21" xfId="0" applyNumberFormat="1" applyFont="1" applyFill="1" applyBorder="1"/>
    <x:xf numFmtId="202" fontId="9" fillId="0" borderId="21" xfId="0" applyNumberFormat="1" applyFont="1" applyFill="1" applyBorder="1"/>
    <x:xf numFmtId="203" fontId="9" fillId="0" borderId="21" xfId="0" applyNumberFormat="1" applyFont="1" applyFill="1" applyBorder="1"/>
    <x:xf numFmtId="0" fontId="9" fillId="0" borderId="21" xfId="0" applyNumberFormat="1" applyFont="1" applyFill="1" applyBorder="1" applyAlignment="1">
      <x:alignment wrapText="1"/>
    </x:xf>
    <x:xf numFmtId="0" fontId="9" fillId="0" borderId="4" xfId="0" applyNumberFormat="1" applyFont="1" applyFill="1" applyBorder="1"/>
    <x:xf numFmtId="201" fontId="9" fillId="0" borderId="5" xfId="0" applyNumberFormat="1" applyFont="1" applyFill="1" applyBorder="1"/>
    <x:xf numFmtId="201" fontId="9" fillId="0" borderId="22" xfId="0" applyNumberFormat="1" applyFont="1" applyFill="1" applyBorder="1"/>
    <x:xf numFmtId="202" fontId="9" fillId="0" borderId="22" xfId="0" applyNumberFormat="1" applyFont="1" applyFill="1" applyBorder="1"/>
    <x:xf numFmtId="203" fontId="9" fillId="0" borderId="22" xfId="0" applyNumberFormat="1" applyFont="1" applyFill="1" applyBorder="1"/>
    <x:xf numFmtId="0" fontId="9" fillId="0" borderId="22" xfId="0" applyNumberFormat="1" applyFont="1" applyFill="1" applyBorder="1" applyAlignment="1">
      <x:alignment wrapText="1"/>
    </x:xf>
    <x:xf numFmtId="0" fontId="9" fillId="0" borderId="6" xfId="0" applyNumberFormat="1" applyFont="1" applyFill="1" applyBorder="1"/>
    <x:xf numFmtId="201" fontId="9" fillId="0" borderId="7" xfId="0" applyNumberFormat="1" applyFont="1" applyFill="1" applyBorder="1"/>
    <x:xf numFmtId="201" fontId="9" fillId="0" borderId="23" xfId="0" applyNumberFormat="1" applyFont="1" applyFill="1" applyBorder="1"/>
    <x:xf numFmtId="202" fontId="9" fillId="0" borderId="23" xfId="0" applyNumberFormat="1" applyFont="1" applyFill="1" applyBorder="1"/>
    <x:xf numFmtId="203" fontId="9" fillId="0" borderId="23" xfId="0" applyNumberFormat="1" applyFont="1" applyFill="1" applyBorder="1"/>
    <x:xf numFmtId="0" fontId="9" fillId="0" borderId="23" xfId="0" applyNumberFormat="1" applyFont="1" applyFill="1" applyBorder="1" applyAlignment="1">
      <x:alignment wrapText="1"/>
    </x:xf>
    <x:xf numFmtId="0" fontId="9" fillId="0" borderId="8" xfId="0" applyNumberFormat="1" applyFont="1" applyFill="1" applyBorder="1"/>
    <x:xf numFmtId="0" fontId="12" borderId="4" xfId="0" applyNumberFormat="1" applyFont="1" applyFill="0" applyBorder="1"/>
    <x:xf numFmtId="0" fontId="12" borderId="6" xfId="0" applyNumberFormat="1" applyFont="1" applyFill="0" applyBorder="1"/>
    <x:xf numFmtId="0" fontId="12" borderId="8" xfId="0" applyNumberFormat="1" applyFont="1" applyFill="0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b3371c8d7c4e69" /><Relationship Type="http://schemas.openxmlformats.org/officeDocument/2006/relationships/theme" Target="/xl/theme/theme1.xml" Id="R935a898df9ca4f96" /><Relationship Type="http://schemas.openxmlformats.org/officeDocument/2006/relationships/sharedStrings" Target="/xl/sharedStrings.xml" Id="R60cbb775d57646cd" /><Relationship Type="http://schemas.openxmlformats.org/officeDocument/2006/relationships/worksheet" Target="/xl/worksheets/sheet1.xml" Id="R76e4af118cec4ff6" /><Relationship Type="http://schemas.openxmlformats.org/officeDocument/2006/relationships/worksheet" Target="/xl/worksheets/sheet2.xml" Id="Rfbc75d3c82d2412b" /><Relationship Type="http://schemas.openxmlformats.org/officeDocument/2006/relationships/worksheet" Target="/xl/worksheets/sheet3.xml" Id="Rbbe4a56e55854402" /><Relationship Type="http://schemas.openxmlformats.org/officeDocument/2006/relationships/worksheet" Target="/xl/worksheets/sheet4.xml" Id="R0311defeff854ed3" /><Relationship Type="http://schemas.openxmlformats.org/officeDocument/2006/relationships/worksheet" Target="/xl/worksheets/sheet5.xml" Id="R963dc3b783cf409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4" hidden="0" customWidth="1"/>
    <x:col min="4" max="4" width="12" hidden="0" customWidth="1"/>
    <x:col min="5" max="5" width="46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15" hidden="0" customHeight="1">
      <x:c r="A1" s="73" t="str">
        <x:v>Abundance Growth Calculator Audit Model</x:v>
      </x:c>
      <x:c r="B1" s="73" t="str">
        <x:v>Abundance Growth Calculator Audit Model</x:v>
      </x:c>
      <x:c r="C1" s="73" t="str">
        <x:v>Abundance Growth Calculator Audit Model</x:v>
      </x:c>
      <x:c r="D1" s="73" t="str">
        <x:v>Abundance Growth Calculator Audit Model</x:v>
      </x:c>
      <x:c r="E1" s="73" t="str">
        <x:v>Abundance Growth Calculator Audit Model</x:v>
      </x:c>
      <x:c r="F1" s="73" t="str">
        <x:v>Abundance Growth Calculator Audit Model</x:v>
      </x:c>
      <x:c r="G1" s="73" t="str">
        <x:v>Abundance Growth Calculator Audit Model</x:v>
      </x:c>
      <x:c r="H1" s="73" t="str">
        <x:v>Abundance Growth Calculator Audit Model</x:v>
      </x:c>
    </x:row>
    <x:row r="2" ht="15" hidden="0" customHeight="1">
      <x:c r="A2" s="74" t="str">
        <x:v>Formula-driven Excel version of the browser calculator: 5-year tranches, 6-month coupon payments, £5 auto-invest threshold, and reinvested matured principal.</x:v>
      </x:c>
      <x:c r="B2" s="74" t="str">
        <x:v>Formula-driven Excel version of the browser calculator: 5-year tranches, 6-month coupon payments, £5 auto-invest threshold, and reinvested matured principal.</x:v>
      </x:c>
      <x:c r="C2" s="74" t="str">
        <x:v>Formula-driven Excel version of the browser calculator: 5-year tranches, 6-month coupon payments, £5 auto-invest threshold, and reinvested matured principal.</x:v>
      </x:c>
      <x:c r="D2" s="74" t="str">
        <x:v>Formula-driven Excel version of the browser calculator: 5-year tranches, 6-month coupon payments, £5 auto-invest threshold, and reinvested matured principal.</x:v>
      </x:c>
      <x:c r="E2" s="74" t="str">
        <x:v>Formula-driven Excel version of the browser calculator: 5-year tranches, 6-month coupon payments, £5 auto-invest threshold, and reinvested matured principal.</x:v>
      </x:c>
      <x:c r="F2" s="74" t="str">
        <x:v>Formula-driven Excel version of the browser calculator: 5-year tranches, 6-month coupon payments, £5 auto-invest threshold, and reinvested matured principal.</x:v>
      </x:c>
      <x:c r="G2" s="74" t="str">
        <x:v>Formula-driven Excel version of the browser calculator: 5-year tranches, 6-month coupon payments, £5 auto-invest threshold, and reinvested matured principal.</x:v>
      </x:c>
      <x:c r="H2" s="74" t="str">
        <x:v>Formula-driven Excel version of the browser calculator: 5-year tranches, 6-month coupon payments, £5 auto-invest threshold, and reinvested matured principal.</x:v>
      </x:c>
    </x:row>
    <x:row r="3" ht="15" hidden="0" customHeight="1">
      <x:c r="A3" s="75"/>
      <x:c r="B3" s="75"/>
      <x:c r="C3" s="75"/>
      <x:c r="D3" s="75"/>
      <x:c r="E3" s="75"/>
      <x:c r="F3" s="75"/>
      <x:c r="G3" s="75"/>
      <x:c r="H3" s="75"/>
    </x:row>
    <x:row r="4" ht="15" hidden="0" customHeight="1">
      <x:c r="A4" s="76" t="str">
        <x:v>Output</x:v>
      </x:c>
      <x:c r="B4" s="77" t="str">
        <x:v>Value</x:v>
      </x:c>
      <x:c r="C4" s="75"/>
      <x:c r="D4" s="78" t="str">
        <x:v>How to read this workbook</x:v>
      </x:c>
      <x:c r="E4" s="78" t="str"/>
      <x:c r="F4" s="78" t="str"/>
      <x:c r="G4" s="78" t="str"/>
      <x:c r="H4" s="78" t="str"/>
    </x:row>
    <x:row r="5" ht="15" hidden="0" customHeight="1">
      <x:c r="A5" s="79" t="str">
        <x:v>Monthly input</x:v>
      </x:c>
      <x:c r="B5" s="80" t="n">
        <x:f>'Assumptions'!B4</x:f>
        <x:v>100</x:v>
      </x:c>
      <x:c r="C5" s="75"/>
      <x:c r="D5" s="81" t="str">
        <x:v>1. Change editable blue/yellow inputs on the Assumptions tab.</x:v>
      </x:c>
      <x:c r="E5" s="82" t="str"/>
      <x:c r="F5" s="82" t="str"/>
      <x:c r="G5" s="82" t="str"/>
      <x:c r="H5" s="83" t="str"/>
    </x:row>
    <x:row r="6" ht="15" hidden="0" customHeight="1">
      <x:c r="A6" s="84" t="str">
        <x:v>Monthly total paid in</x:v>
      </x:c>
      <x:c r="B6" s="85" t="n">
        <x:f>SUM('Monthly Model'!D8:D128)</x:f>
        <x:v>12000</x:v>
      </x:c>
      <x:c r="C6" s="75"/>
      <x:c r="D6" s="86" t="str">
        <x:v>2. Review the month-by-month cash and tranche schedules on the model tabs.</x:v>
      </x:c>
      <x:c r="E6" s="87" t="str"/>
      <x:c r="F6" s="87" t="str"/>
      <x:c r="G6" s="87" t="str"/>
      <x:c r="H6" s="88" t="str"/>
    </x:row>
    <x:row r="7" ht="15" hidden="0" customHeight="1">
      <x:c r="A7" s="84" t="str">
        <x:v>Monthly value after 10 years</x:v>
      </x:c>
      <x:c r="B7" s="85" t="n">
        <x:f>INDEX('Monthly Model'!L8:L128,MATCH('Assumptions'!B6*12,'Monthly Model'!A8:A128,0))</x:f>
        <x:v>14132.595448671771</x:v>
      </x:c>
      <x:c r="C7" s="75"/>
      <x:c r="D7" s="86" t="str">
        <x:v>3. Coupons and matured principal enter cash first, then reinvest only when cash is at least £5.</x:v>
      </x:c>
      <x:c r="E7" s="87" t="str"/>
      <x:c r="F7" s="87" t="str"/>
      <x:c r="G7" s="87" t="str"/>
      <x:c r="H7" s="88" t="str"/>
    </x:row>
    <x:row r="8" ht="15" hidden="0" customHeight="1">
      <x:c r="A8" s="84" t="str">
        <x:v>Monthly residual cash below £5</x:v>
      </x:c>
      <x:c r="B8" s="85" t="n">
        <x:f>INDEX('Monthly Model'!J8:J128,MATCH('Assumptions'!B6*12,'Monthly Model'!A8:A128,0))</x:f>
        <x:v>0</x:v>
      </x:c>
      <x:c r="C8" s="75"/>
      <x:c r="D8" s="86" t="str">
        <x:v>4. Final value equals active invested principal plus any residual cash.</x:v>
      </x:c>
      <x:c r="E8" s="87" t="str"/>
      <x:c r="F8" s="87" t="str"/>
      <x:c r="G8" s="87" t="str"/>
      <x:c r="H8" s="88" t="str"/>
    </x:row>
    <x:row r="9" ht="15" hidden="0" customHeight="1">
      <x:c r="A9" s="84" t="str">
        <x:v>One-off input</x:v>
      </x:c>
      <x:c r="B9" s="85" t="n">
        <x:f>'Assumptions'!B5</x:f>
        <x:v>10000</x:v>
      </x:c>
      <x:c r="C9" s="75"/>
      <x:c r="D9" s="89" t="str">
        <x:v>5. The Checks tab confirms that the workbook matches the current browser model defaults.</x:v>
      </x:c>
      <x:c r="E9" s="90" t="str"/>
      <x:c r="F9" s="90" t="str"/>
      <x:c r="G9" s="90" t="str"/>
      <x:c r="H9" s="91" t="str"/>
    </x:row>
    <x:row r="10" ht="15" hidden="0" customHeight="1">
      <x:c r="A10" s="84" t="str">
        <x:v>One-off total paid in</x:v>
      </x:c>
      <x:c r="B10" s="85" t="n">
        <x:f>SUM('One-Off Model'!D8:D128)</x:f>
        <x:v>10000</x:v>
      </x:c>
      <x:c r="C10" s="75"/>
      <x:c r="D10" s="75" t="str"/>
      <x:c r="E10" s="75" t="str"/>
      <x:c r="F10" s="75" t="str"/>
      <x:c r="G10" s="75" t="str"/>
      <x:c r="H10" s="75" t="str"/>
    </x:row>
    <x:row r="11" ht="15" hidden="0" customHeight="1">
      <x:c r="A11" s="92" t="str">
        <x:v>One-off value after 10 years</x:v>
      </x:c>
      <x:c r="B11" s="93" t="n">
        <x:f>INDEX('One-Off Model'!L8:L128,MATCH('Assumptions'!B6*12,'One-Off Model'!A8:A128,0))</x:f>
        <x:v>14151.439248129584</x:v>
      </x:c>
      <x:c r="C11" s="75"/>
      <x:c r="D11" s="75" t="str"/>
      <x:c r="E11" s="75" t="str"/>
      <x:c r="F11" s="75" t="str"/>
      <x:c r="G11" s="75" t="str"/>
      <x:c r="H11" s="75" t="str"/>
    </x:row>
  </x:sheetData>
  <x:mergeCells>
    <x:mergeCell ref="A1:H1"/>
    <x:mergeCell ref="A2:H2"/>
    <x:mergeCell ref="D4:H4"/>
    <x:mergeCell ref="D5:H5"/>
    <x:mergeCell ref="D6:H6"/>
    <x:mergeCell ref="D7:H7"/>
    <x:mergeCell ref="D8:H8"/>
    <x:mergeCell ref="D9:H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4" hidden="0" customWidth="1"/>
    <x:col min="4" max="4" width="4" hidden="0" customWidth="1"/>
    <x:col min="5" max="5" width="4" hidden="0" customWidth="1"/>
  </x:cols>
  <x:sheetData>
    <x:row r="1" ht="15" hidden="0" customHeight="1">
      <x:c r="A1" s="73" t="str">
        <x:v>Assumptions</x:v>
      </x:c>
      <x:c r="B1" s="73" t="str">
        <x:v>Assumptions</x:v>
      </x:c>
      <x:c r="C1" s="73" t="str">
        <x:v>Assumptions</x:v>
      </x:c>
      <x:c r="D1" s="73" t="str">
        <x:v>Assumptions</x:v>
      </x:c>
      <x:c r="E1" s="73" t="str">
        <x:v>Assumptions</x:v>
      </x:c>
    </x:row>
    <x:row r="2" ht="24" hidden="0" customHeight="1">
      <x:c r="A2" s="74" t="str">
        <x:v>Editable inputs are shown in blue text with yellow fill. Rates are nominal annual coupon rates paid every 6 months.</x:v>
      </x:c>
      <x:c r="B2" s="74" t="str">
        <x:v>Editable inputs are shown in blue text with yellow fill. Rates are nominal annual coupon rates paid every 6 months.</x:v>
      </x:c>
      <x:c r="C2" s="74" t="str">
        <x:v>Editable inputs are shown in blue text with yellow fill. Rates are nominal annual coupon rates paid every 6 months.</x:v>
      </x:c>
      <x:c r="D2" s="74" t="str">
        <x:v>Editable inputs are shown in blue text with yellow fill. Rates are nominal annual coupon rates paid every 6 months.</x:v>
      </x:c>
      <x:c r="E2" s="74" t="str">
        <x:v>Editable inputs are shown in blue text with yellow fill. Rates are nominal annual coupon rates paid every 6 months.</x:v>
      </x:c>
    </x:row>
    <x:row r="3" ht="15" hidden="0" customHeight="1">
      <x:c r="A3" s="75"/>
      <x:c r="B3" s="75"/>
      <x:c r="C3" s="75"/>
      <x:c r="D3" s="75"/>
      <x:c r="E3" s="75"/>
    </x:row>
    <x:row r="4" ht="15" hidden="0" customHeight="1">
      <x:c r="A4" s="79" t="str">
        <x:v>Monthly payment</x:v>
      </x:c>
      <x:c r="B4" s="94" t="n">
        <x:v>100</x:v>
      </x:c>
      <x:c r="C4" s="75"/>
      <x:c r="D4" s="75"/>
      <x:c r="E4" s="75"/>
    </x:row>
    <x:row r="5" ht="15" hidden="0" customHeight="1">
      <x:c r="A5" s="84" t="str">
        <x:v>One-off deposit</x:v>
      </x:c>
      <x:c r="B5" s="95" t="n">
        <x:v>10000</x:v>
      </x:c>
      <x:c r="C5" s="75"/>
      <x:c r="D5" s="75"/>
      <x:c r="E5" s="75"/>
    </x:row>
    <x:row r="6" ht="15" hidden="0" customHeight="1">
      <x:c r="A6" s="84" t="str">
        <x:v>Projection years</x:v>
      </x:c>
      <x:c r="B6" s="96" t="n">
        <x:v>10</x:v>
      </x:c>
      <x:c r="C6" s="75"/>
      <x:c r="D6" s="75"/>
      <x:c r="E6" s="75"/>
    </x:row>
    <x:row r="7" ht="15" hidden="0" customHeight="1">
      <x:c r="A7" s="84" t="str">
        <x:v>Investment term months</x:v>
      </x:c>
      <x:c r="B7" s="96" t="n">
        <x:v>60</x:v>
      </x:c>
      <x:c r="C7" s="75"/>
      <x:c r="D7" s="75"/>
      <x:c r="E7" s="75"/>
    </x:row>
    <x:row r="8" ht="15" hidden="0" customHeight="1">
      <x:c r="A8" s="84" t="str">
        <x:v>Coupon interval months</x:v>
      </x:c>
      <x:c r="B8" s="96" t="n">
        <x:v>6</x:v>
      </x:c>
      <x:c r="C8" s="75"/>
      <x:c r="D8" s="75"/>
      <x:c r="E8" s="75"/>
    </x:row>
    <x:row r="9" ht="15" hidden="0" customHeight="1">
      <x:c r="A9" s="92" t="str">
        <x:v>Minimum auto-invest balance</x:v>
      </x:c>
      <x:c r="B9" s="97" t="n">
        <x:v>5</x:v>
      </x:c>
      <x:c r="C9" s="75"/>
      <x:c r="D9" s="75"/>
      <x:c r="E9" s="75"/>
    </x:row>
    <x:row r="10" ht="15" hidden="0" customHeight="1">
      <x:c r="A10" s="75"/>
      <x:c r="B10" s="75"/>
      <x:c r="C10" s="75"/>
      <x:c r="D10" s="75"/>
      <x:c r="E10" s="75"/>
    </x:row>
    <x:row r="11" ht="15" hidden="0" customHeight="1">
      <x:c r="A11" s="76" t="str">
        <x:v>Projection year</x:v>
      </x:c>
      <x:c r="B11" s="77" t="str">
        <x:v>Annual rate</x:v>
      </x:c>
      <x:c r="C11" s="75"/>
      <x:c r="D11" s="75"/>
      <x:c r="E11" s="75"/>
    </x:row>
    <x:row r="12" ht="15" hidden="0" customHeight="1">
      <x:c r="A12" s="79" t="n">
        <x:v>1</x:v>
      </x:c>
      <x:c r="B12" s="98" t="n">
        <x:v>0.04</x:v>
      </x:c>
      <x:c r="C12" s="75"/>
      <x:c r="D12" s="75"/>
      <x:c r="E12" s="75"/>
    </x:row>
    <x:row r="13" ht="15" hidden="0" customHeight="1">
      <x:c r="A13" s="84" t="n">
        <x:v>2</x:v>
      </x:c>
      <x:c r="B13" s="99" t="n">
        <x:v>0.038</x:v>
      </x:c>
      <x:c r="C13" s="75"/>
      <x:c r="D13" s="75"/>
      <x:c r="E13" s="75"/>
    </x:row>
    <x:row r="14" ht="15" hidden="0" customHeight="1">
      <x:c r="A14" s="84" t="n">
        <x:v>3</x:v>
      </x:c>
      <x:c r="B14" s="99" t="n">
        <x:v>0.036</x:v>
      </x:c>
      <x:c r="C14" s="75"/>
      <x:c r="D14" s="75"/>
      <x:c r="E14" s="75"/>
    </x:row>
    <x:row r="15" ht="15" hidden="0" customHeight="1">
      <x:c r="A15" s="84" t="n">
        <x:v>4</x:v>
      </x:c>
      <x:c r="B15" s="99" t="n">
        <x:v>0.034</x:v>
      </x:c>
      <x:c r="C15" s="75"/>
      <x:c r="D15" s="75"/>
      <x:c r="E15" s="75"/>
    </x:row>
    <x:row r="16" ht="15" hidden="0" customHeight="1">
      <x:c r="A16" s="84" t="n">
        <x:v>5</x:v>
      </x:c>
      <x:c r="B16" s="99" t="n">
        <x:v>0.032</x:v>
      </x:c>
      <x:c r="C16" s="75"/>
      <x:c r="D16" s="75"/>
      <x:c r="E16" s="75"/>
    </x:row>
    <x:row r="17" ht="15" hidden="0" customHeight="1">
      <x:c r="A17" s="84" t="n">
        <x:v>6</x:v>
      </x:c>
      <x:c r="B17" s="99" t="n">
        <x:v>0.03</x:v>
      </x:c>
      <x:c r="C17" s="75"/>
      <x:c r="D17" s="75"/>
      <x:c r="E17" s="75"/>
    </x:row>
    <x:row r="18" ht="15" hidden="0" customHeight="1">
      <x:c r="A18" s="84" t="n">
        <x:v>7</x:v>
      </x:c>
      <x:c r="B18" s="99" t="n">
        <x:v>0.03</x:v>
      </x:c>
      <x:c r="C18" s="75"/>
      <x:c r="D18" s="75"/>
      <x:c r="E18" s="75"/>
    </x:row>
    <x:row r="19" ht="15" hidden="0" customHeight="1">
      <x:c r="A19" s="84" t="n">
        <x:v>8</x:v>
      </x:c>
      <x:c r="B19" s="99" t="n">
        <x:v>0.03</x:v>
      </x:c>
      <x:c r="C19" s="75"/>
      <x:c r="D19" s="75"/>
      <x:c r="E19" s="75"/>
    </x:row>
    <x:row r="20" ht="15" hidden="0" customHeight="1">
      <x:c r="A20" s="84" t="n">
        <x:v>9</x:v>
      </x:c>
      <x:c r="B20" s="99" t="n">
        <x:v>0.03</x:v>
      </x:c>
      <x:c r="C20" s="75"/>
      <x:c r="D20" s="75"/>
      <x:c r="E20" s="75"/>
    </x:row>
    <x:row r="21" ht="15" hidden="0" customHeight="1">
      <x:c r="A21" s="92" t="n">
        <x:v>10</x:v>
      </x:c>
      <x:c r="B21" s="100" t="n">
        <x:v>0.03</x:v>
      </x:c>
      <x:c r="C21" s="75"/>
      <x:c r="D21" s="75"/>
      <x:c r="E21" s="75"/>
    </x:row>
  </x:sheetData>
  <x:mergeCells>
    <x:mergeCell ref="A1:E1"/>
    <x:mergeCell ref="A2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8" hidden="0" customWidth="1"/>
    <x:col min="9" max="9" width="20" hidden="0" customWidth="1"/>
    <x:col min="10" max="10" width="20" hidden="0" customWidth="1"/>
    <x:col min="11" max="11" width="16" hidden="0" customWidth="1"/>
    <x:col min="12" max="12" width="20" hidden="0" customWidth="1"/>
    <x:col min="13" max="13" width="16" hidden="0" customWidth="1"/>
    <x:col min="14" max="14" width="18" hidden="0" customWidth="1"/>
    <x:col min="15" max="15" width="34" hidden="0" customWidth="1"/>
  </x:cols>
  <x:sheetData>
    <x:row r="1" ht="15" hidden="0" customHeight="1">
      <x:c r="A1" s="73" t="str">
        <x:v>Monthly Model</x:v>
      </x:c>
      <x:c r="B1" s="73" t="str">
        <x:v>Monthly Model</x:v>
      </x:c>
      <x:c r="C1" s="73" t="str">
        <x:v>Monthly Model</x:v>
      </x:c>
      <x:c r="D1" s="73" t="str">
        <x:v>Monthly Model</x:v>
      </x:c>
      <x:c r="E1" s="73" t="str">
        <x:v>Monthly Model</x:v>
      </x:c>
      <x:c r="F1" s="73" t="str">
        <x:v>Monthly Model</x:v>
      </x:c>
      <x:c r="G1" s="73" t="str">
        <x:v>Monthly Model</x:v>
      </x:c>
      <x:c r="H1" s="73" t="str">
        <x:v>Monthly Model</x:v>
      </x:c>
      <x:c r="I1" s="73" t="str">
        <x:v>Monthly Model</x:v>
      </x:c>
      <x:c r="J1" s="73" t="str">
        <x:v>Monthly Model</x:v>
      </x:c>
      <x:c r="K1" s="73" t="str">
        <x:v>Monthly Model</x:v>
      </x:c>
      <x:c r="L1" s="73" t="str">
        <x:v>Monthly Model</x:v>
      </x:c>
      <x:c r="M1" s="73" t="str">
        <x:v>Monthly Model</x:v>
      </x:c>
      <x:c r="N1" s="73" t="str">
        <x:v>Monthly Model</x:v>
      </x:c>
      <x:c r="O1" s="73" t="str">
        <x:v>Monthly Model</x:v>
      </x:c>
    </x:row>
    <x:row r="2" ht="15" hidden="0" customHeight="1">
      <x:c r="A2" s="74" t="str">
        <x:v>Each monthly payment enters cash, then the full cash balance is invested whenever it reaches £5. Coupon receipts and matured principal follow the same rule.</x:v>
      </x:c>
      <x:c r="B2" s="74" t="str">
        <x:v>Each monthly payment enters cash, then the full cash balance is invested whenever it reaches £5. Coupon receipts and matured principal follow the same rule.</x:v>
      </x:c>
      <x:c r="C2" s="74" t="str">
        <x:v>Each monthly payment enters cash, then the full cash balance is invested whenever it reaches £5. Coupon receipts and matured principal follow the same rule.</x:v>
      </x:c>
      <x:c r="D2" s="74" t="str">
        <x:v>Each monthly payment enters cash, then the full cash balance is invested whenever it reaches £5. Coupon receipts and matured principal follow the same rule.</x:v>
      </x:c>
      <x:c r="E2" s="74" t="str">
        <x:v>Each monthly payment enters cash, then the full cash balance is invested whenever it reaches £5. Coupon receipts and matured principal follow the same rule.</x:v>
      </x:c>
      <x:c r="F2" s="74" t="str">
        <x:v>Each monthly payment enters cash, then the full cash balance is invested whenever it reaches £5. Coupon receipts and matured principal follow the same rule.</x:v>
      </x:c>
      <x:c r="G2" s="74" t="str">
        <x:v>Each monthly payment enters cash, then the full cash balance is invested whenever it reaches £5. Coupon receipts and matured principal follow the same rule.</x:v>
      </x:c>
      <x:c r="H2" s="74" t="str">
        <x:v>Each monthly payment enters cash, then the full cash balance is invested whenever it reaches £5. Coupon receipts and matured principal follow the same rule.</x:v>
      </x:c>
      <x:c r="I2" s="74" t="str">
        <x:v>Each monthly payment enters cash, then the full cash balance is invested whenever it reaches £5. Coupon receipts and matured principal follow the same rule.</x:v>
      </x:c>
      <x:c r="J2" s="74" t="str">
        <x:v>Each monthly payment enters cash, then the full cash balance is invested whenever it reaches £5. Coupon receipts and matured principal follow the same rule.</x:v>
      </x:c>
      <x:c r="K2" s="74" t="str">
        <x:v>Each monthly payment enters cash, then the full cash balance is invested whenever it reaches £5. Coupon receipts and matured principal follow the same rule.</x:v>
      </x:c>
      <x:c r="L2" s="74" t="str">
        <x:v>Each monthly payment enters cash, then the full cash balance is invested whenever it reaches £5. Coupon receipts and matured principal follow the same rule.</x:v>
      </x:c>
      <x:c r="M2" s="74" t="str">
        <x:v>Each monthly payment enters cash, then the full cash balance is invested whenever it reaches £5. Coupon receipts and matured principal follow the same rule.</x:v>
      </x:c>
      <x:c r="N2" s="74" t="str">
        <x:v>Each monthly payment enters cash, then the full cash balance is invested whenever it reaches £5. Coupon receipts and matured principal follow the same rule.</x:v>
      </x:c>
      <x:c r="O2" s="74" t="str">
        <x:v>Each monthly payment enters cash, then the full cash balance is invested whenever it reaches £5. Coupon receipts and matured principal follow the same rule.</x:v>
      </x:c>
    </x:row>
    <x:row r="3" ht="15" hidden="0" customHeight="1">
      <x:c r="A3" s="75"/>
      <x:c r="B3" s="75"/>
      <x:c r="C3" s="75"/>
      <x:c r="D3" s="75"/>
      <x:c r="E3" s="75"/>
      <x:c r="F3" s="75"/>
      <x:c r="G3" s="75"/>
      <x:c r="H3" s="75"/>
      <x:c r="I3" s="75"/>
      <x:c r="J3" s="75"/>
      <x:c r="K3" s="75"/>
      <x:c r="L3" s="75"/>
      <x:c r="M3" s="75"/>
      <x:c r="N3" s="75"/>
      <x:c r="O3" s="75"/>
    </x:row>
    <x:row r="4" ht="15" hidden="0" customHeight="1">
      <x:c r="A4" s="75"/>
      <x:c r="B4" s="75"/>
      <x:c r="C4" s="75"/>
      <x:c r="D4" s="75"/>
      <x:c r="E4" s="75"/>
      <x:c r="F4" s="75"/>
      <x:c r="G4" s="75"/>
      <x:c r="H4" s="75"/>
      <x:c r="I4" s="75"/>
      <x:c r="J4" s="75"/>
      <x:c r="K4" s="75"/>
      <x:c r="L4" s="75"/>
      <x:c r="M4" s="75"/>
      <x:c r="N4" s="75"/>
      <x:c r="O4" s="75"/>
    </x:row>
    <x:row r="5" ht="15" hidden="0" customHeight="1">
      <x:c r="A5" s="75"/>
      <x:c r="B5" s="75"/>
      <x:c r="C5" s="75"/>
      <x:c r="D5" s="75"/>
      <x:c r="E5" s="75"/>
      <x:c r="F5" s="75"/>
      <x:c r="G5" s="75"/>
      <x:c r="H5" s="75"/>
      <x:c r="I5" s="75"/>
      <x:c r="J5" s="75"/>
      <x:c r="K5" s="75"/>
      <x:c r="L5" s="75"/>
      <x:c r="M5" s="75"/>
      <x:c r="N5" s="75"/>
      <x:c r="O5" s="75"/>
    </x:row>
    <x:row r="6" ht="15" hidden="0" customHeight="1">
      <x:c r="A6" s="75"/>
      <x:c r="B6" s="75"/>
      <x:c r="C6" s="75"/>
      <x:c r="D6" s="75"/>
      <x:c r="E6" s="75"/>
      <x:c r="F6" s="75"/>
      <x:c r="G6" s="75"/>
      <x:c r="H6" s="75"/>
      <x:c r="I6" s="75"/>
      <x:c r="J6" s="75"/>
      <x:c r="K6" s="75"/>
      <x:c r="L6" s="75"/>
      <x:c r="M6" s="75"/>
      <x:c r="N6" s="75"/>
      <x:c r="O6" s="75"/>
    </x:row>
    <x:row r="7" ht="24" hidden="0" customHeight="1">
      <x:c r="A7" s="76" t="str">
        <x:v>Month</x:v>
      </x:c>
      <x:c r="B7" s="101" t="str">
        <x:v>Projection year</x:v>
      </x:c>
      <x:c r="C7" s="101" t="str">
        <x:v>New tranche annual rate</x:v>
      </x:c>
      <x:c r="D7" s="101" t="str">
        <x:v>External money</x:v>
      </x:c>
      <x:c r="E7" s="101" t="str">
        <x:v>Opening cash</x:v>
      </x:c>
      <x:c r="F7" s="101" t="str">
        <x:v>Coupon receipts</x:v>
      </x:c>
      <x:c r="G7" s="101" t="str">
        <x:v>Matured principal</x:v>
      </x:c>
      <x:c r="H7" s="101" t="str">
        <x:v>Cash before investment</x:v>
      </x:c>
      <x:c r="I7" s="101" t="str">
        <x:v>New tranche principal</x:v>
      </x:c>
      <x:c r="J7" s="101" t="str">
        <x:v>Ending cash</x:v>
      </x:c>
      <x:c r="K7" s="101" t="str">
        <x:v>Active invested principal</x:v>
      </x:c>
      <x:c r="L7" s="101" t="str">
        <x:v>Total value</x:v>
      </x:c>
      <x:c r="M7" s="101" t="str">
        <x:v>Investment event count</x:v>
      </x:c>
      <x:c r="N7" s="101" t="str">
        <x:v>Audit note</x:v>
      </x:c>
      <x:c r="O7" s="77" t="str"/>
    </x:row>
    <x:row r="8" ht="24" hidden="0" customHeight="1">
      <x:c r="A8" s="102" t="n">
        <x:v>0</x:v>
      </x:c>
      <x:c r="B8" s="103" t="n">
        <x:f>INT(A8/12)+1</x:f>
        <x:v>1</x:v>
      </x:c>
      <x:c r="C8" s="104" t="n">
        <x:f>INDEX('Assumptions'!$B$12:$B$21,MIN(B8,ROWS('Assumptions'!$B$12:$B$21)))</x:f>
        <x:v>0.04</x:v>
      </x:c>
      <x:c r="D8" s="105" t="n">
        <x:f>IF(A8&lt;'Assumptions'!$B$6*12,'Assumptions'!$B$4,0)</x:f>
        <x:v>100</x:v>
      </x:c>
      <x:c r="E8" s="105" t="n">
        <x:f>0</x:f>
        <x:v>0</x:v>
      </x:c>
      <x:c r="F8" s="105" t="n">
        <x:f>0+0+0+0+0+0+0+0+0+0</x:f>
        <x:v>0</x:v>
      </x:c>
      <x:c r="G8" s="105" t="n">
        <x:f>0</x:f>
        <x:v>0</x:v>
      </x:c>
      <x:c r="H8" s="105" t="n">
        <x:f>E8+D8+F8+G8</x:f>
        <x:v>100</x:v>
      </x:c>
      <x:c r="I8" s="105" t="n">
        <x:f>H8*(H8&gt;='Assumptions'!$B$9)</x:f>
        <x:v>100</x:v>
      </x:c>
      <x:c r="J8" s="105" t="n">
        <x:f>H8-I8</x:f>
        <x:v>0</x:v>
      </x:c>
      <x:c r="K8" s="105" t="n">
        <x:f>I8-G8</x:f>
        <x:v>100</x:v>
      </x:c>
      <x:c r="L8" s="105" t="n">
        <x:f>J8+K8</x:f>
        <x:v>100</x:v>
      </x:c>
      <x:c r="M8" s="103" t="n">
        <x:f>IF(I8&gt;=5,1,0)</x:f>
        <x:v>1</x:v>
      </x:c>
      <x:c r="N8" s="106" t="str">
        <x:f>IF(I8&gt;0,"Invest cash as new 5-year tranche",IF(J8&gt;0,"Carry cash until £5 threshold",""))</x:f>
        <x:v>Invest cash as new 5-year tranche</x:v>
      </x:c>
      <x:c r="O8" s="107"/>
    </x:row>
    <x:row r="9" ht="24" hidden="0" customHeight="1">
      <x:c r="A9" s="108" t="n">
        <x:v>1</x:v>
      </x:c>
      <x:c r="B9" s="109" t="n">
        <x:f>INT(A9/12)+1</x:f>
        <x:v>1</x:v>
      </x:c>
      <x:c r="C9" s="110" t="n">
        <x:f>INDEX('Assumptions'!$B$12:$B$21,MIN(B9,ROWS('Assumptions'!$B$12:$B$21)))</x:f>
        <x:v>0.04</x:v>
      </x:c>
      <x:c r="D9" s="111" t="n">
        <x:f>IF(A9&lt;'Assumptions'!$B$6*12,'Assumptions'!$B$4,0)</x:f>
        <x:v>100</x:v>
      </x:c>
      <x:c r="E9" s="111" t="n">
        <x:f>J8</x:f>
        <x:v>0</x:v>
      </x:c>
      <x:c r="F9" s="111" t="n">
        <x:f>0+0+0+0+0+0+0+0+0+0</x:f>
        <x:v>0</x:v>
      </x:c>
      <x:c r="G9" s="111" t="n">
        <x:f>0</x:f>
        <x:v>0</x:v>
      </x:c>
      <x:c r="H9" s="111" t="n">
        <x:f>E9+D9+F9+G9</x:f>
        <x:v>100</x:v>
      </x:c>
      <x:c r="I9" s="111" t="n">
        <x:f>H9*(H9&gt;='Assumptions'!$B$9)</x:f>
        <x:v>100</x:v>
      </x:c>
      <x:c r="J9" s="111" t="n">
        <x:f>H9-I9</x:f>
        <x:v>0</x:v>
      </x:c>
      <x:c r="K9" s="111" t="n">
        <x:f>K8+I9-G9</x:f>
        <x:v>200</x:v>
      </x:c>
      <x:c r="L9" s="111" t="n">
        <x:f>J9+K9</x:f>
        <x:v>200</x:v>
      </x:c>
      <x:c r="M9" s="109" t="n">
        <x:f>M8+IF(I9&gt;=5,1,0)</x:f>
        <x:v>2</x:v>
      </x:c>
      <x:c r="N9" s="112" t="str">
        <x:f>IF(I9&gt;0,"Invest cash as new 5-year tranche",IF(J9&gt;0,"Carry cash until £5 threshold",""))</x:f>
        <x:v>Invest cash as new 5-year tranche</x:v>
      </x:c>
      <x:c r="O9" s="113"/>
    </x:row>
    <x:row r="10" ht="24" hidden="0" customHeight="1">
      <x:c r="A10" s="108" t="n">
        <x:v>2</x:v>
      </x:c>
      <x:c r="B10" s="109" t="n">
        <x:f>INT(A10/12)+1</x:f>
        <x:v>1</x:v>
      </x:c>
      <x:c r="C10" s="110" t="n">
        <x:f>INDEX('Assumptions'!$B$12:$B$21,MIN(B10,ROWS('Assumptions'!$B$12:$B$21)))</x:f>
        <x:v>0.04</x:v>
      </x:c>
      <x:c r="D10" s="111" t="n">
        <x:f>IF(A10&lt;'Assumptions'!$B$6*12,'Assumptions'!$B$4,0)</x:f>
        <x:v>100</x:v>
      </x:c>
      <x:c r="E10" s="111" t="n">
        <x:f>J9</x:f>
        <x:v>0</x:v>
      </x:c>
      <x:c r="F10" s="111" t="n">
        <x:f>0+0+0+0+0+0+0+0+0+0</x:f>
        <x:v>0</x:v>
      </x:c>
      <x:c r="G10" s="111" t="n">
        <x:f>0</x:f>
        <x:v>0</x:v>
      </x:c>
      <x:c r="H10" s="111" t="n">
        <x:f>E10+D10+F10+G10</x:f>
        <x:v>100</x:v>
      </x:c>
      <x:c r="I10" s="111" t="n">
        <x:f>H10*(H10&gt;='Assumptions'!$B$9)</x:f>
        <x:v>100</x:v>
      </x:c>
      <x:c r="J10" s="111" t="n">
        <x:f>H10-I10</x:f>
        <x:v>0</x:v>
      </x:c>
      <x:c r="K10" s="111" t="n">
        <x:f>K9+I10-G10</x:f>
        <x:v>300</x:v>
      </x:c>
      <x:c r="L10" s="111" t="n">
        <x:f>J10+K10</x:f>
        <x:v>300</x:v>
      </x:c>
      <x:c r="M10" s="109" t="n">
        <x:f>M9+IF(I10&gt;=5,1,0)</x:f>
        <x:v>3</x:v>
      </x:c>
      <x:c r="N10" s="112" t="str">
        <x:f>IF(I10&gt;0,"Invest cash as new 5-year tranche",IF(J10&gt;0,"Carry cash until £5 threshold",""))</x:f>
        <x:v>Invest cash as new 5-year tranche</x:v>
      </x:c>
      <x:c r="O10" s="113"/>
    </x:row>
    <x:row r="11" ht="24" hidden="0" customHeight="1">
      <x:c r="A11" s="108" t="n">
        <x:v>3</x:v>
      </x:c>
      <x:c r="B11" s="109" t="n">
        <x:f>INT(A11/12)+1</x:f>
        <x:v>1</x:v>
      </x:c>
      <x:c r="C11" s="110" t="n">
        <x:f>INDEX('Assumptions'!$B$12:$B$21,MIN(B11,ROWS('Assumptions'!$B$12:$B$21)))</x:f>
        <x:v>0.04</x:v>
      </x:c>
      <x:c r="D11" s="111" t="n">
        <x:f>IF(A11&lt;'Assumptions'!$B$6*12,'Assumptions'!$B$4,0)</x:f>
        <x:v>100</x:v>
      </x:c>
      <x:c r="E11" s="111" t="n">
        <x:f>J10</x:f>
        <x:v>0</x:v>
      </x:c>
      <x:c r="F11" s="111" t="n">
        <x:f>0+0+0+0+0+0+0+0+0+0</x:f>
        <x:v>0</x:v>
      </x:c>
      <x:c r="G11" s="111" t="n">
        <x:f>0</x:f>
        <x:v>0</x:v>
      </x:c>
      <x:c r="H11" s="111" t="n">
        <x:f>E11+D11+F11+G11</x:f>
        <x:v>100</x:v>
      </x:c>
      <x:c r="I11" s="111" t="n">
        <x:f>H11*(H11&gt;='Assumptions'!$B$9)</x:f>
        <x:v>100</x:v>
      </x:c>
      <x:c r="J11" s="111" t="n">
        <x:f>H11-I11</x:f>
        <x:v>0</x:v>
      </x:c>
      <x:c r="K11" s="111" t="n">
        <x:f>K10+I11-G11</x:f>
        <x:v>400</x:v>
      </x:c>
      <x:c r="L11" s="111" t="n">
        <x:f>J11+K11</x:f>
        <x:v>400</x:v>
      </x:c>
      <x:c r="M11" s="109" t="n">
        <x:f>M10+IF(I11&gt;=5,1,0)</x:f>
        <x:v>4</x:v>
      </x:c>
      <x:c r="N11" s="112" t="str">
        <x:f>IF(I11&gt;0,"Invest cash as new 5-year tranche",IF(J11&gt;0,"Carry cash until £5 threshold",""))</x:f>
        <x:v>Invest cash as new 5-year tranche</x:v>
      </x:c>
      <x:c r="O11" s="113"/>
    </x:row>
    <x:row r="12" ht="24" hidden="0" customHeight="1">
      <x:c r="A12" s="108" t="n">
        <x:v>4</x:v>
      </x:c>
      <x:c r="B12" s="109" t="n">
        <x:f>INT(A12/12)+1</x:f>
        <x:v>1</x:v>
      </x:c>
      <x:c r="C12" s="110" t="n">
        <x:f>INDEX('Assumptions'!$B$12:$B$21,MIN(B12,ROWS('Assumptions'!$B$12:$B$21)))</x:f>
        <x:v>0.04</x:v>
      </x:c>
      <x:c r="D12" s="111" t="n">
        <x:f>IF(A12&lt;'Assumptions'!$B$6*12,'Assumptions'!$B$4,0)</x:f>
        <x:v>100</x:v>
      </x:c>
      <x:c r="E12" s="111" t="n">
        <x:f>J11</x:f>
        <x:v>0</x:v>
      </x:c>
      <x:c r="F12" s="111" t="n">
        <x:f>0+0+0+0+0+0+0+0+0+0</x:f>
        <x:v>0</x:v>
      </x:c>
      <x:c r="G12" s="111" t="n">
        <x:f>0</x:f>
        <x:v>0</x:v>
      </x:c>
      <x:c r="H12" s="111" t="n">
        <x:f>E12+D12+F12+G12</x:f>
        <x:v>100</x:v>
      </x:c>
      <x:c r="I12" s="111" t="n">
        <x:f>H12*(H12&gt;='Assumptions'!$B$9)</x:f>
        <x:v>100</x:v>
      </x:c>
      <x:c r="J12" s="111" t="n">
        <x:f>H12-I12</x:f>
        <x:v>0</x:v>
      </x:c>
      <x:c r="K12" s="111" t="n">
        <x:f>K11+I12-G12</x:f>
        <x:v>500</x:v>
      </x:c>
      <x:c r="L12" s="111" t="n">
        <x:f>J12+K12</x:f>
        <x:v>500</x:v>
      </x:c>
      <x:c r="M12" s="109" t="n">
        <x:f>M11+IF(I12&gt;=5,1,0)</x:f>
        <x:v>5</x:v>
      </x:c>
      <x:c r="N12" s="112" t="str">
        <x:f>IF(I12&gt;0,"Invest cash as new 5-year tranche",IF(J12&gt;0,"Carry cash until £5 threshold",""))</x:f>
        <x:v>Invest cash as new 5-year tranche</x:v>
      </x:c>
      <x:c r="O12" s="113"/>
    </x:row>
    <x:row r="13" ht="24" hidden="0" customHeight="1">
      <x:c r="A13" s="108" t="n">
        <x:v>5</x:v>
      </x:c>
      <x:c r="B13" s="109" t="n">
        <x:f>INT(A13/12)+1</x:f>
        <x:v>1</x:v>
      </x:c>
      <x:c r="C13" s="110" t="n">
        <x:f>INDEX('Assumptions'!$B$12:$B$21,MIN(B13,ROWS('Assumptions'!$B$12:$B$21)))</x:f>
        <x:v>0.04</x:v>
      </x:c>
      <x:c r="D13" s="111" t="n">
        <x:f>IF(A13&lt;'Assumptions'!$B$6*12,'Assumptions'!$B$4,0)</x:f>
        <x:v>100</x:v>
      </x:c>
      <x:c r="E13" s="111" t="n">
        <x:f>J12</x:f>
        <x:v>0</x:v>
      </x:c>
      <x:c r="F13" s="111" t="n">
        <x:f>0+0+0+0+0+0+0+0+0+0</x:f>
        <x:v>0</x:v>
      </x:c>
      <x:c r="G13" s="111" t="n">
        <x:f>0</x:f>
        <x:v>0</x:v>
      </x:c>
      <x:c r="H13" s="111" t="n">
        <x:f>E13+D13+F13+G13</x:f>
        <x:v>100</x:v>
      </x:c>
      <x:c r="I13" s="111" t="n">
        <x:f>H13*(H13&gt;='Assumptions'!$B$9)</x:f>
        <x:v>100</x:v>
      </x:c>
      <x:c r="J13" s="111" t="n">
        <x:f>H13-I13</x:f>
        <x:v>0</x:v>
      </x:c>
      <x:c r="K13" s="111" t="n">
        <x:f>K12+I13-G13</x:f>
        <x:v>600</x:v>
      </x:c>
      <x:c r="L13" s="111" t="n">
        <x:f>J13+K13</x:f>
        <x:v>600</x:v>
      </x:c>
      <x:c r="M13" s="109" t="n">
        <x:f>M12+IF(I13&gt;=5,1,0)</x:f>
        <x:v>6</x:v>
      </x:c>
      <x:c r="N13" s="112" t="str">
        <x:f>IF(I13&gt;0,"Invest cash as new 5-year tranche",IF(J13&gt;0,"Carry cash until £5 threshold",""))</x:f>
        <x:v>Invest cash as new 5-year tranche</x:v>
      </x:c>
      <x:c r="O13" s="113"/>
    </x:row>
    <x:row r="14" ht="24" hidden="0" customHeight="1">
      <x:c r="A14" s="108" t="n">
        <x:v>6</x:v>
      </x:c>
      <x:c r="B14" s="109" t="n">
        <x:f>INT(A14/12)+1</x:f>
        <x:v>1</x:v>
      </x:c>
      <x:c r="C14" s="110" t="n">
        <x:f>INDEX('Assumptions'!$B$12:$B$21,MIN(B14,ROWS('Assumptions'!$B$12:$B$21)))</x:f>
        <x:v>0.04</x:v>
      </x:c>
      <x:c r="D14" s="111" t="n">
        <x:f>IF(A14&lt;'Assumptions'!$B$6*12,'Assumptions'!$B$4,0)</x:f>
        <x:v>100</x:v>
      </x:c>
      <x:c r="E14" s="111" t="n">
        <x:f>J13</x:f>
        <x:v>0</x:v>
      </x:c>
      <x:c r="F14" s="111" t="n">
        <x:f>I8*C8/2+0+0+0+0+0+0+0+0+0</x:f>
        <x:v>2</x:v>
      </x:c>
      <x:c r="G14" s="111" t="n">
        <x:f>0</x:f>
        <x:v>0</x:v>
      </x:c>
      <x:c r="H14" s="111" t="n">
        <x:f>E14+D14+F14+G14</x:f>
        <x:v>102</x:v>
      </x:c>
      <x:c r="I14" s="111" t="n">
        <x:f>H14*(H14&gt;='Assumptions'!$B$9)</x:f>
        <x:v>102</x:v>
      </x:c>
      <x:c r="J14" s="111" t="n">
        <x:f>H14-I14</x:f>
        <x:v>0</x:v>
      </x:c>
      <x:c r="K14" s="111" t="n">
        <x:f>K13+I14-G14</x:f>
        <x:v>702</x:v>
      </x:c>
      <x:c r="L14" s="111" t="n">
        <x:f>J14+K14</x:f>
        <x:v>702</x:v>
      </x:c>
      <x:c r="M14" s="109" t="n">
        <x:f>M13+IF(I14&gt;=5,1,0)</x:f>
        <x:v>7</x:v>
      </x:c>
      <x:c r="N14" s="112" t="str">
        <x:f>IF(I14&gt;0,"Invest cash as new 5-year tranche",IF(J14&gt;0,"Carry cash until £5 threshold",""))</x:f>
        <x:v>Invest cash as new 5-year tranche</x:v>
      </x:c>
      <x:c r="O14" s="113"/>
    </x:row>
    <x:row r="15" ht="24" hidden="0" customHeight="1">
      <x:c r="A15" s="108" t="n">
        <x:v>7</x:v>
      </x:c>
      <x:c r="B15" s="109" t="n">
        <x:f>INT(A15/12)+1</x:f>
        <x:v>1</x:v>
      </x:c>
      <x:c r="C15" s="110" t="n">
        <x:f>INDEX('Assumptions'!$B$12:$B$21,MIN(B15,ROWS('Assumptions'!$B$12:$B$21)))</x:f>
        <x:v>0.04</x:v>
      </x:c>
      <x:c r="D15" s="111" t="n">
        <x:f>IF(A15&lt;'Assumptions'!$B$6*12,'Assumptions'!$B$4,0)</x:f>
        <x:v>100</x:v>
      </x:c>
      <x:c r="E15" s="111" t="n">
        <x:f>J14</x:f>
        <x:v>0</x:v>
      </x:c>
      <x:c r="F15" s="111" t="n">
        <x:f>I9*C9/2+0+0+0+0+0+0+0+0+0</x:f>
        <x:v>2</x:v>
      </x:c>
      <x:c r="G15" s="111" t="n">
        <x:f>0</x:f>
        <x:v>0</x:v>
      </x:c>
      <x:c r="H15" s="111" t="n">
        <x:f>E15+D15+F15+G15</x:f>
        <x:v>102</x:v>
      </x:c>
      <x:c r="I15" s="111" t="n">
        <x:f>H15*(H15&gt;='Assumptions'!$B$9)</x:f>
        <x:v>102</x:v>
      </x:c>
      <x:c r="J15" s="111" t="n">
        <x:f>H15-I15</x:f>
        <x:v>0</x:v>
      </x:c>
      <x:c r="K15" s="111" t="n">
        <x:f>K14+I15-G15</x:f>
        <x:v>804</x:v>
      </x:c>
      <x:c r="L15" s="111" t="n">
        <x:f>J15+K15</x:f>
        <x:v>804</x:v>
      </x:c>
      <x:c r="M15" s="109" t="n">
        <x:f>M14+IF(I15&gt;=5,1,0)</x:f>
        <x:v>8</x:v>
      </x:c>
      <x:c r="N15" s="112" t="str">
        <x:f>IF(I15&gt;0,"Invest cash as new 5-year tranche",IF(J15&gt;0,"Carry cash until £5 threshold",""))</x:f>
        <x:v>Invest cash as new 5-year tranche</x:v>
      </x:c>
      <x:c r="O15" s="113"/>
    </x:row>
    <x:row r="16" ht="24" hidden="0" customHeight="1">
      <x:c r="A16" s="108" t="n">
        <x:v>8</x:v>
      </x:c>
      <x:c r="B16" s="109" t="n">
        <x:f>INT(A16/12)+1</x:f>
        <x:v>1</x:v>
      </x:c>
      <x:c r="C16" s="110" t="n">
        <x:f>INDEX('Assumptions'!$B$12:$B$21,MIN(B16,ROWS('Assumptions'!$B$12:$B$21)))</x:f>
        <x:v>0.04</x:v>
      </x:c>
      <x:c r="D16" s="111" t="n">
        <x:f>IF(A16&lt;'Assumptions'!$B$6*12,'Assumptions'!$B$4,0)</x:f>
        <x:v>100</x:v>
      </x:c>
      <x:c r="E16" s="111" t="n">
        <x:f>J15</x:f>
        <x:v>0</x:v>
      </x:c>
      <x:c r="F16" s="111" t="n">
        <x:f>I10*C10/2+0+0+0+0+0+0+0+0+0</x:f>
        <x:v>2</x:v>
      </x:c>
      <x:c r="G16" s="111" t="n">
        <x:f>0</x:f>
        <x:v>0</x:v>
      </x:c>
      <x:c r="H16" s="111" t="n">
        <x:f>E16+D16+F16+G16</x:f>
        <x:v>102</x:v>
      </x:c>
      <x:c r="I16" s="111" t="n">
        <x:f>H16*(H16&gt;='Assumptions'!$B$9)</x:f>
        <x:v>102</x:v>
      </x:c>
      <x:c r="J16" s="111" t="n">
        <x:f>H16-I16</x:f>
        <x:v>0</x:v>
      </x:c>
      <x:c r="K16" s="111" t="n">
        <x:f>K15+I16-G16</x:f>
        <x:v>906</x:v>
      </x:c>
      <x:c r="L16" s="111" t="n">
        <x:f>J16+K16</x:f>
        <x:v>906</x:v>
      </x:c>
      <x:c r="M16" s="109" t="n">
        <x:f>M15+IF(I16&gt;=5,1,0)</x:f>
        <x:v>9</x:v>
      </x:c>
      <x:c r="N16" s="112" t="str">
        <x:f>IF(I16&gt;0,"Invest cash as new 5-year tranche",IF(J16&gt;0,"Carry cash until £5 threshold",""))</x:f>
        <x:v>Invest cash as new 5-year tranche</x:v>
      </x:c>
      <x:c r="O16" s="113"/>
    </x:row>
    <x:row r="17" ht="24" hidden="0" customHeight="1">
      <x:c r="A17" s="108" t="n">
        <x:v>9</x:v>
      </x:c>
      <x:c r="B17" s="109" t="n">
        <x:f>INT(A17/12)+1</x:f>
        <x:v>1</x:v>
      </x:c>
      <x:c r="C17" s="110" t="n">
        <x:f>INDEX('Assumptions'!$B$12:$B$21,MIN(B17,ROWS('Assumptions'!$B$12:$B$21)))</x:f>
        <x:v>0.04</x:v>
      </x:c>
      <x:c r="D17" s="111" t="n">
        <x:f>IF(A17&lt;'Assumptions'!$B$6*12,'Assumptions'!$B$4,0)</x:f>
        <x:v>100</x:v>
      </x:c>
      <x:c r="E17" s="111" t="n">
        <x:f>J16</x:f>
        <x:v>0</x:v>
      </x:c>
      <x:c r="F17" s="111" t="n">
        <x:f>I11*C11/2+0+0+0+0+0+0+0+0+0</x:f>
        <x:v>2</x:v>
      </x:c>
      <x:c r="G17" s="111" t="n">
        <x:f>0</x:f>
        <x:v>0</x:v>
      </x:c>
      <x:c r="H17" s="111" t="n">
        <x:f>E17+D17+F17+G17</x:f>
        <x:v>102</x:v>
      </x:c>
      <x:c r="I17" s="111" t="n">
        <x:f>H17*(H17&gt;='Assumptions'!$B$9)</x:f>
        <x:v>102</x:v>
      </x:c>
      <x:c r="J17" s="111" t="n">
        <x:f>H17-I17</x:f>
        <x:v>0</x:v>
      </x:c>
      <x:c r="K17" s="111" t="n">
        <x:f>K16+I17-G17</x:f>
        <x:v>1008</x:v>
      </x:c>
      <x:c r="L17" s="111" t="n">
        <x:f>J17+K17</x:f>
        <x:v>1008</x:v>
      </x:c>
      <x:c r="M17" s="109" t="n">
        <x:f>M16+IF(I17&gt;=5,1,0)</x:f>
        <x:v>10</x:v>
      </x:c>
      <x:c r="N17" s="112" t="str">
        <x:f>IF(I17&gt;0,"Invest cash as new 5-year tranche",IF(J17&gt;0,"Carry cash until £5 threshold",""))</x:f>
        <x:v>Invest cash as new 5-year tranche</x:v>
      </x:c>
      <x:c r="O17" s="113"/>
    </x:row>
    <x:row r="18" ht="24" hidden="0" customHeight="1">
      <x:c r="A18" s="108" t="n">
        <x:v>10</x:v>
      </x:c>
      <x:c r="B18" s="109" t="n">
        <x:f>INT(A18/12)+1</x:f>
        <x:v>1</x:v>
      </x:c>
      <x:c r="C18" s="110" t="n">
        <x:f>INDEX('Assumptions'!$B$12:$B$21,MIN(B18,ROWS('Assumptions'!$B$12:$B$21)))</x:f>
        <x:v>0.04</x:v>
      </x:c>
      <x:c r="D18" s="111" t="n">
        <x:f>IF(A18&lt;'Assumptions'!$B$6*12,'Assumptions'!$B$4,0)</x:f>
        <x:v>100</x:v>
      </x:c>
      <x:c r="E18" s="111" t="n">
        <x:f>J17</x:f>
        <x:v>0</x:v>
      </x:c>
      <x:c r="F18" s="111" t="n">
        <x:f>I12*C12/2+0+0+0+0+0+0+0+0+0</x:f>
        <x:v>2</x:v>
      </x:c>
      <x:c r="G18" s="111" t="n">
        <x:f>0</x:f>
        <x:v>0</x:v>
      </x:c>
      <x:c r="H18" s="111" t="n">
        <x:f>E18+D18+F18+G18</x:f>
        <x:v>102</x:v>
      </x:c>
      <x:c r="I18" s="111" t="n">
        <x:f>H18*(H18&gt;='Assumptions'!$B$9)</x:f>
        <x:v>102</x:v>
      </x:c>
      <x:c r="J18" s="111" t="n">
        <x:f>H18-I18</x:f>
        <x:v>0</x:v>
      </x:c>
      <x:c r="K18" s="111" t="n">
        <x:f>K17+I18-G18</x:f>
        <x:v>1110</x:v>
      </x:c>
      <x:c r="L18" s="111" t="n">
        <x:f>J18+K18</x:f>
        <x:v>1110</x:v>
      </x:c>
      <x:c r="M18" s="109" t="n">
        <x:f>M17+IF(I18&gt;=5,1,0)</x:f>
        <x:v>11</x:v>
      </x:c>
      <x:c r="N18" s="112" t="str">
        <x:f>IF(I18&gt;0,"Invest cash as new 5-year tranche",IF(J18&gt;0,"Carry cash until £5 threshold",""))</x:f>
        <x:v>Invest cash as new 5-year tranche</x:v>
      </x:c>
      <x:c r="O18" s="113"/>
    </x:row>
    <x:row r="19" ht="24" hidden="0" customHeight="1">
      <x:c r="A19" s="108" t="n">
        <x:v>11</x:v>
      </x:c>
      <x:c r="B19" s="109" t="n">
        <x:f>INT(A19/12)+1</x:f>
        <x:v>1</x:v>
      </x:c>
      <x:c r="C19" s="110" t="n">
        <x:f>INDEX('Assumptions'!$B$12:$B$21,MIN(B19,ROWS('Assumptions'!$B$12:$B$21)))</x:f>
        <x:v>0.04</x:v>
      </x:c>
      <x:c r="D19" s="111" t="n">
        <x:f>IF(A19&lt;'Assumptions'!$B$6*12,'Assumptions'!$B$4,0)</x:f>
        <x:v>100</x:v>
      </x:c>
      <x:c r="E19" s="111" t="n">
        <x:f>J18</x:f>
        <x:v>0</x:v>
      </x:c>
      <x:c r="F19" s="111" t="n">
        <x:f>I13*C13/2+0+0+0+0+0+0+0+0+0</x:f>
        <x:v>2</x:v>
      </x:c>
      <x:c r="G19" s="111" t="n">
        <x:f>0</x:f>
        <x:v>0</x:v>
      </x:c>
      <x:c r="H19" s="111" t="n">
        <x:f>E19+D19+F19+G19</x:f>
        <x:v>102</x:v>
      </x:c>
      <x:c r="I19" s="111" t="n">
        <x:f>H19*(H19&gt;='Assumptions'!$B$9)</x:f>
        <x:v>102</x:v>
      </x:c>
      <x:c r="J19" s="111" t="n">
        <x:f>H19-I19</x:f>
        <x:v>0</x:v>
      </x:c>
      <x:c r="K19" s="111" t="n">
        <x:f>K18+I19-G19</x:f>
        <x:v>1212</x:v>
      </x:c>
      <x:c r="L19" s="111" t="n">
        <x:f>J19+K19</x:f>
        <x:v>1212</x:v>
      </x:c>
      <x:c r="M19" s="109" t="n">
        <x:f>M18+IF(I19&gt;=5,1,0)</x:f>
        <x:v>12</x:v>
      </x:c>
      <x:c r="N19" s="112" t="str">
        <x:f>IF(I19&gt;0,"Invest cash as new 5-year tranche",IF(J19&gt;0,"Carry cash until £5 threshold",""))</x:f>
        <x:v>Invest cash as new 5-year tranche</x:v>
      </x:c>
      <x:c r="O19" s="113"/>
    </x:row>
    <x:row r="20" ht="24" hidden="0" customHeight="1">
      <x:c r="A20" s="108" t="n">
        <x:v>12</x:v>
      </x:c>
      <x:c r="B20" s="109" t="n">
        <x:f>INT(A20/12)+1</x:f>
        <x:v>2</x:v>
      </x:c>
      <x:c r="C20" s="110" t="n">
        <x:f>INDEX('Assumptions'!$B$12:$B$21,MIN(B20,ROWS('Assumptions'!$B$12:$B$21)))</x:f>
        <x:v>0.038</x:v>
      </x:c>
      <x:c r="D20" s="111" t="n">
        <x:f>IF(A20&lt;'Assumptions'!$B$6*12,'Assumptions'!$B$4,0)</x:f>
        <x:v>100</x:v>
      </x:c>
      <x:c r="E20" s="111" t="n">
        <x:f>J19</x:f>
        <x:v>0</x:v>
      </x:c>
      <x:c r="F20" s="111" t="n">
        <x:f>I14*C14/2+I8*C8/2+0+0+0+0+0+0+0+0</x:f>
        <x:v>4.04</x:v>
      </x:c>
      <x:c r="G20" s="111" t="n">
        <x:f>0</x:f>
        <x:v>0</x:v>
      </x:c>
      <x:c r="H20" s="111" t="n">
        <x:f>E20+D20+F20+G20</x:f>
        <x:v>104.04</x:v>
      </x:c>
      <x:c r="I20" s="111" t="n">
        <x:f>H20*(H20&gt;='Assumptions'!$B$9)</x:f>
        <x:v>104.04</x:v>
      </x:c>
      <x:c r="J20" s="111" t="n">
        <x:f>H20-I20</x:f>
        <x:v>0</x:v>
      </x:c>
      <x:c r="K20" s="111" t="n">
        <x:f>K19+I20-G20</x:f>
        <x:v>1316.04</x:v>
      </x:c>
      <x:c r="L20" s="111" t="n">
        <x:f>J20+K20</x:f>
        <x:v>1316.04</x:v>
      </x:c>
      <x:c r="M20" s="109" t="n">
        <x:f>M19+IF(I20&gt;=5,1,0)</x:f>
        <x:v>13</x:v>
      </x:c>
      <x:c r="N20" s="112" t="str">
        <x:f>IF(I20&gt;0,"Invest cash as new 5-year tranche",IF(J20&gt;0,"Carry cash until £5 threshold",""))</x:f>
        <x:v>Invest cash as new 5-year tranche</x:v>
      </x:c>
      <x:c r="O20" s="113"/>
    </x:row>
    <x:row r="21" ht="24" hidden="0" customHeight="1">
      <x:c r="A21" s="108" t="n">
        <x:v>13</x:v>
      </x:c>
      <x:c r="B21" s="109" t="n">
        <x:f>INT(A21/12)+1</x:f>
        <x:v>2</x:v>
      </x:c>
      <x:c r="C21" s="110" t="n">
        <x:f>INDEX('Assumptions'!$B$12:$B$21,MIN(B21,ROWS('Assumptions'!$B$12:$B$21)))</x:f>
        <x:v>0.038</x:v>
      </x:c>
      <x:c r="D21" s="111" t="n">
        <x:f>IF(A21&lt;'Assumptions'!$B$6*12,'Assumptions'!$B$4,0)</x:f>
        <x:v>100</x:v>
      </x:c>
      <x:c r="E21" s="111" t="n">
        <x:f>J20</x:f>
        <x:v>0</x:v>
      </x:c>
      <x:c r="F21" s="111" t="n">
        <x:f>I15*C15/2+I9*C9/2+0+0+0+0+0+0+0+0</x:f>
        <x:v>4.04</x:v>
      </x:c>
      <x:c r="G21" s="111" t="n">
        <x:f>0</x:f>
        <x:v>0</x:v>
      </x:c>
      <x:c r="H21" s="111" t="n">
        <x:f>E21+D21+F21+G21</x:f>
        <x:v>104.04</x:v>
      </x:c>
      <x:c r="I21" s="111" t="n">
        <x:f>H21*(H21&gt;='Assumptions'!$B$9)</x:f>
        <x:v>104.04</x:v>
      </x:c>
      <x:c r="J21" s="111" t="n">
        <x:f>H21-I21</x:f>
        <x:v>0</x:v>
      </x:c>
      <x:c r="K21" s="111" t="n">
        <x:f>K20+I21-G21</x:f>
        <x:v>1420.08</x:v>
      </x:c>
      <x:c r="L21" s="111" t="n">
        <x:f>J21+K21</x:f>
        <x:v>1420.08</x:v>
      </x:c>
      <x:c r="M21" s="109" t="n">
        <x:f>M20+IF(I21&gt;=5,1,0)</x:f>
        <x:v>14</x:v>
      </x:c>
      <x:c r="N21" s="112" t="str">
        <x:f>IF(I21&gt;0,"Invest cash as new 5-year tranche",IF(J21&gt;0,"Carry cash until £5 threshold",""))</x:f>
        <x:v>Invest cash as new 5-year tranche</x:v>
      </x:c>
      <x:c r="O21" s="113"/>
    </x:row>
    <x:row r="22" ht="24" hidden="0" customHeight="1">
      <x:c r="A22" s="108" t="n">
        <x:v>14</x:v>
      </x:c>
      <x:c r="B22" s="109" t="n">
        <x:f>INT(A22/12)+1</x:f>
        <x:v>2</x:v>
      </x:c>
      <x:c r="C22" s="110" t="n">
        <x:f>INDEX('Assumptions'!$B$12:$B$21,MIN(B22,ROWS('Assumptions'!$B$12:$B$21)))</x:f>
        <x:v>0.038</x:v>
      </x:c>
      <x:c r="D22" s="111" t="n">
        <x:f>IF(A22&lt;'Assumptions'!$B$6*12,'Assumptions'!$B$4,0)</x:f>
        <x:v>100</x:v>
      </x:c>
      <x:c r="E22" s="111" t="n">
        <x:f>J21</x:f>
        <x:v>0</x:v>
      </x:c>
      <x:c r="F22" s="111" t="n">
        <x:f>I16*C16/2+I10*C10/2+0+0+0+0+0+0+0+0</x:f>
        <x:v>4.04</x:v>
      </x:c>
      <x:c r="G22" s="111" t="n">
        <x:f>0</x:f>
        <x:v>0</x:v>
      </x:c>
      <x:c r="H22" s="111" t="n">
        <x:f>E22+D22+F22+G22</x:f>
        <x:v>104.04</x:v>
      </x:c>
      <x:c r="I22" s="111" t="n">
        <x:f>H22*(H22&gt;='Assumptions'!$B$9)</x:f>
        <x:v>104.04</x:v>
      </x:c>
      <x:c r="J22" s="111" t="n">
        <x:f>H22-I22</x:f>
        <x:v>0</x:v>
      </x:c>
      <x:c r="K22" s="111" t="n">
        <x:f>K21+I22-G22</x:f>
        <x:v>1524.12</x:v>
      </x:c>
      <x:c r="L22" s="111" t="n">
        <x:f>J22+K22</x:f>
        <x:v>1524.12</x:v>
      </x:c>
      <x:c r="M22" s="109" t="n">
        <x:f>M21+IF(I22&gt;=5,1,0)</x:f>
        <x:v>15</x:v>
      </x:c>
      <x:c r="N22" s="112" t="str">
        <x:f>IF(I22&gt;0,"Invest cash as new 5-year tranche",IF(J22&gt;0,"Carry cash until £5 threshold",""))</x:f>
        <x:v>Invest cash as new 5-year tranche</x:v>
      </x:c>
      <x:c r="O22" s="113"/>
    </x:row>
    <x:row r="23" ht="24" hidden="0" customHeight="1">
      <x:c r="A23" s="108" t="n">
        <x:v>15</x:v>
      </x:c>
      <x:c r="B23" s="109" t="n">
        <x:f>INT(A23/12)+1</x:f>
        <x:v>2</x:v>
      </x:c>
      <x:c r="C23" s="110" t="n">
        <x:f>INDEX('Assumptions'!$B$12:$B$21,MIN(B23,ROWS('Assumptions'!$B$12:$B$21)))</x:f>
        <x:v>0.038</x:v>
      </x:c>
      <x:c r="D23" s="111" t="n">
        <x:f>IF(A23&lt;'Assumptions'!$B$6*12,'Assumptions'!$B$4,0)</x:f>
        <x:v>100</x:v>
      </x:c>
      <x:c r="E23" s="111" t="n">
        <x:f>J22</x:f>
        <x:v>0</x:v>
      </x:c>
      <x:c r="F23" s="111" t="n">
        <x:f>I17*C17/2+I11*C11/2+0+0+0+0+0+0+0+0</x:f>
        <x:v>4.04</x:v>
      </x:c>
      <x:c r="G23" s="111" t="n">
        <x:f>0</x:f>
        <x:v>0</x:v>
      </x:c>
      <x:c r="H23" s="111" t="n">
        <x:f>E23+D23+F23+G23</x:f>
        <x:v>104.04</x:v>
      </x:c>
      <x:c r="I23" s="111" t="n">
        <x:f>H23*(H23&gt;='Assumptions'!$B$9)</x:f>
        <x:v>104.04</x:v>
      </x:c>
      <x:c r="J23" s="111" t="n">
        <x:f>H23-I23</x:f>
        <x:v>0</x:v>
      </x:c>
      <x:c r="K23" s="111" t="n">
        <x:f>K22+I23-G23</x:f>
        <x:v>1628.1599999999999</x:v>
      </x:c>
      <x:c r="L23" s="111" t="n">
        <x:f>J23+K23</x:f>
        <x:v>1628.1599999999999</x:v>
      </x:c>
      <x:c r="M23" s="109" t="n">
        <x:f>M22+IF(I23&gt;=5,1,0)</x:f>
        <x:v>16</x:v>
      </x:c>
      <x:c r="N23" s="112" t="str">
        <x:f>IF(I23&gt;0,"Invest cash as new 5-year tranche",IF(J23&gt;0,"Carry cash until £5 threshold",""))</x:f>
        <x:v>Invest cash as new 5-year tranche</x:v>
      </x:c>
      <x:c r="O23" s="113"/>
    </x:row>
    <x:row r="24" ht="24" hidden="0" customHeight="1">
      <x:c r="A24" s="108" t="n">
        <x:v>16</x:v>
      </x:c>
      <x:c r="B24" s="109" t="n">
        <x:f>INT(A24/12)+1</x:f>
        <x:v>2</x:v>
      </x:c>
      <x:c r="C24" s="110" t="n">
        <x:f>INDEX('Assumptions'!$B$12:$B$21,MIN(B24,ROWS('Assumptions'!$B$12:$B$21)))</x:f>
        <x:v>0.038</x:v>
      </x:c>
      <x:c r="D24" s="111" t="n">
        <x:f>IF(A24&lt;'Assumptions'!$B$6*12,'Assumptions'!$B$4,0)</x:f>
        <x:v>100</x:v>
      </x:c>
      <x:c r="E24" s="111" t="n">
        <x:f>J23</x:f>
        <x:v>0</x:v>
      </x:c>
      <x:c r="F24" s="111" t="n">
        <x:f>I18*C18/2+I12*C12/2+0+0+0+0+0+0+0+0</x:f>
        <x:v>4.04</x:v>
      </x:c>
      <x:c r="G24" s="111" t="n">
        <x:f>0</x:f>
        <x:v>0</x:v>
      </x:c>
      <x:c r="H24" s="111" t="n">
        <x:f>E24+D24+F24+G24</x:f>
        <x:v>104.04</x:v>
      </x:c>
      <x:c r="I24" s="111" t="n">
        <x:f>H24*(H24&gt;='Assumptions'!$B$9)</x:f>
        <x:v>104.04</x:v>
      </x:c>
      <x:c r="J24" s="111" t="n">
        <x:f>H24-I24</x:f>
        <x:v>0</x:v>
      </x:c>
      <x:c r="K24" s="111" t="n">
        <x:f>K23+I24-G24</x:f>
        <x:v>1732.1999999999998</x:v>
      </x:c>
      <x:c r="L24" s="111" t="n">
        <x:f>J24+K24</x:f>
        <x:v>1732.1999999999998</x:v>
      </x:c>
      <x:c r="M24" s="109" t="n">
        <x:f>M23+IF(I24&gt;=5,1,0)</x:f>
        <x:v>17</x:v>
      </x:c>
      <x:c r="N24" s="112" t="str">
        <x:f>IF(I24&gt;0,"Invest cash as new 5-year tranche",IF(J24&gt;0,"Carry cash until £5 threshold",""))</x:f>
        <x:v>Invest cash as new 5-year tranche</x:v>
      </x:c>
      <x:c r="O24" s="113"/>
    </x:row>
    <x:row r="25" ht="24" hidden="0" customHeight="1">
      <x:c r="A25" s="108" t="n">
        <x:v>17</x:v>
      </x:c>
      <x:c r="B25" s="109" t="n">
        <x:f>INT(A25/12)+1</x:f>
        <x:v>2</x:v>
      </x:c>
      <x:c r="C25" s="110" t="n">
        <x:f>INDEX('Assumptions'!$B$12:$B$21,MIN(B25,ROWS('Assumptions'!$B$12:$B$21)))</x:f>
        <x:v>0.038</x:v>
      </x:c>
      <x:c r="D25" s="111" t="n">
        <x:f>IF(A25&lt;'Assumptions'!$B$6*12,'Assumptions'!$B$4,0)</x:f>
        <x:v>100</x:v>
      </x:c>
      <x:c r="E25" s="111" t="n">
        <x:f>J24</x:f>
        <x:v>0</x:v>
      </x:c>
      <x:c r="F25" s="111" t="n">
        <x:f>I19*C19/2+I13*C13/2+0+0+0+0+0+0+0+0</x:f>
        <x:v>4.04</x:v>
      </x:c>
      <x:c r="G25" s="111" t="n">
        <x:f>0</x:f>
        <x:v>0</x:v>
      </x:c>
      <x:c r="H25" s="111" t="n">
        <x:f>E25+D25+F25+G25</x:f>
        <x:v>104.04</x:v>
      </x:c>
      <x:c r="I25" s="111" t="n">
        <x:f>H25*(H25&gt;='Assumptions'!$B$9)</x:f>
        <x:v>104.04</x:v>
      </x:c>
      <x:c r="J25" s="111" t="n">
        <x:f>H25-I25</x:f>
        <x:v>0</x:v>
      </x:c>
      <x:c r="K25" s="111" t="n">
        <x:f>K24+I25-G25</x:f>
        <x:v>1836.2399999999998</x:v>
      </x:c>
      <x:c r="L25" s="111" t="n">
        <x:f>J25+K25</x:f>
        <x:v>1836.2399999999998</x:v>
      </x:c>
      <x:c r="M25" s="109" t="n">
        <x:f>M24+IF(I25&gt;=5,1,0)</x:f>
        <x:v>18</x:v>
      </x:c>
      <x:c r="N25" s="112" t="str">
        <x:f>IF(I25&gt;0,"Invest cash as new 5-year tranche",IF(J25&gt;0,"Carry cash until £5 threshold",""))</x:f>
        <x:v>Invest cash as new 5-year tranche</x:v>
      </x:c>
      <x:c r="O25" s="113"/>
    </x:row>
    <x:row r="26" ht="24" hidden="0" customHeight="1">
      <x:c r="A26" s="108" t="n">
        <x:v>18</x:v>
      </x:c>
      <x:c r="B26" s="109" t="n">
        <x:f>INT(A26/12)+1</x:f>
        <x:v>2</x:v>
      </x:c>
      <x:c r="C26" s="110" t="n">
        <x:f>INDEX('Assumptions'!$B$12:$B$21,MIN(B26,ROWS('Assumptions'!$B$12:$B$21)))</x:f>
        <x:v>0.038</x:v>
      </x:c>
      <x:c r="D26" s="111" t="n">
        <x:f>IF(A26&lt;'Assumptions'!$B$6*12,'Assumptions'!$B$4,0)</x:f>
        <x:v>100</x:v>
      </x:c>
      <x:c r="E26" s="111" t="n">
        <x:f>J25</x:f>
        <x:v>0</x:v>
      </x:c>
      <x:c r="F26" s="111" t="n">
        <x:f>I20*C20/2+I14*C14/2+I8*C8/2+0+0+0+0+0+0+0</x:f>
        <x:v>6.01676</x:v>
      </x:c>
      <x:c r="G26" s="111" t="n">
        <x:f>0</x:f>
        <x:v>0</x:v>
      </x:c>
      <x:c r="H26" s="111" t="n">
        <x:f>E26+D26+F26+G26</x:f>
        <x:v>106.01676</x:v>
      </x:c>
      <x:c r="I26" s="111" t="n">
        <x:f>H26*(H26&gt;='Assumptions'!$B$9)</x:f>
        <x:v>106.01676</x:v>
      </x:c>
      <x:c r="J26" s="111" t="n">
        <x:f>H26-I26</x:f>
        <x:v>0</x:v>
      </x:c>
      <x:c r="K26" s="111" t="n">
        <x:f>K25+I26-G26</x:f>
        <x:v>1942.2567599999998</x:v>
      </x:c>
      <x:c r="L26" s="111" t="n">
        <x:f>J26+K26</x:f>
        <x:v>1942.2567599999998</x:v>
      </x:c>
      <x:c r="M26" s="109" t="n">
        <x:f>M25+IF(I26&gt;=5,1,0)</x:f>
        <x:v>19</x:v>
      </x:c>
      <x:c r="N26" s="112" t="str">
        <x:f>IF(I26&gt;0,"Invest cash as new 5-year tranche",IF(J26&gt;0,"Carry cash until £5 threshold",""))</x:f>
        <x:v>Invest cash as new 5-year tranche</x:v>
      </x:c>
      <x:c r="O26" s="113"/>
    </x:row>
    <x:row r="27" ht="24" hidden="0" customHeight="1">
      <x:c r="A27" s="108" t="n">
        <x:v>19</x:v>
      </x:c>
      <x:c r="B27" s="109" t="n">
        <x:f>INT(A27/12)+1</x:f>
        <x:v>2</x:v>
      </x:c>
      <x:c r="C27" s="110" t="n">
        <x:f>INDEX('Assumptions'!$B$12:$B$21,MIN(B27,ROWS('Assumptions'!$B$12:$B$21)))</x:f>
        <x:v>0.038</x:v>
      </x:c>
      <x:c r="D27" s="111" t="n">
        <x:f>IF(A27&lt;'Assumptions'!$B$6*12,'Assumptions'!$B$4,0)</x:f>
        <x:v>100</x:v>
      </x:c>
      <x:c r="E27" s="111" t="n">
        <x:f>J26</x:f>
        <x:v>0</x:v>
      </x:c>
      <x:c r="F27" s="111" t="n">
        <x:f>I21*C21/2+I15*C15/2+I9*C9/2+0+0+0+0+0+0+0</x:f>
        <x:v>6.01676</x:v>
      </x:c>
      <x:c r="G27" s="111" t="n">
        <x:f>0</x:f>
        <x:v>0</x:v>
      </x:c>
      <x:c r="H27" s="111" t="n">
        <x:f>E27+D27+F27+G27</x:f>
        <x:v>106.01676</x:v>
      </x:c>
      <x:c r="I27" s="111" t="n">
        <x:f>H27*(H27&gt;='Assumptions'!$B$9)</x:f>
        <x:v>106.01676</x:v>
      </x:c>
      <x:c r="J27" s="111" t="n">
        <x:f>H27-I27</x:f>
        <x:v>0</x:v>
      </x:c>
      <x:c r="K27" s="111" t="n">
        <x:f>K26+I27-G27</x:f>
        <x:v>2048.2735199999997</x:v>
      </x:c>
      <x:c r="L27" s="111" t="n">
        <x:f>J27+K27</x:f>
        <x:v>2048.2735199999997</x:v>
      </x:c>
      <x:c r="M27" s="109" t="n">
        <x:f>M26+IF(I27&gt;=5,1,0)</x:f>
        <x:v>20</x:v>
      </x:c>
      <x:c r="N27" s="112" t="str">
        <x:f>IF(I27&gt;0,"Invest cash as new 5-year tranche",IF(J27&gt;0,"Carry cash until £5 threshold",""))</x:f>
        <x:v>Invest cash as new 5-year tranche</x:v>
      </x:c>
      <x:c r="O27" s="113"/>
    </x:row>
    <x:row r="28" ht="24" hidden="0" customHeight="1">
      <x:c r="A28" s="108" t="n">
        <x:v>20</x:v>
      </x:c>
      <x:c r="B28" s="109" t="n">
        <x:f>INT(A28/12)+1</x:f>
        <x:v>2</x:v>
      </x:c>
      <x:c r="C28" s="110" t="n">
        <x:f>INDEX('Assumptions'!$B$12:$B$21,MIN(B28,ROWS('Assumptions'!$B$12:$B$21)))</x:f>
        <x:v>0.038</x:v>
      </x:c>
      <x:c r="D28" s="111" t="n">
        <x:f>IF(A28&lt;'Assumptions'!$B$6*12,'Assumptions'!$B$4,0)</x:f>
        <x:v>100</x:v>
      </x:c>
      <x:c r="E28" s="111" t="n">
        <x:f>J27</x:f>
        <x:v>0</x:v>
      </x:c>
      <x:c r="F28" s="111" t="n">
        <x:f>I22*C22/2+I16*C16/2+I10*C10/2+0+0+0+0+0+0+0</x:f>
        <x:v>6.01676</x:v>
      </x:c>
      <x:c r="G28" s="111" t="n">
        <x:f>0</x:f>
        <x:v>0</x:v>
      </x:c>
      <x:c r="H28" s="111" t="n">
        <x:f>E28+D28+F28+G28</x:f>
        <x:v>106.01676</x:v>
      </x:c>
      <x:c r="I28" s="111" t="n">
        <x:f>H28*(H28&gt;='Assumptions'!$B$9)</x:f>
        <x:v>106.01676</x:v>
      </x:c>
      <x:c r="J28" s="111" t="n">
        <x:f>H28-I28</x:f>
        <x:v>0</x:v>
      </x:c>
      <x:c r="K28" s="111" t="n">
        <x:f>K27+I28-G28</x:f>
        <x:v>2154.2902799999997</x:v>
      </x:c>
      <x:c r="L28" s="111" t="n">
        <x:f>J28+K28</x:f>
        <x:v>2154.2902799999997</x:v>
      </x:c>
      <x:c r="M28" s="109" t="n">
        <x:f>M27+IF(I28&gt;=5,1,0)</x:f>
        <x:v>21</x:v>
      </x:c>
      <x:c r="N28" s="112" t="str">
        <x:f>IF(I28&gt;0,"Invest cash as new 5-year tranche",IF(J28&gt;0,"Carry cash until £5 threshold",""))</x:f>
        <x:v>Invest cash as new 5-year tranche</x:v>
      </x:c>
      <x:c r="O28" s="113"/>
    </x:row>
    <x:row r="29" ht="24" hidden="0" customHeight="1">
      <x:c r="A29" s="108" t="n">
        <x:v>21</x:v>
      </x:c>
      <x:c r="B29" s="109" t="n">
        <x:f>INT(A29/12)+1</x:f>
        <x:v>2</x:v>
      </x:c>
      <x:c r="C29" s="110" t="n">
        <x:f>INDEX('Assumptions'!$B$12:$B$21,MIN(B29,ROWS('Assumptions'!$B$12:$B$21)))</x:f>
        <x:v>0.038</x:v>
      </x:c>
      <x:c r="D29" s="111" t="n">
        <x:f>IF(A29&lt;'Assumptions'!$B$6*12,'Assumptions'!$B$4,0)</x:f>
        <x:v>100</x:v>
      </x:c>
      <x:c r="E29" s="111" t="n">
        <x:f>J28</x:f>
        <x:v>0</x:v>
      </x:c>
      <x:c r="F29" s="111" t="n">
        <x:f>I23*C23/2+I17*C17/2+I11*C11/2+0+0+0+0+0+0+0</x:f>
        <x:v>6.01676</x:v>
      </x:c>
      <x:c r="G29" s="111" t="n">
        <x:f>0</x:f>
        <x:v>0</x:v>
      </x:c>
      <x:c r="H29" s="111" t="n">
        <x:f>E29+D29+F29+G29</x:f>
        <x:v>106.01676</x:v>
      </x:c>
      <x:c r="I29" s="111" t="n">
        <x:f>H29*(H29&gt;='Assumptions'!$B$9)</x:f>
        <x:v>106.01676</x:v>
      </x:c>
      <x:c r="J29" s="111" t="n">
        <x:f>H29-I29</x:f>
        <x:v>0</x:v>
      </x:c>
      <x:c r="K29" s="111" t="n">
        <x:f>K28+I29-G29</x:f>
        <x:v>2260.3070399999997</x:v>
      </x:c>
      <x:c r="L29" s="111" t="n">
        <x:f>J29+K29</x:f>
        <x:v>2260.3070399999997</x:v>
      </x:c>
      <x:c r="M29" s="109" t="n">
        <x:f>M28+IF(I29&gt;=5,1,0)</x:f>
        <x:v>22</x:v>
      </x:c>
      <x:c r="N29" s="112" t="str">
        <x:f>IF(I29&gt;0,"Invest cash as new 5-year tranche",IF(J29&gt;0,"Carry cash until £5 threshold",""))</x:f>
        <x:v>Invest cash as new 5-year tranche</x:v>
      </x:c>
      <x:c r="O29" s="113"/>
    </x:row>
    <x:row r="30" ht="24" hidden="0" customHeight="1">
      <x:c r="A30" s="108" t="n">
        <x:v>22</x:v>
      </x:c>
      <x:c r="B30" s="109" t="n">
        <x:f>INT(A30/12)+1</x:f>
        <x:v>2</x:v>
      </x:c>
      <x:c r="C30" s="110" t="n">
        <x:f>INDEX('Assumptions'!$B$12:$B$21,MIN(B30,ROWS('Assumptions'!$B$12:$B$21)))</x:f>
        <x:v>0.038</x:v>
      </x:c>
      <x:c r="D30" s="111" t="n">
        <x:f>IF(A30&lt;'Assumptions'!$B$6*12,'Assumptions'!$B$4,0)</x:f>
        <x:v>100</x:v>
      </x:c>
      <x:c r="E30" s="111" t="n">
        <x:f>J29</x:f>
        <x:v>0</x:v>
      </x:c>
      <x:c r="F30" s="111" t="n">
        <x:f>I24*C24/2+I18*C18/2+I12*C12/2+0+0+0+0+0+0+0</x:f>
        <x:v>6.01676</x:v>
      </x:c>
      <x:c r="G30" s="111" t="n">
        <x:f>0</x:f>
        <x:v>0</x:v>
      </x:c>
      <x:c r="H30" s="111" t="n">
        <x:f>E30+D30+F30+G30</x:f>
        <x:v>106.01676</x:v>
      </x:c>
      <x:c r="I30" s="111" t="n">
        <x:f>H30*(H30&gt;='Assumptions'!$B$9)</x:f>
        <x:v>106.01676</x:v>
      </x:c>
      <x:c r="J30" s="111" t="n">
        <x:f>H30-I30</x:f>
        <x:v>0</x:v>
      </x:c>
      <x:c r="K30" s="111" t="n">
        <x:f>K29+I30-G30</x:f>
        <x:v>2366.3237999999997</x:v>
      </x:c>
      <x:c r="L30" s="111" t="n">
        <x:f>J30+K30</x:f>
        <x:v>2366.3237999999997</x:v>
      </x:c>
      <x:c r="M30" s="109" t="n">
        <x:f>M29+IF(I30&gt;=5,1,0)</x:f>
        <x:v>23</x:v>
      </x:c>
      <x:c r="N30" s="112" t="str">
        <x:f>IF(I30&gt;0,"Invest cash as new 5-year tranche",IF(J30&gt;0,"Carry cash until £5 threshold",""))</x:f>
        <x:v>Invest cash as new 5-year tranche</x:v>
      </x:c>
      <x:c r="O30" s="113"/>
    </x:row>
    <x:row r="31" ht="24" hidden="0" customHeight="1">
      <x:c r="A31" s="108" t="n">
        <x:v>23</x:v>
      </x:c>
      <x:c r="B31" s="109" t="n">
        <x:f>INT(A31/12)+1</x:f>
        <x:v>2</x:v>
      </x:c>
      <x:c r="C31" s="110" t="n">
        <x:f>INDEX('Assumptions'!$B$12:$B$21,MIN(B31,ROWS('Assumptions'!$B$12:$B$21)))</x:f>
        <x:v>0.038</x:v>
      </x:c>
      <x:c r="D31" s="111" t="n">
        <x:f>IF(A31&lt;'Assumptions'!$B$6*12,'Assumptions'!$B$4,0)</x:f>
        <x:v>100</x:v>
      </x:c>
      <x:c r="E31" s="111" t="n">
        <x:f>J30</x:f>
        <x:v>0</x:v>
      </x:c>
      <x:c r="F31" s="111" t="n">
        <x:f>I25*C25/2+I19*C19/2+I13*C13/2+0+0+0+0+0+0+0</x:f>
        <x:v>6.01676</x:v>
      </x:c>
      <x:c r="G31" s="111" t="n">
        <x:f>0</x:f>
        <x:v>0</x:v>
      </x:c>
      <x:c r="H31" s="111" t="n">
        <x:f>E31+D31+F31+G31</x:f>
        <x:v>106.01676</x:v>
      </x:c>
      <x:c r="I31" s="111" t="n">
        <x:f>H31*(H31&gt;='Assumptions'!$B$9)</x:f>
        <x:v>106.01676</x:v>
      </x:c>
      <x:c r="J31" s="111" t="n">
        <x:f>H31-I31</x:f>
        <x:v>0</x:v>
      </x:c>
      <x:c r="K31" s="111" t="n">
        <x:f>K30+I31-G31</x:f>
        <x:v>2472.3405599999996</x:v>
      </x:c>
      <x:c r="L31" s="111" t="n">
        <x:f>J31+K31</x:f>
        <x:v>2472.3405599999996</x:v>
      </x:c>
      <x:c r="M31" s="109" t="n">
        <x:f>M30+IF(I31&gt;=5,1,0)</x:f>
        <x:v>24</x:v>
      </x:c>
      <x:c r="N31" s="112" t="str">
        <x:f>IF(I31&gt;0,"Invest cash as new 5-year tranche",IF(J31&gt;0,"Carry cash until £5 threshold",""))</x:f>
        <x:v>Invest cash as new 5-year tranche</x:v>
      </x:c>
      <x:c r="O31" s="113"/>
    </x:row>
    <x:row r="32" ht="24" hidden="0" customHeight="1">
      <x:c r="A32" s="108" t="n">
        <x:v>24</x:v>
      </x:c>
      <x:c r="B32" s="109" t="n">
        <x:f>INT(A32/12)+1</x:f>
        <x:v>3</x:v>
      </x:c>
      <x:c r="C32" s="110" t="n">
        <x:f>INDEX('Assumptions'!$B$12:$B$21,MIN(B32,ROWS('Assumptions'!$B$12:$B$21)))</x:f>
        <x:v>0.036</x:v>
      </x:c>
      <x:c r="D32" s="111" t="n">
        <x:f>IF(A32&lt;'Assumptions'!$B$6*12,'Assumptions'!$B$4,0)</x:f>
        <x:v>100</x:v>
      </x:c>
      <x:c r="E32" s="111" t="n">
        <x:f>J31</x:f>
        <x:v>0</x:v>
      </x:c>
      <x:c r="F32" s="111" t="n">
        <x:f>I26*C26/2+I20*C20/2+I14*C14/2+I8*C8/2+0+0+0+0+0+0</x:f>
        <x:v>8.03107844</x:v>
      </x:c>
      <x:c r="G32" s="111" t="n">
        <x:f>0</x:f>
        <x:v>0</x:v>
      </x:c>
      <x:c r="H32" s="111" t="n">
        <x:f>E32+D32+F32+G32</x:f>
        <x:v>108.03107844</x:v>
      </x:c>
      <x:c r="I32" s="111" t="n">
        <x:f>H32*(H32&gt;='Assumptions'!$B$9)</x:f>
        <x:v>108.03107844</x:v>
      </x:c>
      <x:c r="J32" s="111" t="n">
        <x:f>H32-I32</x:f>
        <x:v>0</x:v>
      </x:c>
      <x:c r="K32" s="111" t="n">
        <x:f>K31+I32-G32</x:f>
        <x:v>2580.3716384399995</x:v>
      </x:c>
      <x:c r="L32" s="111" t="n">
        <x:f>J32+K32</x:f>
        <x:v>2580.3716384399995</x:v>
      </x:c>
      <x:c r="M32" s="109" t="n">
        <x:f>M31+IF(I32&gt;=5,1,0)</x:f>
        <x:v>25</x:v>
      </x:c>
      <x:c r="N32" s="112" t="str">
        <x:f>IF(I32&gt;0,"Invest cash as new 5-year tranche",IF(J32&gt;0,"Carry cash until £5 threshold",""))</x:f>
        <x:v>Invest cash as new 5-year tranche</x:v>
      </x:c>
      <x:c r="O32" s="113"/>
    </x:row>
    <x:row r="33" ht="24" hidden="0" customHeight="1">
      <x:c r="A33" s="108" t="n">
        <x:v>25</x:v>
      </x:c>
      <x:c r="B33" s="109" t="n">
        <x:f>INT(A33/12)+1</x:f>
        <x:v>3</x:v>
      </x:c>
      <x:c r="C33" s="110" t="n">
        <x:f>INDEX('Assumptions'!$B$12:$B$21,MIN(B33,ROWS('Assumptions'!$B$12:$B$21)))</x:f>
        <x:v>0.036</x:v>
      </x:c>
      <x:c r="D33" s="111" t="n">
        <x:f>IF(A33&lt;'Assumptions'!$B$6*12,'Assumptions'!$B$4,0)</x:f>
        <x:v>100</x:v>
      </x:c>
      <x:c r="E33" s="111" t="n">
        <x:f>J32</x:f>
        <x:v>0</x:v>
      </x:c>
      <x:c r="F33" s="111" t="n">
        <x:f>I27*C27/2+I21*C21/2+I15*C15/2+I9*C9/2+0+0+0+0+0+0</x:f>
        <x:v>8.03107844</x:v>
      </x:c>
      <x:c r="G33" s="111" t="n">
        <x:f>0</x:f>
        <x:v>0</x:v>
      </x:c>
      <x:c r="H33" s="111" t="n">
        <x:f>E33+D33+F33+G33</x:f>
        <x:v>108.03107844</x:v>
      </x:c>
      <x:c r="I33" s="111" t="n">
        <x:f>H33*(H33&gt;='Assumptions'!$B$9)</x:f>
        <x:v>108.03107844</x:v>
      </x:c>
      <x:c r="J33" s="111" t="n">
        <x:f>H33-I33</x:f>
        <x:v>0</x:v>
      </x:c>
      <x:c r="K33" s="111" t="n">
        <x:f>K32+I33-G33</x:f>
        <x:v>2688.4027168799994</x:v>
      </x:c>
      <x:c r="L33" s="111" t="n">
        <x:f>J33+K33</x:f>
        <x:v>2688.4027168799994</x:v>
      </x:c>
      <x:c r="M33" s="109" t="n">
        <x:f>M32+IF(I33&gt;=5,1,0)</x:f>
        <x:v>26</x:v>
      </x:c>
      <x:c r="N33" s="112" t="str">
        <x:f>IF(I33&gt;0,"Invest cash as new 5-year tranche",IF(J33&gt;0,"Carry cash until £5 threshold",""))</x:f>
        <x:v>Invest cash as new 5-year tranche</x:v>
      </x:c>
      <x:c r="O33" s="113"/>
    </x:row>
    <x:row r="34" ht="24" hidden="0" customHeight="1">
      <x:c r="A34" s="108" t="n">
        <x:v>26</x:v>
      </x:c>
      <x:c r="B34" s="109" t="n">
        <x:f>INT(A34/12)+1</x:f>
        <x:v>3</x:v>
      </x:c>
      <x:c r="C34" s="110" t="n">
        <x:f>INDEX('Assumptions'!$B$12:$B$21,MIN(B34,ROWS('Assumptions'!$B$12:$B$21)))</x:f>
        <x:v>0.036</x:v>
      </x:c>
      <x:c r="D34" s="111" t="n">
        <x:f>IF(A34&lt;'Assumptions'!$B$6*12,'Assumptions'!$B$4,0)</x:f>
        <x:v>100</x:v>
      </x:c>
      <x:c r="E34" s="111" t="n">
        <x:f>J33</x:f>
        <x:v>0</x:v>
      </x:c>
      <x:c r="F34" s="111" t="n">
        <x:f>I28*C28/2+I22*C22/2+I16*C16/2+I10*C10/2+0+0+0+0+0+0</x:f>
        <x:v>8.03107844</x:v>
      </x:c>
      <x:c r="G34" s="111" t="n">
        <x:f>0</x:f>
        <x:v>0</x:v>
      </x:c>
      <x:c r="H34" s="111" t="n">
        <x:f>E34+D34+F34+G34</x:f>
        <x:v>108.03107844</x:v>
      </x:c>
      <x:c r="I34" s="111" t="n">
        <x:f>H34*(H34&gt;='Assumptions'!$B$9)</x:f>
        <x:v>108.03107844</x:v>
      </x:c>
      <x:c r="J34" s="111" t="n">
        <x:f>H34-I34</x:f>
        <x:v>0</x:v>
      </x:c>
      <x:c r="K34" s="111" t="n">
        <x:f>K33+I34-G34</x:f>
        <x:v>2796.4337953199993</x:v>
      </x:c>
      <x:c r="L34" s="111" t="n">
        <x:f>J34+K34</x:f>
        <x:v>2796.4337953199993</x:v>
      </x:c>
      <x:c r="M34" s="109" t="n">
        <x:f>M33+IF(I34&gt;=5,1,0)</x:f>
        <x:v>27</x:v>
      </x:c>
      <x:c r="N34" s="112" t="str">
        <x:f>IF(I34&gt;0,"Invest cash as new 5-year tranche",IF(J34&gt;0,"Carry cash until £5 threshold",""))</x:f>
        <x:v>Invest cash as new 5-year tranche</x:v>
      </x:c>
      <x:c r="O34" s="113"/>
    </x:row>
    <x:row r="35" ht="24" hidden="0" customHeight="1">
      <x:c r="A35" s="108" t="n">
        <x:v>27</x:v>
      </x:c>
      <x:c r="B35" s="109" t="n">
        <x:f>INT(A35/12)+1</x:f>
        <x:v>3</x:v>
      </x:c>
      <x:c r="C35" s="110" t="n">
        <x:f>INDEX('Assumptions'!$B$12:$B$21,MIN(B35,ROWS('Assumptions'!$B$12:$B$21)))</x:f>
        <x:v>0.036</x:v>
      </x:c>
      <x:c r="D35" s="111" t="n">
        <x:f>IF(A35&lt;'Assumptions'!$B$6*12,'Assumptions'!$B$4,0)</x:f>
        <x:v>100</x:v>
      </x:c>
      <x:c r="E35" s="111" t="n">
        <x:f>J34</x:f>
        <x:v>0</x:v>
      </x:c>
      <x:c r="F35" s="111" t="n">
        <x:f>I29*C29/2+I23*C23/2+I17*C17/2+I11*C11/2+0+0+0+0+0+0</x:f>
        <x:v>8.03107844</x:v>
      </x:c>
      <x:c r="G35" s="111" t="n">
        <x:f>0</x:f>
        <x:v>0</x:v>
      </x:c>
      <x:c r="H35" s="111" t="n">
        <x:f>E35+D35+F35+G35</x:f>
        <x:v>108.03107844</x:v>
      </x:c>
      <x:c r="I35" s="111" t="n">
        <x:f>H35*(H35&gt;='Assumptions'!$B$9)</x:f>
        <x:v>108.03107844</x:v>
      </x:c>
      <x:c r="J35" s="111" t="n">
        <x:f>H35-I35</x:f>
        <x:v>0</x:v>
      </x:c>
      <x:c r="K35" s="111" t="n">
        <x:f>K34+I35-G35</x:f>
        <x:v>2904.464873759999</x:v>
      </x:c>
      <x:c r="L35" s="111" t="n">
        <x:f>J35+K35</x:f>
        <x:v>2904.464873759999</x:v>
      </x:c>
      <x:c r="M35" s="109" t="n">
        <x:f>M34+IF(I35&gt;=5,1,0)</x:f>
        <x:v>28</x:v>
      </x:c>
      <x:c r="N35" s="112" t="str">
        <x:f>IF(I35&gt;0,"Invest cash as new 5-year tranche",IF(J35&gt;0,"Carry cash until £5 threshold",""))</x:f>
        <x:v>Invest cash as new 5-year tranche</x:v>
      </x:c>
      <x:c r="O35" s="113"/>
    </x:row>
    <x:row r="36" ht="24" hidden="0" customHeight="1">
      <x:c r="A36" s="108" t="n">
        <x:v>28</x:v>
      </x:c>
      <x:c r="B36" s="109" t="n">
        <x:f>INT(A36/12)+1</x:f>
        <x:v>3</x:v>
      </x:c>
      <x:c r="C36" s="110" t="n">
        <x:f>INDEX('Assumptions'!$B$12:$B$21,MIN(B36,ROWS('Assumptions'!$B$12:$B$21)))</x:f>
        <x:v>0.036</x:v>
      </x:c>
      <x:c r="D36" s="111" t="n">
        <x:f>IF(A36&lt;'Assumptions'!$B$6*12,'Assumptions'!$B$4,0)</x:f>
        <x:v>100</x:v>
      </x:c>
      <x:c r="E36" s="111" t="n">
        <x:f>J35</x:f>
        <x:v>0</x:v>
      </x:c>
      <x:c r="F36" s="111" t="n">
        <x:f>I30*C30/2+I24*C24/2+I18*C18/2+I12*C12/2+0+0+0+0+0+0</x:f>
        <x:v>8.03107844</x:v>
      </x:c>
      <x:c r="G36" s="111" t="n">
        <x:f>0</x:f>
        <x:v>0</x:v>
      </x:c>
      <x:c r="H36" s="111" t="n">
        <x:f>E36+D36+F36+G36</x:f>
        <x:v>108.03107844</x:v>
      </x:c>
      <x:c r="I36" s="111" t="n">
        <x:f>H36*(H36&gt;='Assumptions'!$B$9)</x:f>
        <x:v>108.03107844</x:v>
      </x:c>
      <x:c r="J36" s="111" t="n">
        <x:f>H36-I36</x:f>
        <x:v>0</x:v>
      </x:c>
      <x:c r="K36" s="111" t="n">
        <x:f>K35+I36-G36</x:f>
        <x:v>3012.495952199999</x:v>
      </x:c>
      <x:c r="L36" s="111" t="n">
        <x:f>J36+K36</x:f>
        <x:v>3012.495952199999</x:v>
      </x:c>
      <x:c r="M36" s="109" t="n">
        <x:f>M35+IF(I36&gt;=5,1,0)</x:f>
        <x:v>29</x:v>
      </x:c>
      <x:c r="N36" s="112" t="str">
        <x:f>IF(I36&gt;0,"Invest cash as new 5-year tranche",IF(J36&gt;0,"Carry cash until £5 threshold",""))</x:f>
        <x:v>Invest cash as new 5-year tranche</x:v>
      </x:c>
      <x:c r="O36" s="113"/>
    </x:row>
    <x:row r="37" ht="24" hidden="0" customHeight="1">
      <x:c r="A37" s="108" t="n">
        <x:v>29</x:v>
      </x:c>
      <x:c r="B37" s="109" t="n">
        <x:f>INT(A37/12)+1</x:f>
        <x:v>3</x:v>
      </x:c>
      <x:c r="C37" s="110" t="n">
        <x:f>INDEX('Assumptions'!$B$12:$B$21,MIN(B37,ROWS('Assumptions'!$B$12:$B$21)))</x:f>
        <x:v>0.036</x:v>
      </x:c>
      <x:c r="D37" s="111" t="n">
        <x:f>IF(A37&lt;'Assumptions'!$B$6*12,'Assumptions'!$B$4,0)</x:f>
        <x:v>100</x:v>
      </x:c>
      <x:c r="E37" s="111" t="n">
        <x:f>J36</x:f>
        <x:v>0</x:v>
      </x:c>
      <x:c r="F37" s="111" t="n">
        <x:f>I31*C31/2+I25*C25/2+I19*C19/2+I13*C13/2+0+0+0+0+0+0</x:f>
        <x:v>8.03107844</x:v>
      </x:c>
      <x:c r="G37" s="111" t="n">
        <x:f>0</x:f>
        <x:v>0</x:v>
      </x:c>
      <x:c r="H37" s="111" t="n">
        <x:f>E37+D37+F37+G37</x:f>
        <x:v>108.03107844</x:v>
      </x:c>
      <x:c r="I37" s="111" t="n">
        <x:f>H37*(H37&gt;='Assumptions'!$B$9)</x:f>
        <x:v>108.03107844</x:v>
      </x:c>
      <x:c r="J37" s="111" t="n">
        <x:f>H37-I37</x:f>
        <x:v>0</x:v>
      </x:c>
      <x:c r="K37" s="111" t="n">
        <x:f>K36+I37-G37</x:f>
        <x:v>3120.527030639999</x:v>
      </x:c>
      <x:c r="L37" s="111" t="n">
        <x:f>J37+K37</x:f>
        <x:v>3120.527030639999</x:v>
      </x:c>
      <x:c r="M37" s="109" t="n">
        <x:f>M36+IF(I37&gt;=5,1,0)</x:f>
        <x:v>30</x:v>
      </x:c>
      <x:c r="N37" s="112" t="str">
        <x:f>IF(I37&gt;0,"Invest cash as new 5-year tranche",IF(J37&gt;0,"Carry cash until £5 threshold",""))</x:f>
        <x:v>Invest cash as new 5-year tranche</x:v>
      </x:c>
      <x:c r="O37" s="113"/>
    </x:row>
    <x:row r="38" ht="24" hidden="0" customHeight="1">
      <x:c r="A38" s="108" t="n">
        <x:v>30</x:v>
      </x:c>
      <x:c r="B38" s="109" t="n">
        <x:f>INT(A38/12)+1</x:f>
        <x:v>3</x:v>
      </x:c>
      <x:c r="C38" s="110" t="n">
        <x:f>INDEX('Assumptions'!$B$12:$B$21,MIN(B38,ROWS('Assumptions'!$B$12:$B$21)))</x:f>
        <x:v>0.036</x:v>
      </x:c>
      <x:c r="D38" s="111" t="n">
        <x:f>IF(A38&lt;'Assumptions'!$B$6*12,'Assumptions'!$B$4,0)</x:f>
        <x:v>100</x:v>
      </x:c>
      <x:c r="E38" s="111" t="n">
        <x:f>J37</x:f>
        <x:v>0</x:v>
      </x:c>
      <x:c r="F38" s="111" t="n">
        <x:f>I32*C32/2+I26*C26/2+I20*C20/2+I14*C14/2+I8*C8/2+0+0+0+0+0</x:f>
        <x:v>9.97563785192</x:v>
      </x:c>
      <x:c r="G38" s="111" t="n">
        <x:f>0</x:f>
        <x:v>0</x:v>
      </x:c>
      <x:c r="H38" s="111" t="n">
        <x:f>E38+D38+F38+G38</x:f>
        <x:v>109.97563785192</x:v>
      </x:c>
      <x:c r="I38" s="111" t="n">
        <x:f>H38*(H38&gt;='Assumptions'!$B$9)</x:f>
        <x:v>109.97563785192</x:v>
      </x:c>
      <x:c r="J38" s="111" t="n">
        <x:f>H38-I38</x:f>
        <x:v>0</x:v>
      </x:c>
      <x:c r="K38" s="111" t="n">
        <x:f>K37+I38-G38</x:f>
        <x:v>3230.502668491919</x:v>
      </x:c>
      <x:c r="L38" s="111" t="n">
        <x:f>J38+K38</x:f>
        <x:v>3230.502668491919</x:v>
      </x:c>
      <x:c r="M38" s="109" t="n">
        <x:f>M37+IF(I38&gt;=5,1,0)</x:f>
        <x:v>31</x:v>
      </x:c>
      <x:c r="N38" s="112" t="str">
        <x:f>IF(I38&gt;0,"Invest cash as new 5-year tranche",IF(J38&gt;0,"Carry cash until £5 threshold",""))</x:f>
        <x:v>Invest cash as new 5-year tranche</x:v>
      </x:c>
      <x:c r="O38" s="113"/>
    </x:row>
    <x:row r="39" ht="24" hidden="0" customHeight="1">
      <x:c r="A39" s="108" t="n">
        <x:v>31</x:v>
      </x:c>
      <x:c r="B39" s="109" t="n">
        <x:f>INT(A39/12)+1</x:f>
        <x:v>3</x:v>
      </x:c>
      <x:c r="C39" s="110" t="n">
        <x:f>INDEX('Assumptions'!$B$12:$B$21,MIN(B39,ROWS('Assumptions'!$B$12:$B$21)))</x:f>
        <x:v>0.036</x:v>
      </x:c>
      <x:c r="D39" s="111" t="n">
        <x:f>IF(A39&lt;'Assumptions'!$B$6*12,'Assumptions'!$B$4,0)</x:f>
        <x:v>100</x:v>
      </x:c>
      <x:c r="E39" s="111" t="n">
        <x:f>J38</x:f>
        <x:v>0</x:v>
      </x:c>
      <x:c r="F39" s="111" t="n">
        <x:f>I33*C33/2+I27*C27/2+I21*C21/2+I15*C15/2+I9*C9/2+0+0+0+0+0</x:f>
        <x:v>9.97563785192</x:v>
      </x:c>
      <x:c r="G39" s="111" t="n">
        <x:f>0</x:f>
        <x:v>0</x:v>
      </x:c>
      <x:c r="H39" s="111" t="n">
        <x:f>E39+D39+F39+G39</x:f>
        <x:v>109.97563785192</x:v>
      </x:c>
      <x:c r="I39" s="111" t="n">
        <x:f>H39*(H39&gt;='Assumptions'!$B$9)</x:f>
        <x:v>109.97563785192</x:v>
      </x:c>
      <x:c r="J39" s="111" t="n">
        <x:f>H39-I39</x:f>
        <x:v>0</x:v>
      </x:c>
      <x:c r="K39" s="111" t="n">
        <x:f>K38+I39-G39</x:f>
        <x:v>3340.478306343839</x:v>
      </x:c>
      <x:c r="L39" s="111" t="n">
        <x:f>J39+K39</x:f>
        <x:v>3340.478306343839</x:v>
      </x:c>
      <x:c r="M39" s="109" t="n">
        <x:f>M38+IF(I39&gt;=5,1,0)</x:f>
        <x:v>32</x:v>
      </x:c>
      <x:c r="N39" s="112" t="str">
        <x:f>IF(I39&gt;0,"Invest cash as new 5-year tranche",IF(J39&gt;0,"Carry cash until £5 threshold",""))</x:f>
        <x:v>Invest cash as new 5-year tranche</x:v>
      </x:c>
      <x:c r="O39" s="113"/>
    </x:row>
    <x:row r="40" ht="24" hidden="0" customHeight="1">
      <x:c r="A40" s="108" t="n">
        <x:v>32</x:v>
      </x:c>
      <x:c r="B40" s="109" t="n">
        <x:f>INT(A40/12)+1</x:f>
        <x:v>3</x:v>
      </x:c>
      <x:c r="C40" s="110" t="n">
        <x:f>INDEX('Assumptions'!$B$12:$B$21,MIN(B40,ROWS('Assumptions'!$B$12:$B$21)))</x:f>
        <x:v>0.036</x:v>
      </x:c>
      <x:c r="D40" s="111" t="n">
        <x:f>IF(A40&lt;'Assumptions'!$B$6*12,'Assumptions'!$B$4,0)</x:f>
        <x:v>100</x:v>
      </x:c>
      <x:c r="E40" s="111" t="n">
        <x:f>J39</x:f>
        <x:v>0</x:v>
      </x:c>
      <x:c r="F40" s="111" t="n">
        <x:f>I34*C34/2+I28*C28/2+I22*C22/2+I16*C16/2+I10*C10/2+0+0+0+0+0</x:f>
        <x:v>9.97563785192</x:v>
      </x:c>
      <x:c r="G40" s="111" t="n">
        <x:f>0</x:f>
        <x:v>0</x:v>
      </x:c>
      <x:c r="H40" s="111" t="n">
        <x:f>E40+D40+F40+G40</x:f>
        <x:v>109.97563785192</x:v>
      </x:c>
      <x:c r="I40" s="111" t="n">
        <x:f>H40*(H40&gt;='Assumptions'!$B$9)</x:f>
        <x:v>109.97563785192</x:v>
      </x:c>
      <x:c r="J40" s="111" t="n">
        <x:f>H40-I40</x:f>
        <x:v>0</x:v>
      </x:c>
      <x:c r="K40" s="111" t="n">
        <x:f>K39+I40-G40</x:f>
        <x:v>3450.453944195759</x:v>
      </x:c>
      <x:c r="L40" s="111" t="n">
        <x:f>J40+K40</x:f>
        <x:v>3450.453944195759</x:v>
      </x:c>
      <x:c r="M40" s="109" t="n">
        <x:f>M39+IF(I40&gt;=5,1,0)</x:f>
        <x:v>33</x:v>
      </x:c>
      <x:c r="N40" s="112" t="str">
        <x:f>IF(I40&gt;0,"Invest cash as new 5-year tranche",IF(J40&gt;0,"Carry cash until £5 threshold",""))</x:f>
        <x:v>Invest cash as new 5-year tranche</x:v>
      </x:c>
      <x:c r="O40" s="113"/>
    </x:row>
    <x:row r="41" ht="24" hidden="0" customHeight="1">
      <x:c r="A41" s="108" t="n">
        <x:v>33</x:v>
      </x:c>
      <x:c r="B41" s="109" t="n">
        <x:f>INT(A41/12)+1</x:f>
        <x:v>3</x:v>
      </x:c>
      <x:c r="C41" s="110" t="n">
        <x:f>INDEX('Assumptions'!$B$12:$B$21,MIN(B41,ROWS('Assumptions'!$B$12:$B$21)))</x:f>
        <x:v>0.036</x:v>
      </x:c>
      <x:c r="D41" s="111" t="n">
        <x:f>IF(A41&lt;'Assumptions'!$B$6*12,'Assumptions'!$B$4,0)</x:f>
        <x:v>100</x:v>
      </x:c>
      <x:c r="E41" s="111" t="n">
        <x:f>J40</x:f>
        <x:v>0</x:v>
      </x:c>
      <x:c r="F41" s="111" t="n">
        <x:f>I35*C35/2+I29*C29/2+I23*C23/2+I17*C17/2+I11*C11/2+0+0+0+0+0</x:f>
        <x:v>9.97563785192</x:v>
      </x:c>
      <x:c r="G41" s="111" t="n">
        <x:f>0</x:f>
        <x:v>0</x:v>
      </x:c>
      <x:c r="H41" s="111" t="n">
        <x:f>E41+D41+F41+G41</x:f>
        <x:v>109.97563785192</x:v>
      </x:c>
      <x:c r="I41" s="111" t="n">
        <x:f>H41*(H41&gt;='Assumptions'!$B$9)</x:f>
        <x:v>109.97563785192</x:v>
      </x:c>
      <x:c r="J41" s="111" t="n">
        <x:f>H41-I41</x:f>
        <x:v>0</x:v>
      </x:c>
      <x:c r="K41" s="111" t="n">
        <x:f>K40+I41-G41</x:f>
        <x:v>3560.429582047679</x:v>
      </x:c>
      <x:c r="L41" s="111" t="n">
        <x:f>J41+K41</x:f>
        <x:v>3560.429582047679</x:v>
      </x:c>
      <x:c r="M41" s="109" t="n">
        <x:f>M40+IF(I41&gt;=5,1,0)</x:f>
        <x:v>34</x:v>
      </x:c>
      <x:c r="N41" s="112" t="str">
        <x:f>IF(I41&gt;0,"Invest cash as new 5-year tranche",IF(J41&gt;0,"Carry cash until £5 threshold",""))</x:f>
        <x:v>Invest cash as new 5-year tranche</x:v>
      </x:c>
      <x:c r="O41" s="113"/>
    </x:row>
    <x:row r="42" ht="24" hidden="0" customHeight="1">
      <x:c r="A42" s="108" t="n">
        <x:v>34</x:v>
      </x:c>
      <x:c r="B42" s="109" t="n">
        <x:f>INT(A42/12)+1</x:f>
        <x:v>3</x:v>
      </x:c>
      <x:c r="C42" s="110" t="n">
        <x:f>INDEX('Assumptions'!$B$12:$B$21,MIN(B42,ROWS('Assumptions'!$B$12:$B$21)))</x:f>
        <x:v>0.036</x:v>
      </x:c>
      <x:c r="D42" s="111" t="n">
        <x:f>IF(A42&lt;'Assumptions'!$B$6*12,'Assumptions'!$B$4,0)</x:f>
        <x:v>100</x:v>
      </x:c>
      <x:c r="E42" s="111" t="n">
        <x:f>J41</x:f>
        <x:v>0</x:v>
      </x:c>
      <x:c r="F42" s="111" t="n">
        <x:f>I36*C36/2+I30*C30/2+I24*C24/2+I18*C18/2+I12*C12/2+0+0+0+0+0</x:f>
        <x:v>9.97563785192</x:v>
      </x:c>
      <x:c r="G42" s="111" t="n">
        <x:f>0</x:f>
        <x:v>0</x:v>
      </x:c>
      <x:c r="H42" s="111" t="n">
        <x:f>E42+D42+F42+G42</x:f>
        <x:v>109.97563785192</x:v>
      </x:c>
      <x:c r="I42" s="111" t="n">
        <x:f>H42*(H42&gt;='Assumptions'!$B$9)</x:f>
        <x:v>109.97563785192</x:v>
      </x:c>
      <x:c r="J42" s="111" t="n">
        <x:f>H42-I42</x:f>
        <x:v>0</x:v>
      </x:c>
      <x:c r="K42" s="111" t="n">
        <x:f>K41+I42-G42</x:f>
        <x:v>3670.405219899599</x:v>
      </x:c>
      <x:c r="L42" s="111" t="n">
        <x:f>J42+K42</x:f>
        <x:v>3670.405219899599</x:v>
      </x:c>
      <x:c r="M42" s="109" t="n">
        <x:f>M41+IF(I42&gt;=5,1,0)</x:f>
        <x:v>35</x:v>
      </x:c>
      <x:c r="N42" s="112" t="str">
        <x:f>IF(I42&gt;0,"Invest cash as new 5-year tranche",IF(J42&gt;0,"Carry cash until £5 threshold",""))</x:f>
        <x:v>Invest cash as new 5-year tranche</x:v>
      </x:c>
      <x:c r="O42" s="113"/>
    </x:row>
    <x:row r="43" ht="24" hidden="0" customHeight="1">
      <x:c r="A43" s="108" t="n">
        <x:v>35</x:v>
      </x:c>
      <x:c r="B43" s="109" t="n">
        <x:f>INT(A43/12)+1</x:f>
        <x:v>3</x:v>
      </x:c>
      <x:c r="C43" s="110" t="n">
        <x:f>INDEX('Assumptions'!$B$12:$B$21,MIN(B43,ROWS('Assumptions'!$B$12:$B$21)))</x:f>
        <x:v>0.036</x:v>
      </x:c>
      <x:c r="D43" s="111" t="n">
        <x:f>IF(A43&lt;'Assumptions'!$B$6*12,'Assumptions'!$B$4,0)</x:f>
        <x:v>100</x:v>
      </x:c>
      <x:c r="E43" s="111" t="n">
        <x:f>J42</x:f>
        <x:v>0</x:v>
      </x:c>
      <x:c r="F43" s="111" t="n">
        <x:f>I37*C37/2+I31*C31/2+I25*C25/2+I19*C19/2+I13*C13/2+0+0+0+0+0</x:f>
        <x:v>9.97563785192</x:v>
      </x:c>
      <x:c r="G43" s="111" t="n">
        <x:f>0</x:f>
        <x:v>0</x:v>
      </x:c>
      <x:c r="H43" s="111" t="n">
        <x:f>E43+D43+F43+G43</x:f>
        <x:v>109.97563785192</x:v>
      </x:c>
      <x:c r="I43" s="111" t="n">
        <x:f>H43*(H43&gt;='Assumptions'!$B$9)</x:f>
        <x:v>109.97563785192</x:v>
      </x:c>
      <x:c r="J43" s="111" t="n">
        <x:f>H43-I43</x:f>
        <x:v>0</x:v>
      </x:c>
      <x:c r="K43" s="111" t="n">
        <x:f>K42+I43-G43</x:f>
        <x:v>3780.380857751519</x:v>
      </x:c>
      <x:c r="L43" s="111" t="n">
        <x:f>J43+K43</x:f>
        <x:v>3780.380857751519</x:v>
      </x:c>
      <x:c r="M43" s="109" t="n">
        <x:f>M42+IF(I43&gt;=5,1,0)</x:f>
        <x:v>36</x:v>
      </x:c>
      <x:c r="N43" s="112" t="str">
        <x:f>IF(I43&gt;0,"Invest cash as new 5-year tranche",IF(J43&gt;0,"Carry cash until £5 threshold",""))</x:f>
        <x:v>Invest cash as new 5-year tranche</x:v>
      </x:c>
      <x:c r="O43" s="113"/>
    </x:row>
    <x:row r="44" ht="24" hidden="0" customHeight="1">
      <x:c r="A44" s="108" t="n">
        <x:v>36</x:v>
      </x:c>
      <x:c r="B44" s="109" t="n">
        <x:f>INT(A44/12)+1</x:f>
        <x:v>4</x:v>
      </x:c>
      <x:c r="C44" s="110" t="n">
        <x:f>INDEX('Assumptions'!$B$12:$B$21,MIN(B44,ROWS('Assumptions'!$B$12:$B$21)))</x:f>
        <x:v>0.034</x:v>
      </x:c>
      <x:c r="D44" s="111" t="n">
        <x:f>IF(A44&lt;'Assumptions'!$B$6*12,'Assumptions'!$B$4,0)</x:f>
        <x:v>100</x:v>
      </x:c>
      <x:c r="E44" s="111" t="n">
        <x:f>J43</x:f>
        <x:v>0</x:v>
      </x:c>
      <x:c r="F44" s="111" t="n">
        <x:f>I38*C38/2+I32*C32/2+I26*C26/2+I20*C20/2+I14*C14/2+I8*C8/2+0+0+0+0</x:f>
        <x:v>11.955199333254559</x:v>
      </x:c>
      <x:c r="G44" s="111" t="n">
        <x:f>0</x:f>
        <x:v>0</x:v>
      </x:c>
      <x:c r="H44" s="111" t="n">
        <x:f>E44+D44+F44+G44</x:f>
        <x:v>111.95519933325455</x:v>
      </x:c>
      <x:c r="I44" s="111" t="n">
        <x:f>H44*(H44&gt;='Assumptions'!$B$9)</x:f>
        <x:v>111.95519933325455</x:v>
      </x:c>
      <x:c r="J44" s="111" t="n">
        <x:f>H44-I44</x:f>
        <x:v>0</x:v>
      </x:c>
      <x:c r="K44" s="111" t="n">
        <x:f>K43+I44-G44</x:f>
        <x:v>3892.336057084774</x:v>
      </x:c>
      <x:c r="L44" s="111" t="n">
        <x:f>J44+K44</x:f>
        <x:v>3892.336057084774</x:v>
      </x:c>
      <x:c r="M44" s="109" t="n">
        <x:f>M43+IF(I44&gt;=5,1,0)</x:f>
        <x:v>37</x:v>
      </x:c>
      <x:c r="N44" s="112" t="str">
        <x:f>IF(I44&gt;0,"Invest cash as new 5-year tranche",IF(J44&gt;0,"Carry cash until £5 threshold",""))</x:f>
        <x:v>Invest cash as new 5-year tranche</x:v>
      </x:c>
      <x:c r="O44" s="113"/>
    </x:row>
    <x:row r="45" ht="24" hidden="0" customHeight="1">
      <x:c r="A45" s="108" t="n">
        <x:v>37</x:v>
      </x:c>
      <x:c r="B45" s="109" t="n">
        <x:f>INT(A45/12)+1</x:f>
        <x:v>4</x:v>
      </x:c>
      <x:c r="C45" s="110" t="n">
        <x:f>INDEX('Assumptions'!$B$12:$B$21,MIN(B45,ROWS('Assumptions'!$B$12:$B$21)))</x:f>
        <x:v>0.034</x:v>
      </x:c>
      <x:c r="D45" s="111" t="n">
        <x:f>IF(A45&lt;'Assumptions'!$B$6*12,'Assumptions'!$B$4,0)</x:f>
        <x:v>100</x:v>
      </x:c>
      <x:c r="E45" s="111" t="n">
        <x:f>J44</x:f>
        <x:v>0</x:v>
      </x:c>
      <x:c r="F45" s="111" t="n">
        <x:f>I39*C39/2+I33*C33/2+I27*C27/2+I21*C21/2+I15*C15/2+I9*C9/2+0+0+0+0</x:f>
        <x:v>11.955199333254559</x:v>
      </x:c>
      <x:c r="G45" s="111" t="n">
        <x:f>0</x:f>
        <x:v>0</x:v>
      </x:c>
      <x:c r="H45" s="111" t="n">
        <x:f>E45+D45+F45+G45</x:f>
        <x:v>111.95519933325455</x:v>
      </x:c>
      <x:c r="I45" s="111" t="n">
        <x:f>H45*(H45&gt;='Assumptions'!$B$9)</x:f>
        <x:v>111.95519933325455</x:v>
      </x:c>
      <x:c r="J45" s="111" t="n">
        <x:f>H45-I45</x:f>
        <x:v>0</x:v>
      </x:c>
      <x:c r="K45" s="111" t="n">
        <x:f>K44+I45-G45</x:f>
        <x:v>4004.2912564180288</x:v>
      </x:c>
      <x:c r="L45" s="111" t="n">
        <x:f>J45+K45</x:f>
        <x:v>4004.2912564180288</x:v>
      </x:c>
      <x:c r="M45" s="109" t="n">
        <x:f>M44+IF(I45&gt;=5,1,0)</x:f>
        <x:v>38</x:v>
      </x:c>
      <x:c r="N45" s="112" t="str">
        <x:f>IF(I45&gt;0,"Invest cash as new 5-year tranche",IF(J45&gt;0,"Carry cash until £5 threshold",""))</x:f>
        <x:v>Invest cash as new 5-year tranche</x:v>
      </x:c>
      <x:c r="O45" s="113"/>
    </x:row>
    <x:row r="46" ht="24" hidden="0" customHeight="1">
      <x:c r="A46" s="108" t="n">
        <x:v>38</x:v>
      </x:c>
      <x:c r="B46" s="109" t="n">
        <x:f>INT(A46/12)+1</x:f>
        <x:v>4</x:v>
      </x:c>
      <x:c r="C46" s="110" t="n">
        <x:f>INDEX('Assumptions'!$B$12:$B$21,MIN(B46,ROWS('Assumptions'!$B$12:$B$21)))</x:f>
        <x:v>0.034</x:v>
      </x:c>
      <x:c r="D46" s="111" t="n">
        <x:f>IF(A46&lt;'Assumptions'!$B$6*12,'Assumptions'!$B$4,0)</x:f>
        <x:v>100</x:v>
      </x:c>
      <x:c r="E46" s="111" t="n">
        <x:f>J45</x:f>
        <x:v>0</x:v>
      </x:c>
      <x:c r="F46" s="111" t="n">
        <x:f>I40*C40/2+I34*C34/2+I28*C28/2+I22*C22/2+I16*C16/2+I10*C10/2+0+0+0+0</x:f>
        <x:v>11.955199333254559</x:v>
      </x:c>
      <x:c r="G46" s="111" t="n">
        <x:f>0</x:f>
        <x:v>0</x:v>
      </x:c>
      <x:c r="H46" s="111" t="n">
        <x:f>E46+D46+F46+G46</x:f>
        <x:v>111.95519933325455</x:v>
      </x:c>
      <x:c r="I46" s="111" t="n">
        <x:f>H46*(H46&gt;='Assumptions'!$B$9)</x:f>
        <x:v>111.95519933325455</x:v>
      </x:c>
      <x:c r="J46" s="111" t="n">
        <x:f>H46-I46</x:f>
        <x:v>0</x:v>
      </x:c>
      <x:c r="K46" s="111" t="n">
        <x:f>K45+I46-G46</x:f>
        <x:v>4116.246455751283</x:v>
      </x:c>
      <x:c r="L46" s="111" t="n">
        <x:f>J46+K46</x:f>
        <x:v>4116.246455751283</x:v>
      </x:c>
      <x:c r="M46" s="109" t="n">
        <x:f>M45+IF(I46&gt;=5,1,0)</x:f>
        <x:v>39</x:v>
      </x:c>
      <x:c r="N46" s="112" t="str">
        <x:f>IF(I46&gt;0,"Invest cash as new 5-year tranche",IF(J46&gt;0,"Carry cash until £5 threshold",""))</x:f>
        <x:v>Invest cash as new 5-year tranche</x:v>
      </x:c>
      <x:c r="O46" s="113"/>
    </x:row>
    <x:row r="47" ht="24" hidden="0" customHeight="1">
      <x:c r="A47" s="108" t="n">
        <x:v>39</x:v>
      </x:c>
      <x:c r="B47" s="109" t="n">
        <x:f>INT(A47/12)+1</x:f>
        <x:v>4</x:v>
      </x:c>
      <x:c r="C47" s="110" t="n">
        <x:f>INDEX('Assumptions'!$B$12:$B$21,MIN(B47,ROWS('Assumptions'!$B$12:$B$21)))</x:f>
        <x:v>0.034</x:v>
      </x:c>
      <x:c r="D47" s="111" t="n">
        <x:f>IF(A47&lt;'Assumptions'!$B$6*12,'Assumptions'!$B$4,0)</x:f>
        <x:v>100</x:v>
      </x:c>
      <x:c r="E47" s="111" t="n">
        <x:f>J46</x:f>
        <x:v>0</x:v>
      </x:c>
      <x:c r="F47" s="111" t="n">
        <x:f>I41*C41/2+I35*C35/2+I29*C29/2+I23*C23/2+I17*C17/2+I11*C11/2+0+0+0+0</x:f>
        <x:v>11.955199333254559</x:v>
      </x:c>
      <x:c r="G47" s="111" t="n">
        <x:f>0</x:f>
        <x:v>0</x:v>
      </x:c>
      <x:c r="H47" s="111" t="n">
        <x:f>E47+D47+F47+G47</x:f>
        <x:v>111.95519933325455</x:v>
      </x:c>
      <x:c r="I47" s="111" t="n">
        <x:f>H47*(H47&gt;='Assumptions'!$B$9)</x:f>
        <x:v>111.95519933325455</x:v>
      </x:c>
      <x:c r="J47" s="111" t="n">
        <x:f>H47-I47</x:f>
        <x:v>0</x:v>
      </x:c>
      <x:c r="K47" s="111" t="n">
        <x:f>K46+I47-G47</x:f>
        <x:v>4228.201655084537</x:v>
      </x:c>
      <x:c r="L47" s="111" t="n">
        <x:f>J47+K47</x:f>
        <x:v>4228.201655084537</x:v>
      </x:c>
      <x:c r="M47" s="109" t="n">
        <x:f>M46+IF(I47&gt;=5,1,0)</x:f>
        <x:v>40</x:v>
      </x:c>
      <x:c r="N47" s="112" t="str">
        <x:f>IF(I47&gt;0,"Invest cash as new 5-year tranche",IF(J47&gt;0,"Carry cash until £5 threshold",""))</x:f>
        <x:v>Invest cash as new 5-year tranche</x:v>
      </x:c>
      <x:c r="O47" s="113"/>
    </x:row>
    <x:row r="48" ht="24" hidden="0" customHeight="1">
      <x:c r="A48" s="108" t="n">
        <x:v>40</x:v>
      </x:c>
      <x:c r="B48" s="109" t="n">
        <x:f>INT(A48/12)+1</x:f>
        <x:v>4</x:v>
      </x:c>
      <x:c r="C48" s="110" t="n">
        <x:f>INDEX('Assumptions'!$B$12:$B$21,MIN(B48,ROWS('Assumptions'!$B$12:$B$21)))</x:f>
        <x:v>0.034</x:v>
      </x:c>
      <x:c r="D48" s="111" t="n">
        <x:f>IF(A48&lt;'Assumptions'!$B$6*12,'Assumptions'!$B$4,0)</x:f>
        <x:v>100</x:v>
      </x:c>
      <x:c r="E48" s="111" t="n">
        <x:f>J47</x:f>
        <x:v>0</x:v>
      </x:c>
      <x:c r="F48" s="111" t="n">
        <x:f>I42*C42/2+I36*C36/2+I30*C30/2+I24*C24/2+I18*C18/2+I12*C12/2+0+0+0+0</x:f>
        <x:v>11.955199333254559</x:v>
      </x:c>
      <x:c r="G48" s="111" t="n">
        <x:f>0</x:f>
        <x:v>0</x:v>
      </x:c>
      <x:c r="H48" s="111" t="n">
        <x:f>E48+D48+F48+G48</x:f>
        <x:v>111.95519933325455</x:v>
      </x:c>
      <x:c r="I48" s="111" t="n">
        <x:f>H48*(H48&gt;='Assumptions'!$B$9)</x:f>
        <x:v>111.95519933325455</x:v>
      </x:c>
      <x:c r="J48" s="111" t="n">
        <x:f>H48-I48</x:f>
        <x:v>0</x:v>
      </x:c>
      <x:c r="K48" s="111" t="n">
        <x:f>K47+I48-G48</x:f>
        <x:v>4340.156854417792</x:v>
      </x:c>
      <x:c r="L48" s="111" t="n">
        <x:f>J48+K48</x:f>
        <x:v>4340.156854417792</x:v>
      </x:c>
      <x:c r="M48" s="109" t="n">
        <x:f>M47+IF(I48&gt;=5,1,0)</x:f>
        <x:v>41</x:v>
      </x:c>
      <x:c r="N48" s="112" t="str">
        <x:f>IF(I48&gt;0,"Invest cash as new 5-year tranche",IF(J48&gt;0,"Carry cash until £5 threshold",""))</x:f>
        <x:v>Invest cash as new 5-year tranche</x:v>
      </x:c>
      <x:c r="O48" s="113"/>
    </x:row>
    <x:row r="49" ht="24" hidden="0" customHeight="1">
      <x:c r="A49" s="108" t="n">
        <x:v>41</x:v>
      </x:c>
      <x:c r="B49" s="109" t="n">
        <x:f>INT(A49/12)+1</x:f>
        <x:v>4</x:v>
      </x:c>
      <x:c r="C49" s="110" t="n">
        <x:f>INDEX('Assumptions'!$B$12:$B$21,MIN(B49,ROWS('Assumptions'!$B$12:$B$21)))</x:f>
        <x:v>0.034</x:v>
      </x:c>
      <x:c r="D49" s="111" t="n">
        <x:f>IF(A49&lt;'Assumptions'!$B$6*12,'Assumptions'!$B$4,0)</x:f>
        <x:v>100</x:v>
      </x:c>
      <x:c r="E49" s="111" t="n">
        <x:f>J48</x:f>
        <x:v>0</x:v>
      </x:c>
      <x:c r="F49" s="111" t="n">
        <x:f>I43*C43/2+I37*C37/2+I31*C31/2+I25*C25/2+I19*C19/2+I13*C13/2+0+0+0+0</x:f>
        <x:v>11.955199333254559</x:v>
      </x:c>
      <x:c r="G49" s="111" t="n">
        <x:f>0</x:f>
        <x:v>0</x:v>
      </x:c>
      <x:c r="H49" s="111" t="n">
        <x:f>E49+D49+F49+G49</x:f>
        <x:v>111.95519933325455</x:v>
      </x:c>
      <x:c r="I49" s="111" t="n">
        <x:f>H49*(H49&gt;='Assumptions'!$B$9)</x:f>
        <x:v>111.95519933325455</x:v>
      </x:c>
      <x:c r="J49" s="111" t="n">
        <x:f>H49-I49</x:f>
        <x:v>0</x:v>
      </x:c>
      <x:c r="K49" s="111" t="n">
        <x:f>K48+I49-G49</x:f>
        <x:v>4452.112053751046</x:v>
      </x:c>
      <x:c r="L49" s="111" t="n">
        <x:f>J49+K49</x:f>
        <x:v>4452.112053751046</x:v>
      </x:c>
      <x:c r="M49" s="109" t="n">
        <x:f>M48+IF(I49&gt;=5,1,0)</x:f>
        <x:v>42</x:v>
      </x:c>
      <x:c r="N49" s="112" t="str">
        <x:f>IF(I49&gt;0,"Invest cash as new 5-year tranche",IF(J49&gt;0,"Carry cash until £5 threshold",""))</x:f>
        <x:v>Invest cash as new 5-year tranche</x:v>
      </x:c>
      <x:c r="O49" s="113"/>
    </x:row>
    <x:row r="50" ht="24" hidden="0" customHeight="1">
      <x:c r="A50" s="108" t="n">
        <x:v>42</x:v>
      </x:c>
      <x:c r="B50" s="109" t="n">
        <x:f>INT(A50/12)+1</x:f>
        <x:v>4</x:v>
      </x:c>
      <x:c r="C50" s="110" t="n">
        <x:f>INDEX('Assumptions'!$B$12:$B$21,MIN(B50,ROWS('Assumptions'!$B$12:$B$21)))</x:f>
        <x:v>0.034</x:v>
      </x:c>
      <x:c r="D50" s="111" t="n">
        <x:f>IF(A50&lt;'Assumptions'!$B$6*12,'Assumptions'!$B$4,0)</x:f>
        <x:v>100</x:v>
      </x:c>
      <x:c r="E50" s="111" t="n">
        <x:f>J49</x:f>
        <x:v>0</x:v>
      </x:c>
      <x:c r="F50" s="111" t="n">
        <x:f>I44*C44/2+I38*C38/2+I32*C32/2+I26*C26/2+I20*C20/2+I14*C14/2+I8*C8/2+0+0+0</x:f>
        <x:v>13.858437721919888</x:v>
      </x:c>
      <x:c r="G50" s="111" t="n">
        <x:f>0</x:f>
        <x:v>0</x:v>
      </x:c>
      <x:c r="H50" s="111" t="n">
        <x:f>E50+D50+F50+G50</x:f>
        <x:v>113.85843772191988</x:v>
      </x:c>
      <x:c r="I50" s="111" t="n">
        <x:f>H50*(H50&gt;='Assumptions'!$B$9)</x:f>
        <x:v>113.85843772191988</x:v>
      </x:c>
      <x:c r="J50" s="111" t="n">
        <x:f>H50-I50</x:f>
        <x:v>0</x:v>
      </x:c>
      <x:c r="K50" s="111" t="n">
        <x:f>K49+I50-G50</x:f>
        <x:v>4565.9704914729655</x:v>
      </x:c>
      <x:c r="L50" s="111" t="n">
        <x:f>J50+K50</x:f>
        <x:v>4565.9704914729655</x:v>
      </x:c>
      <x:c r="M50" s="109" t="n">
        <x:f>M49+IF(I50&gt;=5,1,0)</x:f>
        <x:v>43</x:v>
      </x:c>
      <x:c r="N50" s="112" t="str">
        <x:f>IF(I50&gt;0,"Invest cash as new 5-year tranche",IF(J50&gt;0,"Carry cash until £5 threshold",""))</x:f>
        <x:v>Invest cash as new 5-year tranche</x:v>
      </x:c>
      <x:c r="O50" s="113"/>
    </x:row>
    <x:row r="51" ht="24" hidden="0" customHeight="1">
      <x:c r="A51" s="108" t="n">
        <x:v>43</x:v>
      </x:c>
      <x:c r="B51" s="109" t="n">
        <x:f>INT(A51/12)+1</x:f>
        <x:v>4</x:v>
      </x:c>
      <x:c r="C51" s="110" t="n">
        <x:f>INDEX('Assumptions'!$B$12:$B$21,MIN(B51,ROWS('Assumptions'!$B$12:$B$21)))</x:f>
        <x:v>0.034</x:v>
      </x:c>
      <x:c r="D51" s="111" t="n">
        <x:f>IF(A51&lt;'Assumptions'!$B$6*12,'Assumptions'!$B$4,0)</x:f>
        <x:v>100</x:v>
      </x:c>
      <x:c r="E51" s="111" t="n">
        <x:f>J50</x:f>
        <x:v>0</x:v>
      </x:c>
      <x:c r="F51" s="111" t="n">
        <x:f>I45*C45/2+I39*C39/2+I33*C33/2+I27*C27/2+I21*C21/2+I15*C15/2+I9*C9/2+0+0+0</x:f>
        <x:v>13.858437721919888</x:v>
      </x:c>
      <x:c r="G51" s="111" t="n">
        <x:f>0</x:f>
        <x:v>0</x:v>
      </x:c>
      <x:c r="H51" s="111" t="n">
        <x:f>E51+D51+F51+G51</x:f>
        <x:v>113.85843772191988</x:v>
      </x:c>
      <x:c r="I51" s="111" t="n">
        <x:f>H51*(H51&gt;='Assumptions'!$B$9)</x:f>
        <x:v>113.85843772191988</x:v>
      </x:c>
      <x:c r="J51" s="111" t="n">
        <x:f>H51-I51</x:f>
        <x:v>0</x:v>
      </x:c>
      <x:c r="K51" s="111" t="n">
        <x:f>K50+I51-G51</x:f>
        <x:v>4679.828929194885</x:v>
      </x:c>
      <x:c r="L51" s="111" t="n">
        <x:f>J51+K51</x:f>
        <x:v>4679.828929194885</x:v>
      </x:c>
      <x:c r="M51" s="109" t="n">
        <x:f>M50+IF(I51&gt;=5,1,0)</x:f>
        <x:v>44</x:v>
      </x:c>
      <x:c r="N51" s="112" t="str">
        <x:f>IF(I51&gt;0,"Invest cash as new 5-year tranche",IF(J51&gt;0,"Carry cash until £5 threshold",""))</x:f>
        <x:v>Invest cash as new 5-year tranche</x:v>
      </x:c>
      <x:c r="O51" s="113"/>
    </x:row>
    <x:row r="52" ht="24" hidden="0" customHeight="1">
      <x:c r="A52" s="108" t="n">
        <x:v>44</x:v>
      </x:c>
      <x:c r="B52" s="109" t="n">
        <x:f>INT(A52/12)+1</x:f>
        <x:v>4</x:v>
      </x:c>
      <x:c r="C52" s="110" t="n">
        <x:f>INDEX('Assumptions'!$B$12:$B$21,MIN(B52,ROWS('Assumptions'!$B$12:$B$21)))</x:f>
        <x:v>0.034</x:v>
      </x:c>
      <x:c r="D52" s="111" t="n">
        <x:f>IF(A52&lt;'Assumptions'!$B$6*12,'Assumptions'!$B$4,0)</x:f>
        <x:v>100</x:v>
      </x:c>
      <x:c r="E52" s="111" t="n">
        <x:f>J51</x:f>
        <x:v>0</x:v>
      </x:c>
      <x:c r="F52" s="111" t="n">
        <x:f>I46*C46/2+I40*C40/2+I34*C34/2+I28*C28/2+I22*C22/2+I16*C16/2+I10*C10/2+0+0+0</x:f>
        <x:v>13.858437721919888</x:v>
      </x:c>
      <x:c r="G52" s="111" t="n">
        <x:f>0</x:f>
        <x:v>0</x:v>
      </x:c>
      <x:c r="H52" s="111" t="n">
        <x:f>E52+D52+F52+G52</x:f>
        <x:v>113.85843772191988</x:v>
      </x:c>
      <x:c r="I52" s="111" t="n">
        <x:f>H52*(H52&gt;='Assumptions'!$B$9)</x:f>
        <x:v>113.85843772191988</x:v>
      </x:c>
      <x:c r="J52" s="111" t="n">
        <x:f>H52-I52</x:f>
        <x:v>0</x:v>
      </x:c>
      <x:c r="K52" s="111" t="n">
        <x:f>K51+I52-G52</x:f>
        <x:v>4793.687366916804</x:v>
      </x:c>
      <x:c r="L52" s="111" t="n">
        <x:f>J52+K52</x:f>
        <x:v>4793.687366916804</x:v>
      </x:c>
      <x:c r="M52" s="109" t="n">
        <x:f>M51+IF(I52&gt;=5,1,0)</x:f>
        <x:v>45</x:v>
      </x:c>
      <x:c r="N52" s="112" t="str">
        <x:f>IF(I52&gt;0,"Invest cash as new 5-year tranche",IF(J52&gt;0,"Carry cash until £5 threshold",""))</x:f>
        <x:v>Invest cash as new 5-year tranche</x:v>
      </x:c>
      <x:c r="O52" s="113"/>
    </x:row>
    <x:row r="53" ht="24" hidden="0" customHeight="1">
      <x:c r="A53" s="108" t="n">
        <x:v>45</x:v>
      </x:c>
      <x:c r="B53" s="109" t="n">
        <x:f>INT(A53/12)+1</x:f>
        <x:v>4</x:v>
      </x:c>
      <x:c r="C53" s="110" t="n">
        <x:f>INDEX('Assumptions'!$B$12:$B$21,MIN(B53,ROWS('Assumptions'!$B$12:$B$21)))</x:f>
        <x:v>0.034</x:v>
      </x:c>
      <x:c r="D53" s="111" t="n">
        <x:f>IF(A53&lt;'Assumptions'!$B$6*12,'Assumptions'!$B$4,0)</x:f>
        <x:v>100</x:v>
      </x:c>
      <x:c r="E53" s="111" t="n">
        <x:f>J52</x:f>
        <x:v>0</x:v>
      </x:c>
      <x:c r="F53" s="111" t="n">
        <x:f>I47*C47/2+I41*C41/2+I35*C35/2+I29*C29/2+I23*C23/2+I17*C17/2+I11*C11/2+0+0+0</x:f>
        <x:v>13.858437721919888</x:v>
      </x:c>
      <x:c r="G53" s="111" t="n">
        <x:f>0</x:f>
        <x:v>0</x:v>
      </x:c>
      <x:c r="H53" s="111" t="n">
        <x:f>E53+D53+F53+G53</x:f>
        <x:v>113.85843772191988</x:v>
      </x:c>
      <x:c r="I53" s="111" t="n">
        <x:f>H53*(H53&gt;='Assumptions'!$B$9)</x:f>
        <x:v>113.85843772191988</x:v>
      </x:c>
      <x:c r="J53" s="111" t="n">
        <x:f>H53-I53</x:f>
        <x:v>0</x:v>
      </x:c>
      <x:c r="K53" s="111" t="n">
        <x:f>K52+I53-G53</x:f>
        <x:v>4907.545804638724</x:v>
      </x:c>
      <x:c r="L53" s="111" t="n">
        <x:f>J53+K53</x:f>
        <x:v>4907.545804638724</x:v>
      </x:c>
      <x:c r="M53" s="109" t="n">
        <x:f>M52+IF(I53&gt;=5,1,0)</x:f>
        <x:v>46</x:v>
      </x:c>
      <x:c r="N53" s="112" t="str">
        <x:f>IF(I53&gt;0,"Invest cash as new 5-year tranche",IF(J53&gt;0,"Carry cash until £5 threshold",""))</x:f>
        <x:v>Invest cash as new 5-year tranche</x:v>
      </x:c>
      <x:c r="O53" s="113"/>
    </x:row>
    <x:row r="54" ht="24" hidden="0" customHeight="1">
      <x:c r="A54" s="108" t="n">
        <x:v>46</x:v>
      </x:c>
      <x:c r="B54" s="109" t="n">
        <x:f>INT(A54/12)+1</x:f>
        <x:v>4</x:v>
      </x:c>
      <x:c r="C54" s="110" t="n">
        <x:f>INDEX('Assumptions'!$B$12:$B$21,MIN(B54,ROWS('Assumptions'!$B$12:$B$21)))</x:f>
        <x:v>0.034</x:v>
      </x:c>
      <x:c r="D54" s="111" t="n">
        <x:f>IF(A54&lt;'Assumptions'!$B$6*12,'Assumptions'!$B$4,0)</x:f>
        <x:v>100</x:v>
      </x:c>
      <x:c r="E54" s="111" t="n">
        <x:f>J53</x:f>
        <x:v>0</x:v>
      </x:c>
      <x:c r="F54" s="111" t="n">
        <x:f>I48*C48/2+I42*C42/2+I36*C36/2+I30*C30/2+I24*C24/2+I18*C18/2+I12*C12/2+0+0+0</x:f>
        <x:v>13.858437721919888</x:v>
      </x:c>
      <x:c r="G54" s="111" t="n">
        <x:f>0</x:f>
        <x:v>0</x:v>
      </x:c>
      <x:c r="H54" s="111" t="n">
        <x:f>E54+D54+F54+G54</x:f>
        <x:v>113.85843772191988</x:v>
      </x:c>
      <x:c r="I54" s="111" t="n">
        <x:f>H54*(H54&gt;='Assumptions'!$B$9)</x:f>
        <x:v>113.85843772191988</x:v>
      </x:c>
      <x:c r="J54" s="111" t="n">
        <x:f>H54-I54</x:f>
        <x:v>0</x:v>
      </x:c>
      <x:c r="K54" s="111" t="n">
        <x:f>K53+I54-G54</x:f>
        <x:v>5021.404242360643</x:v>
      </x:c>
      <x:c r="L54" s="111" t="n">
        <x:f>J54+K54</x:f>
        <x:v>5021.404242360643</x:v>
      </x:c>
      <x:c r="M54" s="109" t="n">
        <x:f>M53+IF(I54&gt;=5,1,0)</x:f>
        <x:v>47</x:v>
      </x:c>
      <x:c r="N54" s="112" t="str">
        <x:f>IF(I54&gt;0,"Invest cash as new 5-year tranche",IF(J54&gt;0,"Carry cash until £5 threshold",""))</x:f>
        <x:v>Invest cash as new 5-year tranche</x:v>
      </x:c>
      <x:c r="O54" s="113"/>
    </x:row>
    <x:row r="55" ht="24" hidden="0" customHeight="1">
      <x:c r="A55" s="108" t="n">
        <x:v>47</x:v>
      </x:c>
      <x:c r="B55" s="109" t="n">
        <x:f>INT(A55/12)+1</x:f>
        <x:v>4</x:v>
      </x:c>
      <x:c r="C55" s="110" t="n">
        <x:f>INDEX('Assumptions'!$B$12:$B$21,MIN(B55,ROWS('Assumptions'!$B$12:$B$21)))</x:f>
        <x:v>0.034</x:v>
      </x:c>
      <x:c r="D55" s="111" t="n">
        <x:f>IF(A55&lt;'Assumptions'!$B$6*12,'Assumptions'!$B$4,0)</x:f>
        <x:v>100</x:v>
      </x:c>
      <x:c r="E55" s="111" t="n">
        <x:f>J54</x:f>
        <x:v>0</x:v>
      </x:c>
      <x:c r="F55" s="111" t="n">
        <x:f>I49*C49/2+I43*C43/2+I37*C37/2+I31*C31/2+I25*C25/2+I19*C19/2+I13*C13/2+0+0+0</x:f>
        <x:v>13.858437721919888</x:v>
      </x:c>
      <x:c r="G55" s="111" t="n">
        <x:f>0</x:f>
        <x:v>0</x:v>
      </x:c>
      <x:c r="H55" s="111" t="n">
        <x:f>E55+D55+F55+G55</x:f>
        <x:v>113.85843772191988</x:v>
      </x:c>
      <x:c r="I55" s="111" t="n">
        <x:f>H55*(H55&gt;='Assumptions'!$B$9)</x:f>
        <x:v>113.85843772191988</x:v>
      </x:c>
      <x:c r="J55" s="111" t="n">
        <x:f>H55-I55</x:f>
        <x:v>0</x:v>
      </x:c>
      <x:c r="K55" s="111" t="n">
        <x:f>K54+I55-G55</x:f>
        <x:v>5135.262680082563</x:v>
      </x:c>
      <x:c r="L55" s="111" t="n">
        <x:f>J55+K55</x:f>
        <x:v>5135.262680082563</x:v>
      </x:c>
      <x:c r="M55" s="109" t="n">
        <x:f>M54+IF(I55&gt;=5,1,0)</x:f>
        <x:v>48</x:v>
      </x:c>
      <x:c r="N55" s="112" t="str">
        <x:f>IF(I55&gt;0,"Invest cash as new 5-year tranche",IF(J55&gt;0,"Carry cash until £5 threshold",""))</x:f>
        <x:v>Invest cash as new 5-year tranche</x:v>
      </x:c>
      <x:c r="O55" s="113"/>
    </x:row>
    <x:row r="56" ht="24" hidden="0" customHeight="1">
      <x:c r="A56" s="108" t="n">
        <x:v>48</x:v>
      </x:c>
      <x:c r="B56" s="109" t="n">
        <x:f>INT(A56/12)+1</x:f>
        <x:v>5</x:v>
      </x:c>
      <x:c r="C56" s="110" t="n">
        <x:f>INDEX('Assumptions'!$B$12:$B$21,MIN(B56,ROWS('Assumptions'!$B$12:$B$21)))</x:f>
        <x:v>0.032</x:v>
      </x:c>
      <x:c r="D56" s="111" t="n">
        <x:f>IF(A56&lt;'Assumptions'!$B$6*12,'Assumptions'!$B$4,0)</x:f>
        <x:v>100</x:v>
      </x:c>
      <x:c r="E56" s="111" t="n">
        <x:f>J55</x:f>
        <x:v>0</x:v>
      </x:c>
      <x:c r="F56" s="111" t="n">
        <x:f>I50*C50/2+I44*C44/2+I38*C38/2+I32*C32/2+I26*C26/2+I20*C20/2+I14*C14/2+I8*C8/2+0+0</x:f>
        <x:v>15.794031163192525</x:v>
      </x:c>
      <x:c r="G56" s="111" t="n">
        <x:f>0</x:f>
        <x:v>0</x:v>
      </x:c>
      <x:c r="H56" s="111" t="n">
        <x:f>E56+D56+F56+G56</x:f>
        <x:v>115.79403116319253</x:v>
      </x:c>
      <x:c r="I56" s="111" t="n">
        <x:f>H56*(H56&gt;='Assumptions'!$B$9)</x:f>
        <x:v>115.79403116319253</x:v>
      </x:c>
      <x:c r="J56" s="111" t="n">
        <x:f>H56-I56</x:f>
        <x:v>0</x:v>
      </x:c>
      <x:c r="K56" s="111" t="n">
        <x:f>K55+I56-G56</x:f>
        <x:v>5251.056711245756</x:v>
      </x:c>
      <x:c r="L56" s="111" t="n">
        <x:f>J56+K56</x:f>
        <x:v>5251.056711245756</x:v>
      </x:c>
      <x:c r="M56" s="109" t="n">
        <x:f>M55+IF(I56&gt;=5,1,0)</x:f>
        <x:v>49</x:v>
      </x:c>
      <x:c r="N56" s="112" t="str">
        <x:f>IF(I56&gt;0,"Invest cash as new 5-year tranche",IF(J56&gt;0,"Carry cash until £5 threshold",""))</x:f>
        <x:v>Invest cash as new 5-year tranche</x:v>
      </x:c>
      <x:c r="O56" s="113"/>
    </x:row>
    <x:row r="57" ht="24" hidden="0" customHeight="1">
      <x:c r="A57" s="108" t="n">
        <x:v>49</x:v>
      </x:c>
      <x:c r="B57" s="109" t="n">
        <x:f>INT(A57/12)+1</x:f>
        <x:v>5</x:v>
      </x:c>
      <x:c r="C57" s="110" t="n">
        <x:f>INDEX('Assumptions'!$B$12:$B$21,MIN(B57,ROWS('Assumptions'!$B$12:$B$21)))</x:f>
        <x:v>0.032</x:v>
      </x:c>
      <x:c r="D57" s="111" t="n">
        <x:f>IF(A57&lt;'Assumptions'!$B$6*12,'Assumptions'!$B$4,0)</x:f>
        <x:v>100</x:v>
      </x:c>
      <x:c r="E57" s="111" t="n">
        <x:f>J56</x:f>
        <x:v>0</x:v>
      </x:c>
      <x:c r="F57" s="111" t="n">
        <x:f>I51*C51/2+I45*C45/2+I39*C39/2+I33*C33/2+I27*C27/2+I21*C21/2+I15*C15/2+I9*C9/2+0+0</x:f>
        <x:v>15.794031163192525</x:v>
      </x:c>
      <x:c r="G57" s="111" t="n">
        <x:f>0</x:f>
        <x:v>0</x:v>
      </x:c>
      <x:c r="H57" s="111" t="n">
        <x:f>E57+D57+F57+G57</x:f>
        <x:v>115.79403116319253</x:v>
      </x:c>
      <x:c r="I57" s="111" t="n">
        <x:f>H57*(H57&gt;='Assumptions'!$B$9)</x:f>
        <x:v>115.79403116319253</x:v>
      </x:c>
      <x:c r="J57" s="111" t="n">
        <x:f>H57-I57</x:f>
        <x:v>0</x:v>
      </x:c>
      <x:c r="K57" s="111" t="n">
        <x:f>K56+I57-G57</x:f>
        <x:v>5366.8507424089485</x:v>
      </x:c>
      <x:c r="L57" s="111" t="n">
        <x:f>J57+K57</x:f>
        <x:v>5366.8507424089485</x:v>
      </x:c>
      <x:c r="M57" s="109" t="n">
        <x:f>M56+IF(I57&gt;=5,1,0)</x:f>
        <x:v>50</x:v>
      </x:c>
      <x:c r="N57" s="112" t="str">
        <x:f>IF(I57&gt;0,"Invest cash as new 5-year tranche",IF(J57&gt;0,"Carry cash until £5 threshold",""))</x:f>
        <x:v>Invest cash as new 5-year tranche</x:v>
      </x:c>
      <x:c r="O57" s="113"/>
    </x:row>
    <x:row r="58" ht="24" hidden="0" customHeight="1">
      <x:c r="A58" s="108" t="n">
        <x:v>50</x:v>
      </x:c>
      <x:c r="B58" s="109" t="n">
        <x:f>INT(A58/12)+1</x:f>
        <x:v>5</x:v>
      </x:c>
      <x:c r="C58" s="110" t="n">
        <x:f>INDEX('Assumptions'!$B$12:$B$21,MIN(B58,ROWS('Assumptions'!$B$12:$B$21)))</x:f>
        <x:v>0.032</x:v>
      </x:c>
      <x:c r="D58" s="111" t="n">
        <x:f>IF(A58&lt;'Assumptions'!$B$6*12,'Assumptions'!$B$4,0)</x:f>
        <x:v>100</x:v>
      </x:c>
      <x:c r="E58" s="111" t="n">
        <x:f>J57</x:f>
        <x:v>0</x:v>
      </x:c>
      <x:c r="F58" s="111" t="n">
        <x:f>I52*C52/2+I46*C46/2+I40*C40/2+I34*C34/2+I28*C28/2+I22*C22/2+I16*C16/2+I10*C10/2+0+0</x:f>
        <x:v>15.794031163192525</x:v>
      </x:c>
      <x:c r="G58" s="111" t="n">
        <x:f>0</x:f>
        <x:v>0</x:v>
      </x:c>
      <x:c r="H58" s="111" t="n">
        <x:f>E58+D58+F58+G58</x:f>
        <x:v>115.79403116319253</x:v>
      </x:c>
      <x:c r="I58" s="111" t="n">
        <x:f>H58*(H58&gt;='Assumptions'!$B$9)</x:f>
        <x:v>115.79403116319253</x:v>
      </x:c>
      <x:c r="J58" s="111" t="n">
        <x:f>H58-I58</x:f>
        <x:v>0</x:v>
      </x:c>
      <x:c r="K58" s="111" t="n">
        <x:f>K57+I58-G58</x:f>
        <x:v>5482.644773572141</x:v>
      </x:c>
      <x:c r="L58" s="111" t="n">
        <x:f>J58+K58</x:f>
        <x:v>5482.644773572141</x:v>
      </x:c>
      <x:c r="M58" s="109" t="n">
        <x:f>M57+IF(I58&gt;=5,1,0)</x:f>
        <x:v>51</x:v>
      </x:c>
      <x:c r="N58" s="112" t="str">
        <x:f>IF(I58&gt;0,"Invest cash as new 5-year tranche",IF(J58&gt;0,"Carry cash until £5 threshold",""))</x:f>
        <x:v>Invest cash as new 5-year tranche</x:v>
      </x:c>
      <x:c r="O58" s="113"/>
    </x:row>
    <x:row r="59" ht="24" hidden="0" customHeight="1">
      <x:c r="A59" s="108" t="n">
        <x:v>51</x:v>
      </x:c>
      <x:c r="B59" s="109" t="n">
        <x:f>INT(A59/12)+1</x:f>
        <x:v>5</x:v>
      </x:c>
      <x:c r="C59" s="110" t="n">
        <x:f>INDEX('Assumptions'!$B$12:$B$21,MIN(B59,ROWS('Assumptions'!$B$12:$B$21)))</x:f>
        <x:v>0.032</x:v>
      </x:c>
      <x:c r="D59" s="111" t="n">
        <x:f>IF(A59&lt;'Assumptions'!$B$6*12,'Assumptions'!$B$4,0)</x:f>
        <x:v>100</x:v>
      </x:c>
      <x:c r="E59" s="111" t="n">
        <x:f>J58</x:f>
        <x:v>0</x:v>
      </x:c>
      <x:c r="F59" s="111" t="n">
        <x:f>I53*C53/2+I47*C47/2+I41*C41/2+I35*C35/2+I29*C29/2+I23*C23/2+I17*C17/2+I11*C11/2+0+0</x:f>
        <x:v>15.794031163192525</x:v>
      </x:c>
      <x:c r="G59" s="111" t="n">
        <x:f>0</x:f>
        <x:v>0</x:v>
      </x:c>
      <x:c r="H59" s="111" t="n">
        <x:f>E59+D59+F59+G59</x:f>
        <x:v>115.79403116319253</x:v>
      </x:c>
      <x:c r="I59" s="111" t="n">
        <x:f>H59*(H59&gt;='Assumptions'!$B$9)</x:f>
        <x:v>115.79403116319253</x:v>
      </x:c>
      <x:c r="J59" s="111" t="n">
        <x:f>H59-I59</x:f>
        <x:v>0</x:v>
      </x:c>
      <x:c r="K59" s="111" t="n">
        <x:f>K58+I59-G59</x:f>
        <x:v>5598.438804735334</x:v>
      </x:c>
      <x:c r="L59" s="111" t="n">
        <x:f>J59+K59</x:f>
        <x:v>5598.438804735334</x:v>
      </x:c>
      <x:c r="M59" s="109" t="n">
        <x:f>M58+IF(I59&gt;=5,1,0)</x:f>
        <x:v>52</x:v>
      </x:c>
      <x:c r="N59" s="112" t="str">
        <x:f>IF(I59&gt;0,"Invest cash as new 5-year tranche",IF(J59&gt;0,"Carry cash until £5 threshold",""))</x:f>
        <x:v>Invest cash as new 5-year tranche</x:v>
      </x:c>
      <x:c r="O59" s="113"/>
    </x:row>
    <x:row r="60" ht="24" hidden="0" customHeight="1">
      <x:c r="A60" s="108" t="n">
        <x:v>52</x:v>
      </x:c>
      <x:c r="B60" s="109" t="n">
        <x:f>INT(A60/12)+1</x:f>
        <x:v>5</x:v>
      </x:c>
      <x:c r="C60" s="110" t="n">
        <x:f>INDEX('Assumptions'!$B$12:$B$21,MIN(B60,ROWS('Assumptions'!$B$12:$B$21)))</x:f>
        <x:v>0.032</x:v>
      </x:c>
      <x:c r="D60" s="111" t="n">
        <x:f>IF(A60&lt;'Assumptions'!$B$6*12,'Assumptions'!$B$4,0)</x:f>
        <x:v>100</x:v>
      </x:c>
      <x:c r="E60" s="111" t="n">
        <x:f>J59</x:f>
        <x:v>0</x:v>
      </x:c>
      <x:c r="F60" s="111" t="n">
        <x:f>I54*C54/2+I48*C48/2+I42*C42/2+I36*C36/2+I30*C30/2+I24*C24/2+I18*C18/2+I12*C12/2+0+0</x:f>
        <x:v>15.794031163192525</x:v>
      </x:c>
      <x:c r="G60" s="111" t="n">
        <x:f>0</x:f>
        <x:v>0</x:v>
      </x:c>
      <x:c r="H60" s="111" t="n">
        <x:f>E60+D60+F60+G60</x:f>
        <x:v>115.79403116319253</x:v>
      </x:c>
      <x:c r="I60" s="111" t="n">
        <x:f>H60*(H60&gt;='Assumptions'!$B$9)</x:f>
        <x:v>115.79403116319253</x:v>
      </x:c>
      <x:c r="J60" s="111" t="n">
        <x:f>H60-I60</x:f>
        <x:v>0</x:v>
      </x:c>
      <x:c r="K60" s="111" t="n">
        <x:f>K59+I60-G60</x:f>
        <x:v>5714.232835898527</x:v>
      </x:c>
      <x:c r="L60" s="111" t="n">
        <x:f>J60+K60</x:f>
        <x:v>5714.232835898527</x:v>
      </x:c>
      <x:c r="M60" s="109" t="n">
        <x:f>M59+IF(I60&gt;=5,1,0)</x:f>
        <x:v>53</x:v>
      </x:c>
      <x:c r="N60" s="112" t="str">
        <x:f>IF(I60&gt;0,"Invest cash as new 5-year tranche",IF(J60&gt;0,"Carry cash until £5 threshold",""))</x:f>
        <x:v>Invest cash as new 5-year tranche</x:v>
      </x:c>
      <x:c r="O60" s="113"/>
    </x:row>
    <x:row r="61" ht="24" hidden="0" customHeight="1">
      <x:c r="A61" s="108" t="n">
        <x:v>53</x:v>
      </x:c>
      <x:c r="B61" s="109" t="n">
        <x:f>INT(A61/12)+1</x:f>
        <x:v>5</x:v>
      </x:c>
      <x:c r="C61" s="110" t="n">
        <x:f>INDEX('Assumptions'!$B$12:$B$21,MIN(B61,ROWS('Assumptions'!$B$12:$B$21)))</x:f>
        <x:v>0.032</x:v>
      </x:c>
      <x:c r="D61" s="111" t="n">
        <x:f>IF(A61&lt;'Assumptions'!$B$6*12,'Assumptions'!$B$4,0)</x:f>
        <x:v>100</x:v>
      </x:c>
      <x:c r="E61" s="111" t="n">
        <x:f>J60</x:f>
        <x:v>0</x:v>
      </x:c>
      <x:c r="F61" s="111" t="n">
        <x:f>I55*C55/2+I49*C49/2+I43*C43/2+I37*C37/2+I31*C31/2+I25*C25/2+I19*C19/2+I13*C13/2+0+0</x:f>
        <x:v>15.794031163192525</x:v>
      </x:c>
      <x:c r="G61" s="111" t="n">
        <x:f>0</x:f>
        <x:v>0</x:v>
      </x:c>
      <x:c r="H61" s="111" t="n">
        <x:f>E61+D61+F61+G61</x:f>
        <x:v>115.79403116319253</x:v>
      </x:c>
      <x:c r="I61" s="111" t="n">
        <x:f>H61*(H61&gt;='Assumptions'!$B$9)</x:f>
        <x:v>115.79403116319253</x:v>
      </x:c>
      <x:c r="J61" s="111" t="n">
        <x:f>H61-I61</x:f>
        <x:v>0</x:v>
      </x:c>
      <x:c r="K61" s="111" t="n">
        <x:f>K60+I61-G61</x:f>
        <x:v>5830.02686706172</x:v>
      </x:c>
      <x:c r="L61" s="111" t="n">
        <x:f>J61+K61</x:f>
        <x:v>5830.02686706172</x:v>
      </x:c>
      <x:c r="M61" s="109" t="n">
        <x:f>M60+IF(I61&gt;=5,1,0)</x:f>
        <x:v>54</x:v>
      </x:c>
      <x:c r="N61" s="112" t="str">
        <x:f>IF(I61&gt;0,"Invest cash as new 5-year tranche",IF(J61&gt;0,"Carry cash until £5 threshold",""))</x:f>
        <x:v>Invest cash as new 5-year tranche</x:v>
      </x:c>
      <x:c r="O61" s="113"/>
    </x:row>
    <x:row r="62" ht="24" hidden="0" customHeight="1">
      <x:c r="A62" s="108" t="n">
        <x:v>54</x:v>
      </x:c>
      <x:c r="B62" s="109" t="n">
        <x:f>INT(A62/12)+1</x:f>
        <x:v>5</x:v>
      </x:c>
      <x:c r="C62" s="110" t="n">
        <x:f>INDEX('Assumptions'!$B$12:$B$21,MIN(B62,ROWS('Assumptions'!$B$12:$B$21)))</x:f>
        <x:v>0.032</x:v>
      </x:c>
      <x:c r="D62" s="111" t="n">
        <x:f>IF(A62&lt;'Assumptions'!$B$6*12,'Assumptions'!$B$4,0)</x:f>
        <x:v>100</x:v>
      </x:c>
      <x:c r="E62" s="111" t="n">
        <x:f>J61</x:f>
        <x:v>0</x:v>
      </x:c>
      <x:c r="F62" s="111" t="n">
        <x:f>I56*C56/2+I50*C50/2+I44*C44/2+I38*C38/2+I32*C32/2+I26*C26/2+I20*C20/2+I14*C14/2+I8*C8/2+0</x:f>
        <x:v>17.646735661803607</x:v>
      </x:c>
      <x:c r="G62" s="111" t="n">
        <x:f>0</x:f>
        <x:v>0</x:v>
      </x:c>
      <x:c r="H62" s="111" t="n">
        <x:f>E62+D62+F62+G62</x:f>
        <x:v>117.6467356618036</x:v>
      </x:c>
      <x:c r="I62" s="111" t="n">
        <x:f>H62*(H62&gt;='Assumptions'!$B$9)</x:f>
        <x:v>117.6467356618036</x:v>
      </x:c>
      <x:c r="J62" s="111" t="n">
        <x:f>H62-I62</x:f>
        <x:v>0</x:v>
      </x:c>
      <x:c r="K62" s="111" t="n">
        <x:f>K61+I62-G62</x:f>
        <x:v>5947.673602723523</x:v>
      </x:c>
      <x:c r="L62" s="111" t="n">
        <x:f>J62+K62</x:f>
        <x:v>5947.673602723523</x:v>
      </x:c>
      <x:c r="M62" s="109" t="n">
        <x:f>M61+IF(I62&gt;=5,1,0)</x:f>
        <x:v>55</x:v>
      </x:c>
      <x:c r="N62" s="112" t="str">
        <x:f>IF(I62&gt;0,"Invest cash as new 5-year tranche",IF(J62&gt;0,"Carry cash until £5 threshold",""))</x:f>
        <x:v>Invest cash as new 5-year tranche</x:v>
      </x:c>
      <x:c r="O62" s="113"/>
    </x:row>
    <x:row r="63" ht="24" hidden="0" customHeight="1">
      <x:c r="A63" s="108" t="n">
        <x:v>55</x:v>
      </x:c>
      <x:c r="B63" s="109" t="n">
        <x:f>INT(A63/12)+1</x:f>
        <x:v>5</x:v>
      </x:c>
      <x:c r="C63" s="110" t="n">
        <x:f>INDEX('Assumptions'!$B$12:$B$21,MIN(B63,ROWS('Assumptions'!$B$12:$B$21)))</x:f>
        <x:v>0.032</x:v>
      </x:c>
      <x:c r="D63" s="111" t="n">
        <x:f>IF(A63&lt;'Assumptions'!$B$6*12,'Assumptions'!$B$4,0)</x:f>
        <x:v>100</x:v>
      </x:c>
      <x:c r="E63" s="111" t="n">
        <x:f>J62</x:f>
        <x:v>0</x:v>
      </x:c>
      <x:c r="F63" s="111" t="n">
        <x:f>I57*C57/2+I51*C51/2+I45*C45/2+I39*C39/2+I33*C33/2+I27*C27/2+I21*C21/2+I15*C15/2+I9*C9/2+0</x:f>
        <x:v>17.646735661803607</x:v>
      </x:c>
      <x:c r="G63" s="111" t="n">
        <x:f>0</x:f>
        <x:v>0</x:v>
      </x:c>
      <x:c r="H63" s="111" t="n">
        <x:f>E63+D63+F63+G63</x:f>
        <x:v>117.6467356618036</x:v>
      </x:c>
      <x:c r="I63" s="111" t="n">
        <x:f>H63*(H63&gt;='Assumptions'!$B$9)</x:f>
        <x:v>117.6467356618036</x:v>
      </x:c>
      <x:c r="J63" s="111" t="n">
        <x:f>H63-I63</x:f>
        <x:v>0</x:v>
      </x:c>
      <x:c r="K63" s="111" t="n">
        <x:f>K62+I63-G63</x:f>
        <x:v>6065.320338385326</x:v>
      </x:c>
      <x:c r="L63" s="111" t="n">
        <x:f>J63+K63</x:f>
        <x:v>6065.320338385326</x:v>
      </x:c>
      <x:c r="M63" s="109" t="n">
        <x:f>M62+IF(I63&gt;=5,1,0)</x:f>
        <x:v>56</x:v>
      </x:c>
      <x:c r="N63" s="112" t="str">
        <x:f>IF(I63&gt;0,"Invest cash as new 5-year tranche",IF(J63&gt;0,"Carry cash until £5 threshold",""))</x:f>
        <x:v>Invest cash as new 5-year tranche</x:v>
      </x:c>
      <x:c r="O63" s="113"/>
    </x:row>
    <x:row r="64" ht="24" hidden="0" customHeight="1">
      <x:c r="A64" s="108" t="n">
        <x:v>56</x:v>
      </x:c>
      <x:c r="B64" s="109" t="n">
        <x:f>INT(A64/12)+1</x:f>
        <x:v>5</x:v>
      </x:c>
      <x:c r="C64" s="110" t="n">
        <x:f>INDEX('Assumptions'!$B$12:$B$21,MIN(B64,ROWS('Assumptions'!$B$12:$B$21)))</x:f>
        <x:v>0.032</x:v>
      </x:c>
      <x:c r="D64" s="111" t="n">
        <x:f>IF(A64&lt;'Assumptions'!$B$6*12,'Assumptions'!$B$4,0)</x:f>
        <x:v>100</x:v>
      </x:c>
      <x:c r="E64" s="111" t="n">
        <x:f>J63</x:f>
        <x:v>0</x:v>
      </x:c>
      <x:c r="F64" s="111" t="n">
        <x:f>I58*C58/2+I52*C52/2+I46*C46/2+I40*C40/2+I34*C34/2+I28*C28/2+I22*C22/2+I16*C16/2+I10*C10/2+0</x:f>
        <x:v>17.646735661803607</x:v>
      </x:c>
      <x:c r="G64" s="111" t="n">
        <x:f>0</x:f>
        <x:v>0</x:v>
      </x:c>
      <x:c r="H64" s="111" t="n">
        <x:f>E64+D64+F64+G64</x:f>
        <x:v>117.6467356618036</x:v>
      </x:c>
      <x:c r="I64" s="111" t="n">
        <x:f>H64*(H64&gt;='Assumptions'!$B$9)</x:f>
        <x:v>117.6467356618036</x:v>
      </x:c>
      <x:c r="J64" s="111" t="n">
        <x:f>H64-I64</x:f>
        <x:v>0</x:v>
      </x:c>
      <x:c r="K64" s="111" t="n">
        <x:f>K63+I64-G64</x:f>
        <x:v>6182.967074047129</x:v>
      </x:c>
      <x:c r="L64" s="111" t="n">
        <x:f>J64+K64</x:f>
        <x:v>6182.967074047129</x:v>
      </x:c>
      <x:c r="M64" s="109" t="n">
        <x:f>M63+IF(I64&gt;=5,1,0)</x:f>
        <x:v>57</x:v>
      </x:c>
      <x:c r="N64" s="112" t="str">
        <x:f>IF(I64&gt;0,"Invest cash as new 5-year tranche",IF(J64&gt;0,"Carry cash until £5 threshold",""))</x:f>
        <x:v>Invest cash as new 5-year tranche</x:v>
      </x:c>
      <x:c r="O64" s="113"/>
    </x:row>
    <x:row r="65" ht="24" hidden="0" customHeight="1">
      <x:c r="A65" s="108" t="n">
        <x:v>57</x:v>
      </x:c>
      <x:c r="B65" s="109" t="n">
        <x:f>INT(A65/12)+1</x:f>
        <x:v>5</x:v>
      </x:c>
      <x:c r="C65" s="110" t="n">
        <x:f>INDEX('Assumptions'!$B$12:$B$21,MIN(B65,ROWS('Assumptions'!$B$12:$B$21)))</x:f>
        <x:v>0.032</x:v>
      </x:c>
      <x:c r="D65" s="111" t="n">
        <x:f>IF(A65&lt;'Assumptions'!$B$6*12,'Assumptions'!$B$4,0)</x:f>
        <x:v>100</x:v>
      </x:c>
      <x:c r="E65" s="111" t="n">
        <x:f>J64</x:f>
        <x:v>0</x:v>
      </x:c>
      <x:c r="F65" s="111" t="n">
        <x:f>I59*C59/2+I53*C53/2+I47*C47/2+I41*C41/2+I35*C35/2+I29*C29/2+I23*C23/2+I17*C17/2+I11*C11/2+0</x:f>
        <x:v>17.646735661803607</x:v>
      </x:c>
      <x:c r="G65" s="111" t="n">
        <x:f>0</x:f>
        <x:v>0</x:v>
      </x:c>
      <x:c r="H65" s="111" t="n">
        <x:f>E65+D65+F65+G65</x:f>
        <x:v>117.6467356618036</x:v>
      </x:c>
      <x:c r="I65" s="111" t="n">
        <x:f>H65*(H65&gt;='Assumptions'!$B$9)</x:f>
        <x:v>117.6467356618036</x:v>
      </x:c>
      <x:c r="J65" s="111" t="n">
        <x:f>H65-I65</x:f>
        <x:v>0</x:v>
      </x:c>
      <x:c r="K65" s="111" t="n">
        <x:f>K64+I65-G65</x:f>
        <x:v>6300.613809708932</x:v>
      </x:c>
      <x:c r="L65" s="111" t="n">
        <x:f>J65+K65</x:f>
        <x:v>6300.613809708932</x:v>
      </x:c>
      <x:c r="M65" s="109" t="n">
        <x:f>M64+IF(I65&gt;=5,1,0)</x:f>
        <x:v>58</x:v>
      </x:c>
      <x:c r="N65" s="112" t="str">
        <x:f>IF(I65&gt;0,"Invest cash as new 5-year tranche",IF(J65&gt;0,"Carry cash until £5 threshold",""))</x:f>
        <x:v>Invest cash as new 5-year tranche</x:v>
      </x:c>
      <x:c r="O65" s="113"/>
    </x:row>
    <x:row r="66" ht="24" hidden="0" customHeight="1">
      <x:c r="A66" s="108" t="n">
        <x:v>58</x:v>
      </x:c>
      <x:c r="B66" s="109" t="n">
        <x:f>INT(A66/12)+1</x:f>
        <x:v>5</x:v>
      </x:c>
      <x:c r="C66" s="110" t="n">
        <x:f>INDEX('Assumptions'!$B$12:$B$21,MIN(B66,ROWS('Assumptions'!$B$12:$B$21)))</x:f>
        <x:v>0.032</x:v>
      </x:c>
      <x:c r="D66" s="111" t="n">
        <x:f>IF(A66&lt;'Assumptions'!$B$6*12,'Assumptions'!$B$4,0)</x:f>
        <x:v>100</x:v>
      </x:c>
      <x:c r="E66" s="111" t="n">
        <x:f>J65</x:f>
        <x:v>0</x:v>
      </x:c>
      <x:c r="F66" s="111" t="n">
        <x:f>I60*C60/2+I54*C54/2+I48*C48/2+I42*C42/2+I36*C36/2+I30*C30/2+I24*C24/2+I18*C18/2+I12*C12/2+0</x:f>
        <x:v>17.646735661803607</x:v>
      </x:c>
      <x:c r="G66" s="111" t="n">
        <x:f>0</x:f>
        <x:v>0</x:v>
      </x:c>
      <x:c r="H66" s="111" t="n">
        <x:f>E66+D66+F66+G66</x:f>
        <x:v>117.6467356618036</x:v>
      </x:c>
      <x:c r="I66" s="111" t="n">
        <x:f>H66*(H66&gt;='Assumptions'!$B$9)</x:f>
        <x:v>117.6467356618036</x:v>
      </x:c>
      <x:c r="J66" s="111" t="n">
        <x:f>H66-I66</x:f>
        <x:v>0</x:v>
      </x:c>
      <x:c r="K66" s="111" t="n">
        <x:f>K65+I66-G66</x:f>
        <x:v>6418.260545370736</x:v>
      </x:c>
      <x:c r="L66" s="111" t="n">
        <x:f>J66+K66</x:f>
        <x:v>6418.260545370736</x:v>
      </x:c>
      <x:c r="M66" s="109" t="n">
        <x:f>M65+IF(I66&gt;=5,1,0)</x:f>
        <x:v>59</x:v>
      </x:c>
      <x:c r="N66" s="112" t="str">
        <x:f>IF(I66&gt;0,"Invest cash as new 5-year tranche",IF(J66&gt;0,"Carry cash until £5 threshold",""))</x:f>
        <x:v>Invest cash as new 5-year tranche</x:v>
      </x:c>
      <x:c r="O66" s="113"/>
    </x:row>
    <x:row r="67" ht="24" hidden="0" customHeight="1">
      <x:c r="A67" s="108" t="n">
        <x:v>59</x:v>
      </x:c>
      <x:c r="B67" s="109" t="n">
        <x:f>INT(A67/12)+1</x:f>
        <x:v>5</x:v>
      </x:c>
      <x:c r="C67" s="110" t="n">
        <x:f>INDEX('Assumptions'!$B$12:$B$21,MIN(B67,ROWS('Assumptions'!$B$12:$B$21)))</x:f>
        <x:v>0.032</x:v>
      </x:c>
      <x:c r="D67" s="111" t="n">
        <x:f>IF(A67&lt;'Assumptions'!$B$6*12,'Assumptions'!$B$4,0)</x:f>
        <x:v>100</x:v>
      </x:c>
      <x:c r="E67" s="111" t="n">
        <x:f>J66</x:f>
        <x:v>0</x:v>
      </x:c>
      <x:c r="F67" s="111" t="n">
        <x:f>I61*C61/2+I55*C55/2+I49*C49/2+I43*C43/2+I37*C37/2+I31*C31/2+I25*C25/2+I19*C19/2+I13*C13/2+0</x:f>
        <x:v>17.646735661803607</x:v>
      </x:c>
      <x:c r="G67" s="111" t="n">
        <x:f>0</x:f>
        <x:v>0</x:v>
      </x:c>
      <x:c r="H67" s="111" t="n">
        <x:f>E67+D67+F67+G67</x:f>
        <x:v>117.6467356618036</x:v>
      </x:c>
      <x:c r="I67" s="111" t="n">
        <x:f>H67*(H67&gt;='Assumptions'!$B$9)</x:f>
        <x:v>117.6467356618036</x:v>
      </x:c>
      <x:c r="J67" s="111" t="n">
        <x:f>H67-I67</x:f>
        <x:v>0</x:v>
      </x:c>
      <x:c r="K67" s="111" t="n">
        <x:f>K66+I67-G67</x:f>
        <x:v>6535.907281032539</x:v>
      </x:c>
      <x:c r="L67" s="111" t="n">
        <x:f>J67+K67</x:f>
        <x:v>6535.907281032539</x:v>
      </x:c>
      <x:c r="M67" s="109" t="n">
        <x:f>M66+IF(I67&gt;=5,1,0)</x:f>
        <x:v>60</x:v>
      </x:c>
      <x:c r="N67" s="112" t="str">
        <x:f>IF(I67&gt;0,"Invest cash as new 5-year tranche",IF(J67&gt;0,"Carry cash until £5 threshold",""))</x:f>
        <x:v>Invest cash as new 5-year tranche</x:v>
      </x:c>
      <x:c r="O67" s="113"/>
    </x:row>
    <x:row r="68" ht="24" hidden="0" customHeight="1">
      <x:c r="A68" s="108" t="n">
        <x:v>60</x:v>
      </x:c>
      <x:c r="B68" s="109" t="n">
        <x:f>INT(A68/12)+1</x:f>
        <x:v>6</x:v>
      </x:c>
      <x:c r="C68" s="110" t="n">
        <x:f>INDEX('Assumptions'!$B$12:$B$21,MIN(B68,ROWS('Assumptions'!$B$12:$B$21)))</x:f>
        <x:v>0.03</x:v>
      </x:c>
      <x:c r="D68" s="111" t="n">
        <x:f>IF(A68&lt;'Assumptions'!$B$6*12,'Assumptions'!$B$4,0)</x:f>
        <x:v>100</x:v>
      </x:c>
      <x:c r="E68" s="111" t="n">
        <x:f>J67</x:f>
        <x:v>0</x:v>
      </x:c>
      <x:c r="F68" s="111" t="n">
        <x:f>I62*C62/2+I56*C56/2+I50*C50/2+I44*C44/2+I38*C38/2+I32*C32/2+I26*C26/2+I20*C20/2+I14*C14/2+I8*C8/2</x:f>
        <x:v>19.529083432392465</x:v>
      </x:c>
      <x:c r="G68" s="111" t="n">
        <x:f>I8</x:f>
        <x:v>100</x:v>
      </x:c>
      <x:c r="H68" s="111" t="n">
        <x:f>E68+D68+F68+G68</x:f>
        <x:v>219.52908343239247</x:v>
      </x:c>
      <x:c r="I68" s="111" t="n">
        <x:f>H68*(H68&gt;='Assumptions'!$B$9)</x:f>
        <x:v>219.52908343239247</x:v>
      </x:c>
      <x:c r="J68" s="111" t="n">
        <x:f>H68-I68</x:f>
        <x:v>0</x:v>
      </x:c>
      <x:c r="K68" s="111" t="n">
        <x:f>K67+I68-G68</x:f>
        <x:v>6655.436364464931</x:v>
      </x:c>
      <x:c r="L68" s="111" t="n">
        <x:f>J68+K68</x:f>
        <x:v>6655.436364464931</x:v>
      </x:c>
      <x:c r="M68" s="109" t="n">
        <x:f>M67+IF(I68&gt;=5,1,0)</x:f>
        <x:v>61</x:v>
      </x:c>
      <x:c r="N68" s="112" t="str">
        <x:f>IF(I68&gt;0,"Invest cash as new 5-year tranche",IF(J68&gt;0,"Carry cash until £5 threshold",""))</x:f>
        <x:v>Invest cash as new 5-year tranche</x:v>
      </x:c>
      <x:c r="O68" s="113"/>
    </x:row>
    <x:row r="69" ht="24" hidden="0" customHeight="1">
      <x:c r="A69" s="108" t="n">
        <x:v>61</x:v>
      </x:c>
      <x:c r="B69" s="109" t="n">
        <x:f>INT(A69/12)+1</x:f>
        <x:v>6</x:v>
      </x:c>
      <x:c r="C69" s="110" t="n">
        <x:f>INDEX('Assumptions'!$B$12:$B$21,MIN(B69,ROWS('Assumptions'!$B$12:$B$21)))</x:f>
        <x:v>0.03</x:v>
      </x:c>
      <x:c r="D69" s="111" t="n">
        <x:f>IF(A69&lt;'Assumptions'!$B$6*12,'Assumptions'!$B$4,0)</x:f>
        <x:v>100</x:v>
      </x:c>
      <x:c r="E69" s="111" t="n">
        <x:f>J68</x:f>
        <x:v>0</x:v>
      </x:c>
      <x:c r="F69" s="111" t="n">
        <x:f>I63*C63/2+I57*C57/2+I51*C51/2+I45*C45/2+I39*C39/2+I33*C33/2+I27*C27/2+I21*C21/2+I15*C15/2+I9*C9/2</x:f>
        <x:v>19.529083432392465</x:v>
      </x:c>
      <x:c r="G69" s="111" t="n">
        <x:f>I9</x:f>
        <x:v>100</x:v>
      </x:c>
      <x:c r="H69" s="111" t="n">
        <x:f>E69+D69+F69+G69</x:f>
        <x:v>219.52908343239247</x:v>
      </x:c>
      <x:c r="I69" s="111" t="n">
        <x:f>H69*(H69&gt;='Assumptions'!$B$9)</x:f>
        <x:v>219.52908343239247</x:v>
      </x:c>
      <x:c r="J69" s="111" t="n">
        <x:f>H69-I69</x:f>
        <x:v>0</x:v>
      </x:c>
      <x:c r="K69" s="111" t="n">
        <x:f>K68+I69-G69</x:f>
        <x:v>6774.965447897323</x:v>
      </x:c>
      <x:c r="L69" s="111" t="n">
        <x:f>J69+K69</x:f>
        <x:v>6774.965447897323</x:v>
      </x:c>
      <x:c r="M69" s="109" t="n">
        <x:f>M68+IF(I69&gt;=5,1,0)</x:f>
        <x:v>62</x:v>
      </x:c>
      <x:c r="N69" s="112" t="str">
        <x:f>IF(I69&gt;0,"Invest cash as new 5-year tranche",IF(J69&gt;0,"Carry cash until £5 threshold",""))</x:f>
        <x:v>Invest cash as new 5-year tranche</x:v>
      </x:c>
      <x:c r="O69" s="113"/>
    </x:row>
    <x:row r="70" ht="24" hidden="0" customHeight="1">
      <x:c r="A70" s="108" t="n">
        <x:v>62</x:v>
      </x:c>
      <x:c r="B70" s="109" t="n">
        <x:f>INT(A70/12)+1</x:f>
        <x:v>6</x:v>
      </x:c>
      <x:c r="C70" s="110" t="n">
        <x:f>INDEX('Assumptions'!$B$12:$B$21,MIN(B70,ROWS('Assumptions'!$B$12:$B$21)))</x:f>
        <x:v>0.03</x:v>
      </x:c>
      <x:c r="D70" s="111" t="n">
        <x:f>IF(A70&lt;'Assumptions'!$B$6*12,'Assumptions'!$B$4,0)</x:f>
        <x:v>100</x:v>
      </x:c>
      <x:c r="E70" s="111" t="n">
        <x:f>J69</x:f>
        <x:v>0</x:v>
      </x:c>
      <x:c r="F70" s="111" t="n">
        <x:f>I64*C64/2+I58*C58/2+I52*C52/2+I46*C46/2+I40*C40/2+I34*C34/2+I28*C28/2+I22*C22/2+I16*C16/2+I10*C10/2</x:f>
        <x:v>19.529083432392465</x:v>
      </x:c>
      <x:c r="G70" s="111" t="n">
        <x:f>I10</x:f>
        <x:v>100</x:v>
      </x:c>
      <x:c r="H70" s="111" t="n">
        <x:f>E70+D70+F70+G70</x:f>
        <x:v>219.52908343239247</x:v>
      </x:c>
      <x:c r="I70" s="111" t="n">
        <x:f>H70*(H70&gt;='Assumptions'!$B$9)</x:f>
        <x:v>219.52908343239247</x:v>
      </x:c>
      <x:c r="J70" s="111" t="n">
        <x:f>H70-I70</x:f>
        <x:v>0</x:v>
      </x:c>
      <x:c r="K70" s="111" t="n">
        <x:f>K69+I70-G70</x:f>
        <x:v>6894.494531329716</x:v>
      </x:c>
      <x:c r="L70" s="111" t="n">
        <x:f>J70+K70</x:f>
        <x:v>6894.494531329716</x:v>
      </x:c>
      <x:c r="M70" s="109" t="n">
        <x:f>M69+IF(I70&gt;=5,1,0)</x:f>
        <x:v>63</x:v>
      </x:c>
      <x:c r="N70" s="112" t="str">
        <x:f>IF(I70&gt;0,"Invest cash as new 5-year tranche",IF(J70&gt;0,"Carry cash until £5 threshold",""))</x:f>
        <x:v>Invest cash as new 5-year tranche</x:v>
      </x:c>
      <x:c r="O70" s="113"/>
    </x:row>
    <x:row r="71" ht="24" hidden="0" customHeight="1">
      <x:c r="A71" s="108" t="n">
        <x:v>63</x:v>
      </x:c>
      <x:c r="B71" s="109" t="n">
        <x:f>INT(A71/12)+1</x:f>
        <x:v>6</x:v>
      </x:c>
      <x:c r="C71" s="110" t="n">
        <x:f>INDEX('Assumptions'!$B$12:$B$21,MIN(B71,ROWS('Assumptions'!$B$12:$B$21)))</x:f>
        <x:v>0.03</x:v>
      </x:c>
      <x:c r="D71" s="111" t="n">
        <x:f>IF(A71&lt;'Assumptions'!$B$6*12,'Assumptions'!$B$4,0)</x:f>
        <x:v>100</x:v>
      </x:c>
      <x:c r="E71" s="111" t="n">
        <x:f>J70</x:f>
        <x:v>0</x:v>
      </x:c>
      <x:c r="F71" s="111" t="n">
        <x:f>I65*C65/2+I59*C59/2+I53*C53/2+I47*C47/2+I41*C41/2+I35*C35/2+I29*C29/2+I23*C23/2+I17*C17/2+I11*C11/2</x:f>
        <x:v>19.529083432392465</x:v>
      </x:c>
      <x:c r="G71" s="111" t="n">
        <x:f>I11</x:f>
        <x:v>100</x:v>
      </x:c>
      <x:c r="H71" s="111" t="n">
        <x:f>E71+D71+F71+G71</x:f>
        <x:v>219.52908343239247</x:v>
      </x:c>
      <x:c r="I71" s="111" t="n">
        <x:f>H71*(H71&gt;='Assumptions'!$B$9)</x:f>
        <x:v>219.52908343239247</x:v>
      </x:c>
      <x:c r="J71" s="111" t="n">
        <x:f>H71-I71</x:f>
        <x:v>0</x:v>
      </x:c>
      <x:c r="K71" s="111" t="n">
        <x:f>K70+I71-G71</x:f>
        <x:v>7014.023614762108</x:v>
      </x:c>
      <x:c r="L71" s="111" t="n">
        <x:f>J71+K71</x:f>
        <x:v>7014.023614762108</x:v>
      </x:c>
      <x:c r="M71" s="109" t="n">
        <x:f>M70+IF(I71&gt;=5,1,0)</x:f>
        <x:v>64</x:v>
      </x:c>
      <x:c r="N71" s="112" t="str">
        <x:f>IF(I71&gt;0,"Invest cash as new 5-year tranche",IF(J71&gt;0,"Carry cash until £5 threshold",""))</x:f>
        <x:v>Invest cash as new 5-year tranche</x:v>
      </x:c>
      <x:c r="O71" s="113"/>
    </x:row>
    <x:row r="72" ht="24" hidden="0" customHeight="1">
      <x:c r="A72" s="108" t="n">
        <x:v>64</x:v>
      </x:c>
      <x:c r="B72" s="109" t="n">
        <x:f>INT(A72/12)+1</x:f>
        <x:v>6</x:v>
      </x:c>
      <x:c r="C72" s="110" t="n">
        <x:f>INDEX('Assumptions'!$B$12:$B$21,MIN(B72,ROWS('Assumptions'!$B$12:$B$21)))</x:f>
        <x:v>0.03</x:v>
      </x:c>
      <x:c r="D72" s="111" t="n">
        <x:f>IF(A72&lt;'Assumptions'!$B$6*12,'Assumptions'!$B$4,0)</x:f>
        <x:v>100</x:v>
      </x:c>
      <x:c r="E72" s="111" t="n">
        <x:f>J71</x:f>
        <x:v>0</x:v>
      </x:c>
      <x:c r="F72" s="111" t="n">
        <x:f>I66*C66/2+I60*C60/2+I54*C54/2+I48*C48/2+I42*C42/2+I36*C36/2+I30*C30/2+I24*C24/2+I18*C18/2+I12*C12/2</x:f>
        <x:v>19.529083432392465</x:v>
      </x:c>
      <x:c r="G72" s="111" t="n">
        <x:f>I12</x:f>
        <x:v>100</x:v>
      </x:c>
      <x:c r="H72" s="111" t="n">
        <x:f>E72+D72+F72+G72</x:f>
        <x:v>219.52908343239247</x:v>
      </x:c>
      <x:c r="I72" s="111" t="n">
        <x:f>H72*(H72&gt;='Assumptions'!$B$9)</x:f>
        <x:v>219.52908343239247</x:v>
      </x:c>
      <x:c r="J72" s="111" t="n">
        <x:f>H72-I72</x:f>
        <x:v>0</x:v>
      </x:c>
      <x:c r="K72" s="111" t="n">
        <x:f>K71+I72-G72</x:f>
        <x:v>7133.5526981945</x:v>
      </x:c>
      <x:c r="L72" s="111" t="n">
        <x:f>J72+K72</x:f>
        <x:v>7133.5526981945</x:v>
      </x:c>
      <x:c r="M72" s="109" t="n">
        <x:f>M71+IF(I72&gt;=5,1,0)</x:f>
        <x:v>65</x:v>
      </x:c>
      <x:c r="N72" s="112" t="str">
        <x:f>IF(I72&gt;0,"Invest cash as new 5-year tranche",IF(J72&gt;0,"Carry cash until £5 threshold",""))</x:f>
        <x:v>Invest cash as new 5-year tranche</x:v>
      </x:c>
      <x:c r="O72" s="113"/>
    </x:row>
    <x:row r="73" ht="24" hidden="0" customHeight="1">
      <x:c r="A73" s="108" t="n">
        <x:v>65</x:v>
      </x:c>
      <x:c r="B73" s="109" t="n">
        <x:f>INT(A73/12)+1</x:f>
        <x:v>6</x:v>
      </x:c>
      <x:c r="C73" s="110" t="n">
        <x:f>INDEX('Assumptions'!$B$12:$B$21,MIN(B73,ROWS('Assumptions'!$B$12:$B$21)))</x:f>
        <x:v>0.03</x:v>
      </x:c>
      <x:c r="D73" s="111" t="n">
        <x:f>IF(A73&lt;'Assumptions'!$B$6*12,'Assumptions'!$B$4,0)</x:f>
        <x:v>100</x:v>
      </x:c>
      <x:c r="E73" s="111" t="n">
        <x:f>J72</x:f>
        <x:v>0</x:v>
      </x:c>
      <x:c r="F73" s="111" t="n">
        <x:f>I67*C67/2+I61*C61/2+I55*C55/2+I49*C49/2+I43*C43/2+I37*C37/2+I31*C31/2+I25*C25/2+I19*C19/2+I13*C13/2</x:f>
        <x:v>19.529083432392465</x:v>
      </x:c>
      <x:c r="G73" s="111" t="n">
        <x:f>I13</x:f>
        <x:v>100</x:v>
      </x:c>
      <x:c r="H73" s="111" t="n">
        <x:f>E73+D73+F73+G73</x:f>
        <x:v>219.52908343239247</x:v>
      </x:c>
      <x:c r="I73" s="111" t="n">
        <x:f>H73*(H73&gt;='Assumptions'!$B$9)</x:f>
        <x:v>219.52908343239247</x:v>
      </x:c>
      <x:c r="J73" s="111" t="n">
        <x:f>H73-I73</x:f>
        <x:v>0</x:v>
      </x:c>
      <x:c r="K73" s="111" t="n">
        <x:f>K72+I73-G73</x:f>
        <x:v>7253.081781626893</x:v>
      </x:c>
      <x:c r="L73" s="111" t="n">
        <x:f>J73+K73</x:f>
        <x:v>7253.081781626893</x:v>
      </x:c>
      <x:c r="M73" s="109" t="n">
        <x:f>M72+IF(I73&gt;=5,1,0)</x:f>
        <x:v>66</x:v>
      </x:c>
      <x:c r="N73" s="112" t="str">
        <x:f>IF(I73&gt;0,"Invest cash as new 5-year tranche",IF(J73&gt;0,"Carry cash until £5 threshold",""))</x:f>
        <x:v>Invest cash as new 5-year tranche</x:v>
      </x:c>
      <x:c r="O73" s="113"/>
    </x:row>
    <x:row r="74" ht="24" hidden="0" customHeight="1">
      <x:c r="A74" s="108" t="n">
        <x:v>66</x:v>
      </x:c>
      <x:c r="B74" s="109" t="n">
        <x:f>INT(A74/12)+1</x:f>
        <x:v>6</x:v>
      </x:c>
      <x:c r="C74" s="110" t="n">
        <x:f>INDEX('Assumptions'!$B$12:$B$21,MIN(B74,ROWS('Assumptions'!$B$12:$B$21)))</x:f>
        <x:v>0.03</x:v>
      </x:c>
      <x:c r="D74" s="111" t="n">
        <x:f>IF(A74&lt;'Assumptions'!$B$6*12,'Assumptions'!$B$4,0)</x:f>
        <x:v>100</x:v>
      </x:c>
      <x:c r="E74" s="111" t="n">
        <x:f>J73</x:f>
        <x:v>0</x:v>
      </x:c>
      <x:c r="F74" s="111" t="n">
        <x:f>I68*C68/2+I62*C62/2+I56*C56/2+I50*C50/2+I44*C44/2+I38*C38/2+I32*C32/2+I26*C26/2+I20*C20/2+I14*C14/2</x:f>
        <x:v>20.82201968387835</x:v>
      </x:c>
      <x:c r="G74" s="111" t="n">
        <x:f>I14</x:f>
        <x:v>102</x:v>
      </x:c>
      <x:c r="H74" s="111" t="n">
        <x:f>E74+D74+F74+G74</x:f>
        <x:v>222.82201968387835</x:v>
      </x:c>
      <x:c r="I74" s="111" t="n">
        <x:f>H74*(H74&gt;='Assumptions'!$B$9)</x:f>
        <x:v>222.82201968387835</x:v>
      </x:c>
      <x:c r="J74" s="111" t="n">
        <x:f>H74-I74</x:f>
        <x:v>0</x:v>
      </x:c>
      <x:c r="K74" s="111" t="n">
        <x:f>K73+I74-G74</x:f>
        <x:v>7373.903801310771</x:v>
      </x:c>
      <x:c r="L74" s="111" t="n">
        <x:f>J74+K74</x:f>
        <x:v>7373.903801310771</x:v>
      </x:c>
      <x:c r="M74" s="109" t="n">
        <x:f>M73+IF(I74&gt;=5,1,0)</x:f>
        <x:v>67</x:v>
      </x:c>
      <x:c r="N74" s="112" t="str">
        <x:f>IF(I74&gt;0,"Invest cash as new 5-year tranche",IF(J74&gt;0,"Carry cash until £5 threshold",""))</x:f>
        <x:v>Invest cash as new 5-year tranche</x:v>
      </x:c>
      <x:c r="O74" s="113"/>
    </x:row>
    <x:row r="75" ht="24" hidden="0" customHeight="1">
      <x:c r="A75" s="108" t="n">
        <x:v>67</x:v>
      </x:c>
      <x:c r="B75" s="109" t="n">
        <x:f>INT(A75/12)+1</x:f>
        <x:v>6</x:v>
      </x:c>
      <x:c r="C75" s="110" t="n">
        <x:f>INDEX('Assumptions'!$B$12:$B$21,MIN(B75,ROWS('Assumptions'!$B$12:$B$21)))</x:f>
        <x:v>0.03</x:v>
      </x:c>
      <x:c r="D75" s="111" t="n">
        <x:f>IF(A75&lt;'Assumptions'!$B$6*12,'Assumptions'!$B$4,0)</x:f>
        <x:v>100</x:v>
      </x:c>
      <x:c r="E75" s="111" t="n">
        <x:f>J74</x:f>
        <x:v>0</x:v>
      </x:c>
      <x:c r="F75" s="111" t="n">
        <x:f>I69*C69/2+I63*C63/2+I57*C57/2+I51*C51/2+I45*C45/2+I39*C39/2+I33*C33/2+I27*C27/2+I21*C21/2+I15*C15/2</x:f>
        <x:v>20.82201968387835</x:v>
      </x:c>
      <x:c r="G75" s="111" t="n">
        <x:f>I15</x:f>
        <x:v>102</x:v>
      </x:c>
      <x:c r="H75" s="111" t="n">
        <x:f>E75+D75+F75+G75</x:f>
        <x:v>222.82201968387835</x:v>
      </x:c>
      <x:c r="I75" s="111" t="n">
        <x:f>H75*(H75&gt;='Assumptions'!$B$9)</x:f>
        <x:v>222.82201968387835</x:v>
      </x:c>
      <x:c r="J75" s="111" t="n">
        <x:f>H75-I75</x:f>
        <x:v>0</x:v>
      </x:c>
      <x:c r="K75" s="111" t="n">
        <x:f>K74+I75-G75</x:f>
        <x:v>7494.725820994649</x:v>
      </x:c>
      <x:c r="L75" s="111" t="n">
        <x:f>J75+K75</x:f>
        <x:v>7494.725820994649</x:v>
      </x:c>
      <x:c r="M75" s="109" t="n">
        <x:f>M74+IF(I75&gt;=5,1,0)</x:f>
        <x:v>68</x:v>
      </x:c>
      <x:c r="N75" s="112" t="str">
        <x:f>IF(I75&gt;0,"Invest cash as new 5-year tranche",IF(J75&gt;0,"Carry cash until £5 threshold",""))</x:f>
        <x:v>Invest cash as new 5-year tranche</x:v>
      </x:c>
      <x:c r="O75" s="113"/>
    </x:row>
    <x:row r="76" ht="24" hidden="0" customHeight="1">
      <x:c r="A76" s="108" t="n">
        <x:v>68</x:v>
      </x:c>
      <x:c r="B76" s="109" t="n">
        <x:f>INT(A76/12)+1</x:f>
        <x:v>6</x:v>
      </x:c>
      <x:c r="C76" s="110" t="n">
        <x:f>INDEX('Assumptions'!$B$12:$B$21,MIN(B76,ROWS('Assumptions'!$B$12:$B$21)))</x:f>
        <x:v>0.03</x:v>
      </x:c>
      <x:c r="D76" s="111" t="n">
        <x:f>IF(A76&lt;'Assumptions'!$B$6*12,'Assumptions'!$B$4,0)</x:f>
        <x:v>100</x:v>
      </x:c>
      <x:c r="E76" s="111" t="n">
        <x:f>J75</x:f>
        <x:v>0</x:v>
      </x:c>
      <x:c r="F76" s="111" t="n">
        <x:f>I70*C70/2+I64*C64/2+I58*C58/2+I52*C52/2+I46*C46/2+I40*C40/2+I34*C34/2+I28*C28/2+I22*C22/2+I16*C16/2</x:f>
        <x:v>20.82201968387835</x:v>
      </x:c>
      <x:c r="G76" s="111" t="n">
        <x:f>I16</x:f>
        <x:v>102</x:v>
      </x:c>
      <x:c r="H76" s="111" t="n">
        <x:f>E76+D76+F76+G76</x:f>
        <x:v>222.82201968387835</x:v>
      </x:c>
      <x:c r="I76" s="111" t="n">
        <x:f>H76*(H76&gt;='Assumptions'!$B$9)</x:f>
        <x:v>222.82201968387835</x:v>
      </x:c>
      <x:c r="J76" s="111" t="n">
        <x:f>H76-I76</x:f>
        <x:v>0</x:v>
      </x:c>
      <x:c r="K76" s="111" t="n">
        <x:f>K75+I76-G76</x:f>
        <x:v>7615.547840678528</x:v>
      </x:c>
      <x:c r="L76" s="111" t="n">
        <x:f>J76+K76</x:f>
        <x:v>7615.547840678528</x:v>
      </x:c>
      <x:c r="M76" s="109" t="n">
        <x:f>M75+IF(I76&gt;=5,1,0)</x:f>
        <x:v>69</x:v>
      </x:c>
      <x:c r="N76" s="112" t="str">
        <x:f>IF(I76&gt;0,"Invest cash as new 5-year tranche",IF(J76&gt;0,"Carry cash until £5 threshold",""))</x:f>
        <x:v>Invest cash as new 5-year tranche</x:v>
      </x:c>
      <x:c r="O76" s="113"/>
    </x:row>
    <x:row r="77" ht="24" hidden="0" customHeight="1">
      <x:c r="A77" s="108" t="n">
        <x:v>69</x:v>
      </x:c>
      <x:c r="B77" s="109" t="n">
        <x:f>INT(A77/12)+1</x:f>
        <x:v>6</x:v>
      </x:c>
      <x:c r="C77" s="110" t="n">
        <x:f>INDEX('Assumptions'!$B$12:$B$21,MIN(B77,ROWS('Assumptions'!$B$12:$B$21)))</x:f>
        <x:v>0.03</x:v>
      </x:c>
      <x:c r="D77" s="111" t="n">
        <x:f>IF(A77&lt;'Assumptions'!$B$6*12,'Assumptions'!$B$4,0)</x:f>
        <x:v>100</x:v>
      </x:c>
      <x:c r="E77" s="111" t="n">
        <x:f>J76</x:f>
        <x:v>0</x:v>
      </x:c>
      <x:c r="F77" s="111" t="n">
        <x:f>I71*C71/2+I65*C65/2+I59*C59/2+I53*C53/2+I47*C47/2+I41*C41/2+I35*C35/2+I29*C29/2+I23*C23/2+I17*C17/2</x:f>
        <x:v>20.82201968387835</x:v>
      </x:c>
      <x:c r="G77" s="111" t="n">
        <x:f>I17</x:f>
        <x:v>102</x:v>
      </x:c>
      <x:c r="H77" s="111" t="n">
        <x:f>E77+D77+F77+G77</x:f>
        <x:v>222.82201968387835</x:v>
      </x:c>
      <x:c r="I77" s="111" t="n">
        <x:f>H77*(H77&gt;='Assumptions'!$B$9)</x:f>
        <x:v>222.82201968387835</x:v>
      </x:c>
      <x:c r="J77" s="111" t="n">
        <x:f>H77-I77</x:f>
        <x:v>0</x:v>
      </x:c>
      <x:c r="K77" s="111" t="n">
        <x:f>K76+I77-G77</x:f>
        <x:v>7736.369860362406</x:v>
      </x:c>
      <x:c r="L77" s="111" t="n">
        <x:f>J77+K77</x:f>
        <x:v>7736.369860362406</x:v>
      </x:c>
      <x:c r="M77" s="109" t="n">
        <x:f>M76+IF(I77&gt;=5,1,0)</x:f>
        <x:v>70</x:v>
      </x:c>
      <x:c r="N77" s="112" t="str">
        <x:f>IF(I77&gt;0,"Invest cash as new 5-year tranche",IF(J77&gt;0,"Carry cash until £5 threshold",""))</x:f>
        <x:v>Invest cash as new 5-year tranche</x:v>
      </x:c>
      <x:c r="O77" s="113"/>
    </x:row>
    <x:row r="78" ht="24" hidden="0" customHeight="1">
      <x:c r="A78" s="108" t="n">
        <x:v>70</x:v>
      </x:c>
      <x:c r="B78" s="109" t="n">
        <x:f>INT(A78/12)+1</x:f>
        <x:v>6</x:v>
      </x:c>
      <x:c r="C78" s="110" t="n">
        <x:f>INDEX('Assumptions'!$B$12:$B$21,MIN(B78,ROWS('Assumptions'!$B$12:$B$21)))</x:f>
        <x:v>0.03</x:v>
      </x:c>
      <x:c r="D78" s="111" t="n">
        <x:f>IF(A78&lt;'Assumptions'!$B$6*12,'Assumptions'!$B$4,0)</x:f>
        <x:v>100</x:v>
      </x:c>
      <x:c r="E78" s="111" t="n">
        <x:f>J77</x:f>
        <x:v>0</x:v>
      </x:c>
      <x:c r="F78" s="111" t="n">
        <x:f>I72*C72/2+I66*C66/2+I60*C60/2+I54*C54/2+I48*C48/2+I42*C42/2+I36*C36/2+I30*C30/2+I24*C24/2+I18*C18/2</x:f>
        <x:v>20.82201968387835</x:v>
      </x:c>
      <x:c r="G78" s="111" t="n">
        <x:f>I18</x:f>
        <x:v>102</x:v>
      </x:c>
      <x:c r="H78" s="111" t="n">
        <x:f>E78+D78+F78+G78</x:f>
        <x:v>222.82201968387835</x:v>
      </x:c>
      <x:c r="I78" s="111" t="n">
        <x:f>H78*(H78&gt;='Assumptions'!$B$9)</x:f>
        <x:v>222.82201968387835</x:v>
      </x:c>
      <x:c r="J78" s="111" t="n">
        <x:f>H78-I78</x:f>
        <x:v>0</x:v>
      </x:c>
      <x:c r="K78" s="111" t="n">
        <x:f>K77+I78-G78</x:f>
        <x:v>7857.1918800462845</x:v>
      </x:c>
      <x:c r="L78" s="111" t="n">
        <x:f>J78+K78</x:f>
        <x:v>7857.1918800462845</x:v>
      </x:c>
      <x:c r="M78" s="109" t="n">
        <x:f>M77+IF(I78&gt;=5,1,0)</x:f>
        <x:v>71</x:v>
      </x:c>
      <x:c r="N78" s="112" t="str">
        <x:f>IF(I78&gt;0,"Invest cash as new 5-year tranche",IF(J78&gt;0,"Carry cash until £5 threshold",""))</x:f>
        <x:v>Invest cash as new 5-year tranche</x:v>
      </x:c>
      <x:c r="O78" s="113"/>
    </x:row>
    <x:row r="79" ht="24" hidden="0" customHeight="1">
      <x:c r="A79" s="108" t="n">
        <x:v>71</x:v>
      </x:c>
      <x:c r="B79" s="109" t="n">
        <x:f>INT(A79/12)+1</x:f>
        <x:v>6</x:v>
      </x:c>
      <x:c r="C79" s="110" t="n">
        <x:f>INDEX('Assumptions'!$B$12:$B$21,MIN(B79,ROWS('Assumptions'!$B$12:$B$21)))</x:f>
        <x:v>0.03</x:v>
      </x:c>
      <x:c r="D79" s="111" t="n">
        <x:f>IF(A79&lt;'Assumptions'!$B$6*12,'Assumptions'!$B$4,0)</x:f>
        <x:v>100</x:v>
      </x:c>
      <x:c r="E79" s="111" t="n">
        <x:f>J78</x:f>
        <x:v>0</x:v>
      </x:c>
      <x:c r="F79" s="111" t="n">
        <x:f>I73*C73/2+I67*C67/2+I61*C61/2+I55*C55/2+I49*C49/2+I43*C43/2+I37*C37/2+I31*C31/2+I25*C25/2+I19*C19/2</x:f>
        <x:v>20.82201968387835</x:v>
      </x:c>
      <x:c r="G79" s="111" t="n">
        <x:f>I19</x:f>
        <x:v>102</x:v>
      </x:c>
      <x:c r="H79" s="111" t="n">
        <x:f>E79+D79+F79+G79</x:f>
        <x:v>222.82201968387835</x:v>
      </x:c>
      <x:c r="I79" s="111" t="n">
        <x:f>H79*(H79&gt;='Assumptions'!$B$9)</x:f>
        <x:v>222.82201968387835</x:v>
      </x:c>
      <x:c r="J79" s="111" t="n">
        <x:f>H79-I79</x:f>
        <x:v>0</x:v>
      </x:c>
      <x:c r="K79" s="111" t="n">
        <x:f>K78+I79-G79</x:f>
        <x:v>7978.013899730163</x:v>
      </x:c>
      <x:c r="L79" s="111" t="n">
        <x:f>J79+K79</x:f>
        <x:v>7978.013899730163</x:v>
      </x:c>
      <x:c r="M79" s="109" t="n">
        <x:f>M78+IF(I79&gt;=5,1,0)</x:f>
        <x:v>72</x:v>
      </x:c>
      <x:c r="N79" s="112" t="str">
        <x:f>IF(I79&gt;0,"Invest cash as new 5-year tranche",IF(J79&gt;0,"Carry cash until £5 threshold",""))</x:f>
        <x:v>Invest cash as new 5-year tranche</x:v>
      </x:c>
      <x:c r="O79" s="113"/>
    </x:row>
    <x:row r="80" ht="24" hidden="0" customHeight="1">
      <x:c r="A80" s="108" t="n">
        <x:v>72</x:v>
      </x:c>
      <x:c r="B80" s="109" t="n">
        <x:f>INT(A80/12)+1</x:f>
        <x:v>7</x:v>
      </x:c>
      <x:c r="C80" s="110" t="n">
        <x:f>INDEX('Assumptions'!$B$12:$B$21,MIN(B80,ROWS('Assumptions'!$B$12:$B$21)))</x:f>
        <x:v>0.03</x:v>
      </x:c>
      <x:c r="D80" s="111" t="n">
        <x:f>IF(A80&lt;'Assumptions'!$B$6*12,'Assumptions'!$B$4,0)</x:f>
        <x:v>100</x:v>
      </x:c>
      <x:c r="E80" s="111" t="n">
        <x:f>J79</x:f>
        <x:v>0</x:v>
      </x:c>
      <x:c r="F80" s="111" t="n">
        <x:f>I74*C74/2+I68*C68/2+I62*C62/2+I56*C56/2+I50*C50/2+I44*C44/2+I38*C38/2+I32*C32/2+I26*C26/2+I20*C20/2</x:f>
        <x:v>22.124349979136525</x:v>
      </x:c>
      <x:c r="G80" s="111" t="n">
        <x:f>I20</x:f>
        <x:v>104.04</x:v>
      </x:c>
      <x:c r="H80" s="111" t="n">
        <x:f>E80+D80+F80+G80</x:f>
        <x:v>226.16434997913655</x:v>
      </x:c>
      <x:c r="I80" s="111" t="n">
        <x:f>H80*(H80&gt;='Assumptions'!$B$9)</x:f>
        <x:v>226.16434997913655</x:v>
      </x:c>
      <x:c r="J80" s="111" t="n">
        <x:f>H80-I80</x:f>
        <x:v>0</x:v>
      </x:c>
      <x:c r="K80" s="111" t="n">
        <x:f>K79+I80-G80</x:f>
        <x:v>8100.138249709299</x:v>
      </x:c>
      <x:c r="L80" s="111" t="n">
        <x:f>J80+K80</x:f>
        <x:v>8100.138249709299</x:v>
      </x:c>
      <x:c r="M80" s="109" t="n">
        <x:f>M79+IF(I80&gt;=5,1,0)</x:f>
        <x:v>73</x:v>
      </x:c>
      <x:c r="N80" s="112" t="str">
        <x:f>IF(I80&gt;0,"Invest cash as new 5-year tranche",IF(J80&gt;0,"Carry cash until £5 threshold",""))</x:f>
        <x:v>Invest cash as new 5-year tranche</x:v>
      </x:c>
      <x:c r="O80" s="113"/>
    </x:row>
    <x:row r="81" ht="24" hidden="0" customHeight="1">
      <x:c r="A81" s="108" t="n">
        <x:v>73</x:v>
      </x:c>
      <x:c r="B81" s="109" t="n">
        <x:f>INT(A81/12)+1</x:f>
        <x:v>7</x:v>
      </x:c>
      <x:c r="C81" s="110" t="n">
        <x:f>INDEX('Assumptions'!$B$12:$B$21,MIN(B81,ROWS('Assumptions'!$B$12:$B$21)))</x:f>
        <x:v>0.03</x:v>
      </x:c>
      <x:c r="D81" s="111" t="n">
        <x:f>IF(A81&lt;'Assumptions'!$B$6*12,'Assumptions'!$B$4,0)</x:f>
        <x:v>100</x:v>
      </x:c>
      <x:c r="E81" s="111" t="n">
        <x:f>J80</x:f>
        <x:v>0</x:v>
      </x:c>
      <x:c r="F81" s="111" t="n">
        <x:f>I75*C75/2+I69*C69/2+I63*C63/2+I57*C57/2+I51*C51/2+I45*C45/2+I39*C39/2+I33*C33/2+I27*C27/2+I21*C21/2</x:f>
        <x:v>22.124349979136525</x:v>
      </x:c>
      <x:c r="G81" s="111" t="n">
        <x:f>I21</x:f>
        <x:v>104.04</x:v>
      </x:c>
      <x:c r="H81" s="111" t="n">
        <x:f>E81+D81+F81+G81</x:f>
        <x:v>226.16434997913655</x:v>
      </x:c>
      <x:c r="I81" s="111" t="n">
        <x:f>H81*(H81&gt;='Assumptions'!$B$9)</x:f>
        <x:v>226.16434997913655</x:v>
      </x:c>
      <x:c r="J81" s="111" t="n">
        <x:f>H81-I81</x:f>
        <x:v>0</x:v>
      </x:c>
      <x:c r="K81" s="111" t="n">
        <x:f>K80+I81-G81</x:f>
        <x:v>8222.262599688434</x:v>
      </x:c>
      <x:c r="L81" s="111" t="n">
        <x:f>J81+K81</x:f>
        <x:v>8222.262599688434</x:v>
      </x:c>
      <x:c r="M81" s="109" t="n">
        <x:f>M80+IF(I81&gt;=5,1,0)</x:f>
        <x:v>74</x:v>
      </x:c>
      <x:c r="N81" s="112" t="str">
        <x:f>IF(I81&gt;0,"Invest cash as new 5-year tranche",IF(J81&gt;0,"Carry cash until £5 threshold",""))</x:f>
        <x:v>Invest cash as new 5-year tranche</x:v>
      </x:c>
      <x:c r="O81" s="113"/>
    </x:row>
    <x:row r="82" ht="24" hidden="0" customHeight="1">
      <x:c r="A82" s="108" t="n">
        <x:v>74</x:v>
      </x:c>
      <x:c r="B82" s="109" t="n">
        <x:f>INT(A82/12)+1</x:f>
        <x:v>7</x:v>
      </x:c>
      <x:c r="C82" s="110" t="n">
        <x:f>INDEX('Assumptions'!$B$12:$B$21,MIN(B82,ROWS('Assumptions'!$B$12:$B$21)))</x:f>
        <x:v>0.03</x:v>
      </x:c>
      <x:c r="D82" s="111" t="n">
        <x:f>IF(A82&lt;'Assumptions'!$B$6*12,'Assumptions'!$B$4,0)</x:f>
        <x:v>100</x:v>
      </x:c>
      <x:c r="E82" s="111" t="n">
        <x:f>J81</x:f>
        <x:v>0</x:v>
      </x:c>
      <x:c r="F82" s="111" t="n">
        <x:f>I76*C76/2+I70*C70/2+I64*C64/2+I58*C58/2+I52*C52/2+I46*C46/2+I40*C40/2+I34*C34/2+I28*C28/2+I22*C22/2</x:f>
        <x:v>22.124349979136525</x:v>
      </x:c>
      <x:c r="G82" s="111" t="n">
        <x:f>I22</x:f>
        <x:v>104.04</x:v>
      </x:c>
      <x:c r="H82" s="111" t="n">
        <x:f>E82+D82+F82+G82</x:f>
        <x:v>226.16434997913655</x:v>
      </x:c>
      <x:c r="I82" s="111" t="n">
        <x:f>H82*(H82&gt;='Assumptions'!$B$9)</x:f>
        <x:v>226.16434997913655</x:v>
      </x:c>
      <x:c r="J82" s="111" t="n">
        <x:f>H82-I82</x:f>
        <x:v>0</x:v>
      </x:c>
      <x:c r="K82" s="111" t="n">
        <x:f>K81+I82-G82</x:f>
        <x:v>8344.38694966757</x:v>
      </x:c>
      <x:c r="L82" s="111" t="n">
        <x:f>J82+K82</x:f>
        <x:v>8344.38694966757</x:v>
      </x:c>
      <x:c r="M82" s="109" t="n">
        <x:f>M81+IF(I82&gt;=5,1,0)</x:f>
        <x:v>75</x:v>
      </x:c>
      <x:c r="N82" s="112" t="str">
        <x:f>IF(I82&gt;0,"Invest cash as new 5-year tranche",IF(J82&gt;0,"Carry cash until £5 threshold",""))</x:f>
        <x:v>Invest cash as new 5-year tranche</x:v>
      </x:c>
      <x:c r="O82" s="113"/>
    </x:row>
    <x:row r="83" ht="24" hidden="0" customHeight="1">
      <x:c r="A83" s="108" t="n">
        <x:v>75</x:v>
      </x:c>
      <x:c r="B83" s="109" t="n">
        <x:f>INT(A83/12)+1</x:f>
        <x:v>7</x:v>
      </x:c>
      <x:c r="C83" s="110" t="n">
        <x:f>INDEX('Assumptions'!$B$12:$B$21,MIN(B83,ROWS('Assumptions'!$B$12:$B$21)))</x:f>
        <x:v>0.03</x:v>
      </x:c>
      <x:c r="D83" s="111" t="n">
        <x:f>IF(A83&lt;'Assumptions'!$B$6*12,'Assumptions'!$B$4,0)</x:f>
        <x:v>100</x:v>
      </x:c>
      <x:c r="E83" s="111" t="n">
        <x:f>J82</x:f>
        <x:v>0</x:v>
      </x:c>
      <x:c r="F83" s="111" t="n">
        <x:f>I77*C77/2+I71*C71/2+I65*C65/2+I59*C59/2+I53*C53/2+I47*C47/2+I41*C41/2+I35*C35/2+I29*C29/2+I23*C23/2</x:f>
        <x:v>22.124349979136525</x:v>
      </x:c>
      <x:c r="G83" s="111" t="n">
        <x:f>I23</x:f>
        <x:v>104.04</x:v>
      </x:c>
      <x:c r="H83" s="111" t="n">
        <x:f>E83+D83+F83+G83</x:f>
        <x:v>226.16434997913655</x:v>
      </x:c>
      <x:c r="I83" s="111" t="n">
        <x:f>H83*(H83&gt;='Assumptions'!$B$9)</x:f>
        <x:v>226.16434997913655</x:v>
      </x:c>
      <x:c r="J83" s="111" t="n">
        <x:f>H83-I83</x:f>
        <x:v>0</x:v>
      </x:c>
      <x:c r="K83" s="111" t="n">
        <x:f>K82+I83-G83</x:f>
        <x:v>8466.511299646707</x:v>
      </x:c>
      <x:c r="L83" s="111" t="n">
        <x:f>J83+K83</x:f>
        <x:v>8466.511299646707</x:v>
      </x:c>
      <x:c r="M83" s="109" t="n">
        <x:f>M82+IF(I83&gt;=5,1,0)</x:f>
        <x:v>76</x:v>
      </x:c>
      <x:c r="N83" s="112" t="str">
        <x:f>IF(I83&gt;0,"Invest cash as new 5-year tranche",IF(J83&gt;0,"Carry cash until £5 threshold",""))</x:f>
        <x:v>Invest cash as new 5-year tranche</x:v>
      </x:c>
      <x:c r="O83" s="113"/>
    </x:row>
    <x:row r="84" ht="24" hidden="0" customHeight="1">
      <x:c r="A84" s="108" t="n">
        <x:v>76</x:v>
      </x:c>
      <x:c r="B84" s="109" t="n">
        <x:f>INT(A84/12)+1</x:f>
        <x:v>7</x:v>
      </x:c>
      <x:c r="C84" s="110" t="n">
        <x:f>INDEX('Assumptions'!$B$12:$B$21,MIN(B84,ROWS('Assumptions'!$B$12:$B$21)))</x:f>
        <x:v>0.03</x:v>
      </x:c>
      <x:c r="D84" s="111" t="n">
        <x:f>IF(A84&lt;'Assumptions'!$B$6*12,'Assumptions'!$B$4,0)</x:f>
        <x:v>100</x:v>
      </x:c>
      <x:c r="E84" s="111" t="n">
        <x:f>J83</x:f>
        <x:v>0</x:v>
      </x:c>
      <x:c r="F84" s="111" t="n">
        <x:f>I78*C78/2+I72*C72/2+I66*C66/2+I60*C60/2+I54*C54/2+I48*C48/2+I42*C42/2+I36*C36/2+I30*C30/2+I24*C24/2</x:f>
        <x:v>22.124349979136525</x:v>
      </x:c>
      <x:c r="G84" s="111" t="n">
        <x:f>I24</x:f>
        <x:v>104.04</x:v>
      </x:c>
      <x:c r="H84" s="111" t="n">
        <x:f>E84+D84+F84+G84</x:f>
        <x:v>226.16434997913655</x:v>
      </x:c>
      <x:c r="I84" s="111" t="n">
        <x:f>H84*(H84&gt;='Assumptions'!$B$9)</x:f>
        <x:v>226.16434997913655</x:v>
      </x:c>
      <x:c r="J84" s="111" t="n">
        <x:f>H84-I84</x:f>
        <x:v>0</x:v>
      </x:c>
      <x:c r="K84" s="111" t="n">
        <x:f>K83+I84-G84</x:f>
        <x:v>8588.635649625843</x:v>
      </x:c>
      <x:c r="L84" s="111" t="n">
        <x:f>J84+K84</x:f>
        <x:v>8588.635649625843</x:v>
      </x:c>
      <x:c r="M84" s="109" t="n">
        <x:f>M83+IF(I84&gt;=5,1,0)</x:f>
        <x:v>77</x:v>
      </x:c>
      <x:c r="N84" s="112" t="str">
        <x:f>IF(I84&gt;0,"Invest cash as new 5-year tranche",IF(J84&gt;0,"Carry cash until £5 threshold",""))</x:f>
        <x:v>Invest cash as new 5-year tranche</x:v>
      </x:c>
      <x:c r="O84" s="113"/>
    </x:row>
    <x:row r="85" ht="24" hidden="0" customHeight="1">
      <x:c r="A85" s="108" t="n">
        <x:v>77</x:v>
      </x:c>
      <x:c r="B85" s="109" t="n">
        <x:f>INT(A85/12)+1</x:f>
        <x:v>7</x:v>
      </x:c>
      <x:c r="C85" s="110" t="n">
        <x:f>INDEX('Assumptions'!$B$12:$B$21,MIN(B85,ROWS('Assumptions'!$B$12:$B$21)))</x:f>
        <x:v>0.03</x:v>
      </x:c>
      <x:c r="D85" s="111" t="n">
        <x:f>IF(A85&lt;'Assumptions'!$B$6*12,'Assumptions'!$B$4,0)</x:f>
        <x:v>100</x:v>
      </x:c>
      <x:c r="E85" s="111" t="n">
        <x:f>J84</x:f>
        <x:v>0</x:v>
      </x:c>
      <x:c r="F85" s="111" t="n">
        <x:f>I79*C79/2+I73*C73/2+I67*C67/2+I61*C61/2+I55*C55/2+I49*C49/2+I43*C43/2+I37*C37/2+I31*C31/2+I25*C25/2</x:f>
        <x:v>22.124349979136525</x:v>
      </x:c>
      <x:c r="G85" s="111" t="n">
        <x:f>I25</x:f>
        <x:v>104.04</x:v>
      </x:c>
      <x:c r="H85" s="111" t="n">
        <x:f>E85+D85+F85+G85</x:f>
        <x:v>226.16434997913655</x:v>
      </x:c>
      <x:c r="I85" s="111" t="n">
        <x:f>H85*(H85&gt;='Assumptions'!$B$9)</x:f>
        <x:v>226.16434997913655</x:v>
      </x:c>
      <x:c r="J85" s="111" t="n">
        <x:f>H85-I85</x:f>
        <x:v>0</x:v>
      </x:c>
      <x:c r="K85" s="111" t="n">
        <x:f>K84+I85-G85</x:f>
        <x:v>8710.75999960498</x:v>
      </x:c>
      <x:c r="L85" s="111" t="n">
        <x:f>J85+K85</x:f>
        <x:v>8710.75999960498</x:v>
      </x:c>
      <x:c r="M85" s="109" t="n">
        <x:f>M84+IF(I85&gt;=5,1,0)</x:f>
        <x:v>78</x:v>
      </x:c>
      <x:c r="N85" s="112" t="str">
        <x:f>IF(I85&gt;0,"Invest cash as new 5-year tranche",IF(J85&gt;0,"Carry cash until £5 threshold",""))</x:f>
        <x:v>Invest cash as new 5-year tranche</x:v>
      </x:c>
      <x:c r="O85" s="113"/>
    </x:row>
    <x:row r="86" ht="24" hidden="0" customHeight="1">
      <x:c r="A86" s="108" t="n">
        <x:v>78</x:v>
      </x:c>
      <x:c r="B86" s="109" t="n">
        <x:f>INT(A86/12)+1</x:f>
        <x:v>7</x:v>
      </x:c>
      <x:c r="C86" s="110" t="n">
        <x:f>INDEX('Assumptions'!$B$12:$B$21,MIN(B86,ROWS('Assumptions'!$B$12:$B$21)))</x:f>
        <x:v>0.03</x:v>
      </x:c>
      <x:c r="D86" s="111" t="n">
        <x:f>IF(A86&lt;'Assumptions'!$B$6*12,'Assumptions'!$B$4,0)</x:f>
        <x:v>100</x:v>
      </x:c>
      <x:c r="E86" s="111" t="n">
        <x:f>J85</x:f>
        <x:v>0</x:v>
      </x:c>
      <x:c r="F86" s="111" t="n">
        <x:f>I80*C80/2+I74*C74/2+I68*C68/2+I62*C62/2+I56*C56/2+I50*C50/2+I44*C44/2+I38*C38/2+I32*C32/2+I26*C26/2</x:f>
        <x:v>23.540055228823576</x:v>
      </x:c>
      <x:c r="G86" s="111" t="n">
        <x:f>I26</x:f>
        <x:v>106.01676</x:v>
      </x:c>
      <x:c r="H86" s="111" t="n">
        <x:f>E86+D86+F86+G86</x:f>
        <x:v>229.55681522882358</x:v>
      </x:c>
      <x:c r="I86" s="111" t="n">
        <x:f>H86*(H86&gt;='Assumptions'!$B$9)</x:f>
        <x:v>229.55681522882358</x:v>
      </x:c>
      <x:c r="J86" s="111" t="n">
        <x:f>H86-I86</x:f>
        <x:v>0</x:v>
      </x:c>
      <x:c r="K86" s="111" t="n">
        <x:f>K85+I86-G86</x:f>
        <x:v>8834.300054833802</x:v>
      </x:c>
      <x:c r="L86" s="111" t="n">
        <x:f>J86+K86</x:f>
        <x:v>8834.300054833802</x:v>
      </x:c>
      <x:c r="M86" s="109" t="n">
        <x:f>M85+IF(I86&gt;=5,1,0)</x:f>
        <x:v>79</x:v>
      </x:c>
      <x:c r="N86" s="112" t="str">
        <x:f>IF(I86&gt;0,"Invest cash as new 5-year tranche",IF(J86&gt;0,"Carry cash until £5 threshold",""))</x:f>
        <x:v>Invest cash as new 5-year tranche</x:v>
      </x:c>
      <x:c r="O86" s="113"/>
    </x:row>
    <x:row r="87" ht="24" hidden="0" customHeight="1">
      <x:c r="A87" s="108" t="n">
        <x:v>79</x:v>
      </x:c>
      <x:c r="B87" s="109" t="n">
        <x:f>INT(A87/12)+1</x:f>
        <x:v>7</x:v>
      </x:c>
      <x:c r="C87" s="110" t="n">
        <x:f>INDEX('Assumptions'!$B$12:$B$21,MIN(B87,ROWS('Assumptions'!$B$12:$B$21)))</x:f>
        <x:v>0.03</x:v>
      </x:c>
      <x:c r="D87" s="111" t="n">
        <x:f>IF(A87&lt;'Assumptions'!$B$6*12,'Assumptions'!$B$4,0)</x:f>
        <x:v>100</x:v>
      </x:c>
      <x:c r="E87" s="111" t="n">
        <x:f>J86</x:f>
        <x:v>0</x:v>
      </x:c>
      <x:c r="F87" s="111" t="n">
        <x:f>I81*C81/2+I75*C75/2+I69*C69/2+I63*C63/2+I57*C57/2+I51*C51/2+I45*C45/2+I39*C39/2+I33*C33/2+I27*C27/2</x:f>
        <x:v>23.540055228823576</x:v>
      </x:c>
      <x:c r="G87" s="111" t="n">
        <x:f>I27</x:f>
        <x:v>106.01676</x:v>
      </x:c>
      <x:c r="H87" s="111" t="n">
        <x:f>E87+D87+F87+G87</x:f>
        <x:v>229.55681522882358</x:v>
      </x:c>
      <x:c r="I87" s="111" t="n">
        <x:f>H87*(H87&gt;='Assumptions'!$B$9)</x:f>
        <x:v>229.55681522882358</x:v>
      </x:c>
      <x:c r="J87" s="111" t="n">
        <x:f>H87-I87</x:f>
        <x:v>0</x:v>
      </x:c>
      <x:c r="K87" s="111" t="n">
        <x:f>K86+I87-G87</x:f>
        <x:v>8957.840110062625</x:v>
      </x:c>
      <x:c r="L87" s="111" t="n">
        <x:f>J87+K87</x:f>
        <x:v>8957.840110062625</x:v>
      </x:c>
      <x:c r="M87" s="109" t="n">
        <x:f>M86+IF(I87&gt;=5,1,0)</x:f>
        <x:v>80</x:v>
      </x:c>
      <x:c r="N87" s="112" t="str">
        <x:f>IF(I87&gt;0,"Invest cash as new 5-year tranche",IF(J87&gt;0,"Carry cash until £5 threshold",""))</x:f>
        <x:v>Invest cash as new 5-year tranche</x:v>
      </x:c>
      <x:c r="O87" s="113"/>
    </x:row>
    <x:row r="88" ht="24" hidden="0" customHeight="1">
      <x:c r="A88" s="108" t="n">
        <x:v>80</x:v>
      </x:c>
      <x:c r="B88" s="109" t="n">
        <x:f>INT(A88/12)+1</x:f>
        <x:v>7</x:v>
      </x:c>
      <x:c r="C88" s="110" t="n">
        <x:f>INDEX('Assumptions'!$B$12:$B$21,MIN(B88,ROWS('Assumptions'!$B$12:$B$21)))</x:f>
        <x:v>0.03</x:v>
      </x:c>
      <x:c r="D88" s="111" t="n">
        <x:f>IF(A88&lt;'Assumptions'!$B$6*12,'Assumptions'!$B$4,0)</x:f>
        <x:v>100</x:v>
      </x:c>
      <x:c r="E88" s="111" t="n">
        <x:f>J87</x:f>
        <x:v>0</x:v>
      </x:c>
      <x:c r="F88" s="111" t="n">
        <x:f>I82*C82/2+I76*C76/2+I70*C70/2+I64*C64/2+I58*C58/2+I52*C52/2+I46*C46/2+I40*C40/2+I34*C34/2+I28*C28/2</x:f>
        <x:v>23.540055228823576</x:v>
      </x:c>
      <x:c r="G88" s="111" t="n">
        <x:f>I28</x:f>
        <x:v>106.01676</x:v>
      </x:c>
      <x:c r="H88" s="111" t="n">
        <x:f>E88+D88+F88+G88</x:f>
        <x:v>229.55681522882358</x:v>
      </x:c>
      <x:c r="I88" s="111" t="n">
        <x:f>H88*(H88&gt;='Assumptions'!$B$9)</x:f>
        <x:v>229.55681522882358</x:v>
      </x:c>
      <x:c r="J88" s="111" t="n">
        <x:f>H88-I88</x:f>
        <x:v>0</x:v>
      </x:c>
      <x:c r="K88" s="111" t="n">
        <x:f>K87+I88-G88</x:f>
        <x:v>9081.380165291448</x:v>
      </x:c>
      <x:c r="L88" s="111" t="n">
        <x:f>J88+K88</x:f>
        <x:v>9081.380165291448</x:v>
      </x:c>
      <x:c r="M88" s="109" t="n">
        <x:f>M87+IF(I88&gt;=5,1,0)</x:f>
        <x:v>81</x:v>
      </x:c>
      <x:c r="N88" s="112" t="str">
        <x:f>IF(I88&gt;0,"Invest cash as new 5-year tranche",IF(J88&gt;0,"Carry cash until £5 threshold",""))</x:f>
        <x:v>Invest cash as new 5-year tranche</x:v>
      </x:c>
      <x:c r="O88" s="113"/>
    </x:row>
    <x:row r="89" ht="24" hidden="0" customHeight="1">
      <x:c r="A89" s="108" t="n">
        <x:v>81</x:v>
      </x:c>
      <x:c r="B89" s="109" t="n">
        <x:f>INT(A89/12)+1</x:f>
        <x:v>7</x:v>
      </x:c>
      <x:c r="C89" s="110" t="n">
        <x:f>INDEX('Assumptions'!$B$12:$B$21,MIN(B89,ROWS('Assumptions'!$B$12:$B$21)))</x:f>
        <x:v>0.03</x:v>
      </x:c>
      <x:c r="D89" s="111" t="n">
        <x:f>IF(A89&lt;'Assumptions'!$B$6*12,'Assumptions'!$B$4,0)</x:f>
        <x:v>100</x:v>
      </x:c>
      <x:c r="E89" s="111" t="n">
        <x:f>J88</x:f>
        <x:v>0</x:v>
      </x:c>
      <x:c r="F89" s="111" t="n">
        <x:f>I83*C83/2+I77*C77/2+I71*C71/2+I65*C65/2+I59*C59/2+I53*C53/2+I47*C47/2+I41*C41/2+I35*C35/2+I29*C29/2</x:f>
        <x:v>23.540055228823576</x:v>
      </x:c>
      <x:c r="G89" s="111" t="n">
        <x:f>I29</x:f>
        <x:v>106.01676</x:v>
      </x:c>
      <x:c r="H89" s="111" t="n">
        <x:f>E89+D89+F89+G89</x:f>
        <x:v>229.55681522882358</x:v>
      </x:c>
      <x:c r="I89" s="111" t="n">
        <x:f>H89*(H89&gt;='Assumptions'!$B$9)</x:f>
        <x:v>229.55681522882358</x:v>
      </x:c>
      <x:c r="J89" s="111" t="n">
        <x:f>H89-I89</x:f>
        <x:v>0</x:v>
      </x:c>
      <x:c r="K89" s="111" t="n">
        <x:f>K88+I89-G89</x:f>
        <x:v>9204.920220520271</x:v>
      </x:c>
      <x:c r="L89" s="111" t="n">
        <x:f>J89+K89</x:f>
        <x:v>9204.920220520271</x:v>
      </x:c>
      <x:c r="M89" s="109" t="n">
        <x:f>M88+IF(I89&gt;=5,1,0)</x:f>
        <x:v>82</x:v>
      </x:c>
      <x:c r="N89" s="112" t="str">
        <x:f>IF(I89&gt;0,"Invest cash as new 5-year tranche",IF(J89&gt;0,"Carry cash until £5 threshold",""))</x:f>
        <x:v>Invest cash as new 5-year tranche</x:v>
      </x:c>
      <x:c r="O89" s="113"/>
    </x:row>
    <x:row r="90" ht="24" hidden="0" customHeight="1">
      <x:c r="A90" s="108" t="n">
        <x:v>82</x:v>
      </x:c>
      <x:c r="B90" s="109" t="n">
        <x:f>INT(A90/12)+1</x:f>
        <x:v>7</x:v>
      </x:c>
      <x:c r="C90" s="110" t="n">
        <x:f>INDEX('Assumptions'!$B$12:$B$21,MIN(B90,ROWS('Assumptions'!$B$12:$B$21)))</x:f>
        <x:v>0.03</x:v>
      </x:c>
      <x:c r="D90" s="111" t="n">
        <x:f>IF(A90&lt;'Assumptions'!$B$6*12,'Assumptions'!$B$4,0)</x:f>
        <x:v>100</x:v>
      </x:c>
      <x:c r="E90" s="111" t="n">
        <x:f>J89</x:f>
        <x:v>0</x:v>
      </x:c>
      <x:c r="F90" s="111" t="n">
        <x:f>I84*C84/2+I78*C78/2+I72*C72/2+I66*C66/2+I60*C60/2+I54*C54/2+I48*C48/2+I42*C42/2+I36*C36/2+I30*C30/2</x:f>
        <x:v>23.540055228823576</x:v>
      </x:c>
      <x:c r="G90" s="111" t="n">
        <x:f>I30</x:f>
        <x:v>106.01676</x:v>
      </x:c>
      <x:c r="H90" s="111" t="n">
        <x:f>E90+D90+F90+G90</x:f>
        <x:v>229.55681522882358</x:v>
      </x:c>
      <x:c r="I90" s="111" t="n">
        <x:f>H90*(H90&gt;='Assumptions'!$B$9)</x:f>
        <x:v>229.55681522882358</x:v>
      </x:c>
      <x:c r="J90" s="111" t="n">
        <x:f>H90-I90</x:f>
        <x:v>0</x:v>
      </x:c>
      <x:c r="K90" s="111" t="n">
        <x:f>K89+I90-G90</x:f>
        <x:v>9328.460275749094</x:v>
      </x:c>
      <x:c r="L90" s="111" t="n">
        <x:f>J90+K90</x:f>
        <x:v>9328.460275749094</x:v>
      </x:c>
      <x:c r="M90" s="109" t="n">
        <x:f>M89+IF(I90&gt;=5,1,0)</x:f>
        <x:v>83</x:v>
      </x:c>
      <x:c r="N90" s="112" t="str">
        <x:f>IF(I90&gt;0,"Invest cash as new 5-year tranche",IF(J90&gt;0,"Carry cash until £5 threshold",""))</x:f>
        <x:v>Invest cash as new 5-year tranche</x:v>
      </x:c>
      <x:c r="O90" s="113"/>
    </x:row>
    <x:row r="91" ht="24" hidden="0" customHeight="1">
      <x:c r="A91" s="108" t="n">
        <x:v>83</x:v>
      </x:c>
      <x:c r="B91" s="109" t="n">
        <x:f>INT(A91/12)+1</x:f>
        <x:v>7</x:v>
      </x:c>
      <x:c r="C91" s="110" t="n">
        <x:f>INDEX('Assumptions'!$B$12:$B$21,MIN(B91,ROWS('Assumptions'!$B$12:$B$21)))</x:f>
        <x:v>0.03</x:v>
      </x:c>
      <x:c r="D91" s="111" t="n">
        <x:f>IF(A91&lt;'Assumptions'!$B$6*12,'Assumptions'!$B$4,0)</x:f>
        <x:v>100</x:v>
      </x:c>
      <x:c r="E91" s="111" t="n">
        <x:f>J90</x:f>
        <x:v>0</x:v>
      </x:c>
      <x:c r="F91" s="111" t="n">
        <x:f>I85*C85/2+I79*C79/2+I73*C73/2+I67*C67/2+I61*C61/2+I55*C55/2+I49*C49/2+I43*C43/2+I37*C37/2+I31*C31/2</x:f>
        <x:v>23.540055228823576</x:v>
      </x:c>
      <x:c r="G91" s="111" t="n">
        <x:f>I31</x:f>
        <x:v>106.01676</x:v>
      </x:c>
      <x:c r="H91" s="111" t="n">
        <x:f>E91+D91+F91+G91</x:f>
        <x:v>229.55681522882358</x:v>
      </x:c>
      <x:c r="I91" s="111" t="n">
        <x:f>H91*(H91&gt;='Assumptions'!$B$9)</x:f>
        <x:v>229.55681522882358</x:v>
      </x:c>
      <x:c r="J91" s="111" t="n">
        <x:f>H91-I91</x:f>
        <x:v>0</x:v>
      </x:c>
      <x:c r="K91" s="111" t="n">
        <x:f>K90+I91-G91</x:f>
        <x:v>9452.000330977917</x:v>
      </x:c>
      <x:c r="L91" s="111" t="n">
        <x:f>J91+K91</x:f>
        <x:v>9452.000330977917</x:v>
      </x:c>
      <x:c r="M91" s="109" t="n">
        <x:f>M90+IF(I91&gt;=5,1,0)</x:f>
        <x:v>84</x:v>
      </x:c>
      <x:c r="N91" s="112" t="str">
        <x:f>IF(I91&gt;0,"Invest cash as new 5-year tranche",IF(J91&gt;0,"Carry cash until £5 threshold",""))</x:f>
        <x:v>Invest cash as new 5-year tranche</x:v>
      </x:c>
      <x:c r="O91" s="113"/>
    </x:row>
    <x:row r="92" ht="24" hidden="0" customHeight="1">
      <x:c r="A92" s="108" t="n">
        <x:v>84</x:v>
      </x:c>
      <x:c r="B92" s="109" t="n">
        <x:f>INT(A92/12)+1</x:f>
        <x:v>8</x:v>
      </x:c>
      <x:c r="C92" s="110" t="n">
        <x:f>INDEX('Assumptions'!$B$12:$B$21,MIN(B92,ROWS('Assumptions'!$B$12:$B$21)))</x:f>
        <x:v>0.03</x:v>
      </x:c>
      <x:c r="D92" s="111" t="n">
        <x:f>IF(A92&lt;'Assumptions'!$B$6*12,'Assumptions'!$B$4,0)</x:f>
        <x:v>100</x:v>
      </x:c>
      <x:c r="E92" s="111" t="n">
        <x:f>J91</x:f>
        <x:v>0</x:v>
      </x:c>
      <x:c r="F92" s="111" t="n">
        <x:f>I86*C86/2+I80*C80/2+I74*C74/2+I68*C68/2+I62*C62/2+I56*C56/2+I50*C50/2+I44*C44/2+I38*C38/2+I32*C32/2</x:f>
        <x:v>24.969089017255925</x:v>
      </x:c>
      <x:c r="G92" s="111" t="n">
        <x:f>I32</x:f>
        <x:v>108.03107844</x:v>
      </x:c>
      <x:c r="H92" s="111" t="n">
        <x:f>E92+D92+F92+G92</x:f>
        <x:v>233.00016745725594</x:v>
      </x:c>
      <x:c r="I92" s="111" t="n">
        <x:f>H92*(H92&gt;='Assumptions'!$B$9)</x:f>
        <x:v>233.00016745725594</x:v>
      </x:c>
      <x:c r="J92" s="111" t="n">
        <x:f>H92-I92</x:f>
        <x:v>0</x:v>
      </x:c>
      <x:c r="K92" s="111" t="n">
        <x:f>K91+I92-G92</x:f>
        <x:v>9576.969419995172</x:v>
      </x:c>
      <x:c r="L92" s="111" t="n">
        <x:f>J92+K92</x:f>
        <x:v>9576.969419995172</x:v>
      </x:c>
      <x:c r="M92" s="109" t="n">
        <x:f>M91+IF(I92&gt;=5,1,0)</x:f>
        <x:v>85</x:v>
      </x:c>
      <x:c r="N92" s="112" t="str">
        <x:f>IF(I92&gt;0,"Invest cash as new 5-year tranche",IF(J92&gt;0,"Carry cash until £5 threshold",""))</x:f>
        <x:v>Invest cash as new 5-year tranche</x:v>
      </x:c>
      <x:c r="O92" s="113"/>
    </x:row>
    <x:row r="93" ht="24" hidden="0" customHeight="1">
      <x:c r="A93" s="108" t="n">
        <x:v>85</x:v>
      </x:c>
      <x:c r="B93" s="109" t="n">
        <x:f>INT(A93/12)+1</x:f>
        <x:v>8</x:v>
      </x:c>
      <x:c r="C93" s="110" t="n">
        <x:f>INDEX('Assumptions'!$B$12:$B$21,MIN(B93,ROWS('Assumptions'!$B$12:$B$21)))</x:f>
        <x:v>0.03</x:v>
      </x:c>
      <x:c r="D93" s="111" t="n">
        <x:f>IF(A93&lt;'Assumptions'!$B$6*12,'Assumptions'!$B$4,0)</x:f>
        <x:v>100</x:v>
      </x:c>
      <x:c r="E93" s="111" t="n">
        <x:f>J92</x:f>
        <x:v>0</x:v>
      </x:c>
      <x:c r="F93" s="111" t="n">
        <x:f>I87*C87/2+I81*C81/2+I75*C75/2+I69*C69/2+I63*C63/2+I57*C57/2+I51*C51/2+I45*C45/2+I39*C39/2+I33*C33/2</x:f>
        <x:v>24.969089017255925</x:v>
      </x:c>
      <x:c r="G93" s="111" t="n">
        <x:f>I33</x:f>
        <x:v>108.03107844</x:v>
      </x:c>
      <x:c r="H93" s="111" t="n">
        <x:f>E93+D93+F93+G93</x:f>
        <x:v>233.00016745725594</x:v>
      </x:c>
      <x:c r="I93" s="111" t="n">
        <x:f>H93*(H93&gt;='Assumptions'!$B$9)</x:f>
        <x:v>233.00016745725594</x:v>
      </x:c>
      <x:c r="J93" s="111" t="n">
        <x:f>H93-I93</x:f>
        <x:v>0</x:v>
      </x:c>
      <x:c r="K93" s="111" t="n">
        <x:f>K92+I93-G93</x:f>
        <x:v>9701.938509012427</x:v>
      </x:c>
      <x:c r="L93" s="111" t="n">
        <x:f>J93+K93</x:f>
        <x:v>9701.938509012427</x:v>
      </x:c>
      <x:c r="M93" s="109" t="n">
        <x:f>M92+IF(I93&gt;=5,1,0)</x:f>
        <x:v>86</x:v>
      </x:c>
      <x:c r="N93" s="112" t="str">
        <x:f>IF(I93&gt;0,"Invest cash as new 5-year tranche",IF(J93&gt;0,"Carry cash until £5 threshold",""))</x:f>
        <x:v>Invest cash as new 5-year tranche</x:v>
      </x:c>
      <x:c r="O93" s="113"/>
    </x:row>
    <x:row r="94" ht="24" hidden="0" customHeight="1">
      <x:c r="A94" s="108" t="n">
        <x:v>86</x:v>
      </x:c>
      <x:c r="B94" s="109" t="n">
        <x:f>INT(A94/12)+1</x:f>
        <x:v>8</x:v>
      </x:c>
      <x:c r="C94" s="110" t="n">
        <x:f>INDEX('Assumptions'!$B$12:$B$21,MIN(B94,ROWS('Assumptions'!$B$12:$B$21)))</x:f>
        <x:v>0.03</x:v>
      </x:c>
      <x:c r="D94" s="111" t="n">
        <x:f>IF(A94&lt;'Assumptions'!$B$6*12,'Assumptions'!$B$4,0)</x:f>
        <x:v>100</x:v>
      </x:c>
      <x:c r="E94" s="111" t="n">
        <x:f>J93</x:f>
        <x:v>0</x:v>
      </x:c>
      <x:c r="F94" s="111" t="n">
        <x:f>I88*C88/2+I82*C82/2+I76*C76/2+I70*C70/2+I64*C64/2+I58*C58/2+I52*C52/2+I46*C46/2+I40*C40/2+I34*C34/2</x:f>
        <x:v>24.969089017255925</x:v>
      </x:c>
      <x:c r="G94" s="111" t="n">
        <x:f>I34</x:f>
        <x:v>108.03107844</x:v>
      </x:c>
      <x:c r="H94" s="111" t="n">
        <x:f>E94+D94+F94+G94</x:f>
        <x:v>233.00016745725594</x:v>
      </x:c>
      <x:c r="I94" s="111" t="n">
        <x:f>H94*(H94&gt;='Assumptions'!$B$9)</x:f>
        <x:v>233.00016745725594</x:v>
      </x:c>
      <x:c r="J94" s="111" t="n">
        <x:f>H94-I94</x:f>
        <x:v>0</x:v>
      </x:c>
      <x:c r="K94" s="111" t="n">
        <x:f>K93+I94-G94</x:f>
        <x:v>9826.907598029682</x:v>
      </x:c>
      <x:c r="L94" s="111" t="n">
        <x:f>J94+K94</x:f>
        <x:v>9826.907598029682</x:v>
      </x:c>
      <x:c r="M94" s="109" t="n">
        <x:f>M93+IF(I94&gt;=5,1,0)</x:f>
        <x:v>87</x:v>
      </x:c>
      <x:c r="N94" s="112" t="str">
        <x:f>IF(I94&gt;0,"Invest cash as new 5-year tranche",IF(J94&gt;0,"Carry cash until £5 threshold",""))</x:f>
        <x:v>Invest cash as new 5-year tranche</x:v>
      </x:c>
      <x:c r="O94" s="113"/>
    </x:row>
    <x:row r="95" ht="24" hidden="0" customHeight="1">
      <x:c r="A95" s="108" t="n">
        <x:v>87</x:v>
      </x:c>
      <x:c r="B95" s="109" t="n">
        <x:f>INT(A95/12)+1</x:f>
        <x:v>8</x:v>
      </x:c>
      <x:c r="C95" s="110" t="n">
        <x:f>INDEX('Assumptions'!$B$12:$B$21,MIN(B95,ROWS('Assumptions'!$B$12:$B$21)))</x:f>
        <x:v>0.03</x:v>
      </x:c>
      <x:c r="D95" s="111" t="n">
        <x:f>IF(A95&lt;'Assumptions'!$B$6*12,'Assumptions'!$B$4,0)</x:f>
        <x:v>100</x:v>
      </x:c>
      <x:c r="E95" s="111" t="n">
        <x:f>J94</x:f>
        <x:v>0</x:v>
      </x:c>
      <x:c r="F95" s="111" t="n">
        <x:f>I89*C89/2+I83*C83/2+I77*C77/2+I71*C71/2+I65*C65/2+I59*C59/2+I53*C53/2+I47*C47/2+I41*C41/2+I35*C35/2</x:f>
        <x:v>24.969089017255925</x:v>
      </x:c>
      <x:c r="G95" s="111" t="n">
        <x:f>I35</x:f>
        <x:v>108.03107844</x:v>
      </x:c>
      <x:c r="H95" s="111" t="n">
        <x:f>E95+D95+F95+G95</x:f>
        <x:v>233.00016745725594</x:v>
      </x:c>
      <x:c r="I95" s="111" t="n">
        <x:f>H95*(H95&gt;='Assumptions'!$B$9)</x:f>
        <x:v>233.00016745725594</x:v>
      </x:c>
      <x:c r="J95" s="111" t="n">
        <x:f>H95-I95</x:f>
        <x:v>0</x:v>
      </x:c>
      <x:c r="K95" s="111" t="n">
        <x:f>K94+I95-G95</x:f>
        <x:v>9951.876687046937</x:v>
      </x:c>
      <x:c r="L95" s="111" t="n">
        <x:f>J95+K95</x:f>
        <x:v>9951.876687046937</x:v>
      </x:c>
      <x:c r="M95" s="109" t="n">
        <x:f>M94+IF(I95&gt;=5,1,0)</x:f>
        <x:v>88</x:v>
      </x:c>
      <x:c r="N95" s="112" t="str">
        <x:f>IF(I95&gt;0,"Invest cash as new 5-year tranche",IF(J95&gt;0,"Carry cash until £5 threshold",""))</x:f>
        <x:v>Invest cash as new 5-year tranche</x:v>
      </x:c>
      <x:c r="O95" s="113"/>
    </x:row>
    <x:row r="96" ht="24" hidden="0" customHeight="1">
      <x:c r="A96" s="108" t="n">
        <x:v>88</x:v>
      </x:c>
      <x:c r="B96" s="109" t="n">
        <x:f>INT(A96/12)+1</x:f>
        <x:v>8</x:v>
      </x:c>
      <x:c r="C96" s="110" t="n">
        <x:f>INDEX('Assumptions'!$B$12:$B$21,MIN(B96,ROWS('Assumptions'!$B$12:$B$21)))</x:f>
        <x:v>0.03</x:v>
      </x:c>
      <x:c r="D96" s="111" t="n">
        <x:f>IF(A96&lt;'Assumptions'!$B$6*12,'Assumptions'!$B$4,0)</x:f>
        <x:v>100</x:v>
      </x:c>
      <x:c r="E96" s="111" t="n">
        <x:f>J95</x:f>
        <x:v>0</x:v>
      </x:c>
      <x:c r="F96" s="111" t="n">
        <x:f>I90*C90/2+I84*C84/2+I78*C78/2+I72*C72/2+I66*C66/2+I60*C60/2+I54*C54/2+I48*C48/2+I42*C42/2+I36*C36/2</x:f>
        <x:v>24.969089017255925</x:v>
      </x:c>
      <x:c r="G96" s="111" t="n">
        <x:f>I36</x:f>
        <x:v>108.03107844</x:v>
      </x:c>
      <x:c r="H96" s="111" t="n">
        <x:f>E96+D96+F96+G96</x:f>
        <x:v>233.00016745725594</x:v>
      </x:c>
      <x:c r="I96" s="111" t="n">
        <x:f>H96*(H96&gt;='Assumptions'!$B$9)</x:f>
        <x:v>233.00016745725594</x:v>
      </x:c>
      <x:c r="J96" s="111" t="n">
        <x:f>H96-I96</x:f>
        <x:v>0</x:v>
      </x:c>
      <x:c r="K96" s="111" t="n">
        <x:f>K95+I96-G96</x:f>
        <x:v>10076.845776064192</x:v>
      </x:c>
      <x:c r="L96" s="111" t="n">
        <x:f>J96+K96</x:f>
        <x:v>10076.845776064192</x:v>
      </x:c>
      <x:c r="M96" s="109" t="n">
        <x:f>M95+IF(I96&gt;=5,1,0)</x:f>
        <x:v>89</x:v>
      </x:c>
      <x:c r="N96" s="112" t="str">
        <x:f>IF(I96&gt;0,"Invest cash as new 5-year tranche",IF(J96&gt;0,"Carry cash until £5 threshold",""))</x:f>
        <x:v>Invest cash as new 5-year tranche</x:v>
      </x:c>
      <x:c r="O96" s="113"/>
    </x:row>
    <x:row r="97" ht="24" hidden="0" customHeight="1">
      <x:c r="A97" s="108" t="n">
        <x:v>89</x:v>
      </x:c>
      <x:c r="B97" s="109" t="n">
        <x:f>INT(A97/12)+1</x:f>
        <x:v>8</x:v>
      </x:c>
      <x:c r="C97" s="110" t="n">
        <x:f>INDEX('Assumptions'!$B$12:$B$21,MIN(B97,ROWS('Assumptions'!$B$12:$B$21)))</x:f>
        <x:v>0.03</x:v>
      </x:c>
      <x:c r="D97" s="111" t="n">
        <x:f>IF(A97&lt;'Assumptions'!$B$6*12,'Assumptions'!$B$4,0)</x:f>
        <x:v>100</x:v>
      </x:c>
      <x:c r="E97" s="111" t="n">
        <x:f>J96</x:f>
        <x:v>0</x:v>
      </x:c>
      <x:c r="F97" s="111" t="n">
        <x:f>I91*C91/2+I85*C85/2+I79*C79/2+I73*C73/2+I67*C67/2+I61*C61/2+I55*C55/2+I49*C49/2+I43*C43/2+I37*C37/2</x:f>
        <x:v>24.969089017255925</x:v>
      </x:c>
      <x:c r="G97" s="111" t="n">
        <x:f>I37</x:f>
        <x:v>108.03107844</x:v>
      </x:c>
      <x:c r="H97" s="111" t="n">
        <x:f>E97+D97+F97+G97</x:f>
        <x:v>233.00016745725594</x:v>
      </x:c>
      <x:c r="I97" s="111" t="n">
        <x:f>H97*(H97&gt;='Assumptions'!$B$9)</x:f>
        <x:v>233.00016745725594</x:v>
      </x:c>
      <x:c r="J97" s="111" t="n">
        <x:f>H97-I97</x:f>
        <x:v>0</x:v>
      </x:c>
      <x:c r="K97" s="111" t="n">
        <x:f>K96+I97-G97</x:f>
        <x:v>10201.814865081447</x:v>
      </x:c>
      <x:c r="L97" s="111" t="n">
        <x:f>J97+K97</x:f>
        <x:v>10201.814865081447</x:v>
      </x:c>
      <x:c r="M97" s="109" t="n">
        <x:f>M96+IF(I97&gt;=5,1,0)</x:f>
        <x:v>90</x:v>
      </x:c>
      <x:c r="N97" s="112" t="str">
        <x:f>IF(I97&gt;0,"Invest cash as new 5-year tranche",IF(J97&gt;0,"Carry cash until £5 threshold",""))</x:f>
        <x:v>Invest cash as new 5-year tranche</x:v>
      </x:c>
      <x:c r="O97" s="113"/>
    </x:row>
    <x:row r="98" ht="24" hidden="0" customHeight="1">
      <x:c r="A98" s="108" t="n">
        <x:v>90</x:v>
      </x:c>
      <x:c r="B98" s="109" t="n">
        <x:f>INT(A98/12)+1</x:f>
        <x:v>8</x:v>
      </x:c>
      <x:c r="C98" s="110" t="n">
        <x:f>INDEX('Assumptions'!$B$12:$B$21,MIN(B98,ROWS('Assumptions'!$B$12:$B$21)))</x:f>
        <x:v>0.03</x:v>
      </x:c>
      <x:c r="D98" s="111" t="n">
        <x:f>IF(A98&lt;'Assumptions'!$B$6*12,'Assumptions'!$B$4,0)</x:f>
        <x:v>100</x:v>
      </x:c>
      <x:c r="E98" s="111" t="n">
        <x:f>J97</x:f>
        <x:v>0</x:v>
      </x:c>
      <x:c r="F98" s="111" t="n">
        <x:f>I92*C92/2+I86*C86/2+I80*C80/2+I74*C74/2+I68*C68/2+I62*C62/2+I56*C56/2+I50*C50/2+I44*C44/2+I38*C38/2</x:f>
        <x:v>26.519532117194768</x:v>
      </x:c>
      <x:c r="G98" s="111" t="n">
        <x:f>I38</x:f>
        <x:v>109.97563785192</x:v>
      </x:c>
      <x:c r="H98" s="111" t="n">
        <x:f>E98+D98+F98+G98</x:f>
        <x:v>236.49516996911478</x:v>
      </x:c>
      <x:c r="I98" s="111" t="n">
        <x:f>H98*(H98&gt;='Assumptions'!$B$9)</x:f>
        <x:v>236.49516996911478</x:v>
      </x:c>
      <x:c r="J98" s="111" t="n">
        <x:f>H98-I98</x:f>
        <x:v>0</x:v>
      </x:c>
      <x:c r="K98" s="111" t="n">
        <x:f>K97+I98-G98</x:f>
        <x:v>10328.334397198643</x:v>
      </x:c>
      <x:c r="L98" s="111" t="n">
        <x:f>J98+K98</x:f>
        <x:v>10328.334397198643</x:v>
      </x:c>
      <x:c r="M98" s="109" t="n">
        <x:f>M97+IF(I98&gt;=5,1,0)</x:f>
        <x:v>91</x:v>
      </x:c>
      <x:c r="N98" s="112" t="str">
        <x:f>IF(I98&gt;0,"Invest cash as new 5-year tranche",IF(J98&gt;0,"Carry cash until £5 threshold",""))</x:f>
        <x:v>Invest cash as new 5-year tranche</x:v>
      </x:c>
      <x:c r="O98" s="113"/>
    </x:row>
    <x:row r="99" ht="24" hidden="0" customHeight="1">
      <x:c r="A99" s="108" t="n">
        <x:v>91</x:v>
      </x:c>
      <x:c r="B99" s="109" t="n">
        <x:f>INT(A99/12)+1</x:f>
        <x:v>8</x:v>
      </x:c>
      <x:c r="C99" s="110" t="n">
        <x:f>INDEX('Assumptions'!$B$12:$B$21,MIN(B99,ROWS('Assumptions'!$B$12:$B$21)))</x:f>
        <x:v>0.03</x:v>
      </x:c>
      <x:c r="D99" s="111" t="n">
        <x:f>IF(A99&lt;'Assumptions'!$B$6*12,'Assumptions'!$B$4,0)</x:f>
        <x:v>100</x:v>
      </x:c>
      <x:c r="E99" s="111" t="n">
        <x:f>J98</x:f>
        <x:v>0</x:v>
      </x:c>
      <x:c r="F99" s="111" t="n">
        <x:f>I93*C93/2+I87*C87/2+I81*C81/2+I75*C75/2+I69*C69/2+I63*C63/2+I57*C57/2+I51*C51/2+I45*C45/2+I39*C39/2</x:f>
        <x:v>26.519532117194768</x:v>
      </x:c>
      <x:c r="G99" s="111" t="n">
        <x:f>I39</x:f>
        <x:v>109.97563785192</x:v>
      </x:c>
      <x:c r="H99" s="111" t="n">
        <x:f>E99+D99+F99+G99</x:f>
        <x:v>236.49516996911478</x:v>
      </x:c>
      <x:c r="I99" s="111" t="n">
        <x:f>H99*(H99&gt;='Assumptions'!$B$9)</x:f>
        <x:v>236.49516996911478</x:v>
      </x:c>
      <x:c r="J99" s="111" t="n">
        <x:f>H99-I99</x:f>
        <x:v>0</x:v>
      </x:c>
      <x:c r="K99" s="111" t="n">
        <x:f>K98+I99-G99</x:f>
        <x:v>10454.85392931584</x:v>
      </x:c>
      <x:c r="L99" s="111" t="n">
        <x:f>J99+K99</x:f>
        <x:v>10454.85392931584</x:v>
      </x:c>
      <x:c r="M99" s="109" t="n">
        <x:f>M98+IF(I99&gt;=5,1,0)</x:f>
        <x:v>92</x:v>
      </x:c>
      <x:c r="N99" s="112" t="str">
        <x:f>IF(I99&gt;0,"Invest cash as new 5-year tranche",IF(J99&gt;0,"Carry cash until £5 threshold",""))</x:f>
        <x:v>Invest cash as new 5-year tranche</x:v>
      </x:c>
      <x:c r="O99" s="113"/>
    </x:row>
    <x:row r="100" ht="24" hidden="0" customHeight="1">
      <x:c r="A100" s="108" t="n">
        <x:v>92</x:v>
      </x:c>
      <x:c r="B100" s="109" t="n">
        <x:f>INT(A100/12)+1</x:f>
        <x:v>8</x:v>
      </x:c>
      <x:c r="C100" s="110" t="n">
        <x:f>INDEX('Assumptions'!$B$12:$B$21,MIN(B100,ROWS('Assumptions'!$B$12:$B$21)))</x:f>
        <x:v>0.03</x:v>
      </x:c>
      <x:c r="D100" s="111" t="n">
        <x:f>IF(A100&lt;'Assumptions'!$B$6*12,'Assumptions'!$B$4,0)</x:f>
        <x:v>100</x:v>
      </x:c>
      <x:c r="E100" s="111" t="n">
        <x:f>J99</x:f>
        <x:v>0</x:v>
      </x:c>
      <x:c r="F100" s="111" t="n">
        <x:f>I94*C94/2+I88*C88/2+I82*C82/2+I76*C76/2+I70*C70/2+I64*C64/2+I58*C58/2+I52*C52/2+I46*C46/2+I40*C40/2</x:f>
        <x:v>26.519532117194768</x:v>
      </x:c>
      <x:c r="G100" s="111" t="n">
        <x:f>I40</x:f>
        <x:v>109.97563785192</x:v>
      </x:c>
      <x:c r="H100" s="111" t="n">
        <x:f>E100+D100+F100+G100</x:f>
        <x:v>236.49516996911478</x:v>
      </x:c>
      <x:c r="I100" s="111" t="n">
        <x:f>H100*(H100&gt;='Assumptions'!$B$9)</x:f>
        <x:v>236.49516996911478</x:v>
      </x:c>
      <x:c r="J100" s="111" t="n">
        <x:f>H100-I100</x:f>
        <x:v>0</x:v>
      </x:c>
      <x:c r="K100" s="111" t="n">
        <x:f>K99+I100-G100</x:f>
        <x:v>10581.373461433035</x:v>
      </x:c>
      <x:c r="L100" s="111" t="n">
        <x:f>J100+K100</x:f>
        <x:v>10581.373461433035</x:v>
      </x:c>
      <x:c r="M100" s="109" t="n">
        <x:f>M99+IF(I100&gt;=5,1,0)</x:f>
        <x:v>93</x:v>
      </x:c>
      <x:c r="N100" s="112" t="str">
        <x:f>IF(I100&gt;0,"Invest cash as new 5-year tranche",IF(J100&gt;0,"Carry cash until £5 threshold",""))</x:f>
        <x:v>Invest cash as new 5-year tranche</x:v>
      </x:c>
      <x:c r="O100" s="113"/>
    </x:row>
    <x:row r="101" ht="24" hidden="0" customHeight="1">
      <x:c r="A101" s="108" t="n">
        <x:v>93</x:v>
      </x:c>
      <x:c r="B101" s="109" t="n">
        <x:f>INT(A101/12)+1</x:f>
        <x:v>8</x:v>
      </x:c>
      <x:c r="C101" s="110" t="n">
        <x:f>INDEX('Assumptions'!$B$12:$B$21,MIN(B101,ROWS('Assumptions'!$B$12:$B$21)))</x:f>
        <x:v>0.03</x:v>
      </x:c>
      <x:c r="D101" s="111" t="n">
        <x:f>IF(A101&lt;'Assumptions'!$B$6*12,'Assumptions'!$B$4,0)</x:f>
        <x:v>100</x:v>
      </x:c>
      <x:c r="E101" s="111" t="n">
        <x:f>J100</x:f>
        <x:v>0</x:v>
      </x:c>
      <x:c r="F101" s="111" t="n">
        <x:f>I95*C95/2+I89*C89/2+I83*C83/2+I77*C77/2+I71*C71/2+I65*C65/2+I59*C59/2+I53*C53/2+I47*C47/2+I41*C41/2</x:f>
        <x:v>26.519532117194768</x:v>
      </x:c>
      <x:c r="G101" s="111" t="n">
        <x:f>I41</x:f>
        <x:v>109.97563785192</x:v>
      </x:c>
      <x:c r="H101" s="111" t="n">
        <x:f>E101+D101+F101+G101</x:f>
        <x:v>236.49516996911478</x:v>
      </x:c>
      <x:c r="I101" s="111" t="n">
        <x:f>H101*(H101&gt;='Assumptions'!$B$9)</x:f>
        <x:v>236.49516996911478</x:v>
      </x:c>
      <x:c r="J101" s="111" t="n">
        <x:f>H101-I101</x:f>
        <x:v>0</x:v>
      </x:c>
      <x:c r="K101" s="111" t="n">
        <x:f>K100+I101-G101</x:f>
        <x:v>10707.892993550231</x:v>
      </x:c>
      <x:c r="L101" s="111" t="n">
        <x:f>J101+K101</x:f>
        <x:v>10707.892993550231</x:v>
      </x:c>
      <x:c r="M101" s="109" t="n">
        <x:f>M100+IF(I101&gt;=5,1,0)</x:f>
        <x:v>94</x:v>
      </x:c>
      <x:c r="N101" s="112" t="str">
        <x:f>IF(I101&gt;0,"Invest cash as new 5-year tranche",IF(J101&gt;0,"Carry cash until £5 threshold",""))</x:f>
        <x:v>Invest cash as new 5-year tranche</x:v>
      </x:c>
      <x:c r="O101" s="113"/>
    </x:row>
    <x:row r="102" ht="24" hidden="0" customHeight="1">
      <x:c r="A102" s="108" t="n">
        <x:v>94</x:v>
      </x:c>
      <x:c r="B102" s="109" t="n">
        <x:f>INT(A102/12)+1</x:f>
        <x:v>8</x:v>
      </x:c>
      <x:c r="C102" s="110" t="n">
        <x:f>INDEX('Assumptions'!$B$12:$B$21,MIN(B102,ROWS('Assumptions'!$B$12:$B$21)))</x:f>
        <x:v>0.03</x:v>
      </x:c>
      <x:c r="D102" s="111" t="n">
        <x:f>IF(A102&lt;'Assumptions'!$B$6*12,'Assumptions'!$B$4,0)</x:f>
        <x:v>100</x:v>
      </x:c>
      <x:c r="E102" s="111" t="n">
        <x:f>J101</x:f>
        <x:v>0</x:v>
      </x:c>
      <x:c r="F102" s="111" t="n">
        <x:f>I96*C96/2+I90*C90/2+I84*C84/2+I78*C78/2+I72*C72/2+I66*C66/2+I60*C60/2+I54*C54/2+I48*C48/2+I42*C42/2</x:f>
        <x:v>26.519532117194768</x:v>
      </x:c>
      <x:c r="G102" s="111" t="n">
        <x:f>I42</x:f>
        <x:v>109.97563785192</x:v>
      </x:c>
      <x:c r="H102" s="111" t="n">
        <x:f>E102+D102+F102+G102</x:f>
        <x:v>236.49516996911478</x:v>
      </x:c>
      <x:c r="I102" s="111" t="n">
        <x:f>H102*(H102&gt;='Assumptions'!$B$9)</x:f>
        <x:v>236.49516996911478</x:v>
      </x:c>
      <x:c r="J102" s="111" t="n">
        <x:f>H102-I102</x:f>
        <x:v>0</x:v>
      </x:c>
      <x:c r="K102" s="111" t="n">
        <x:f>K101+I102-G102</x:f>
        <x:v>10834.412525667427</x:v>
      </x:c>
      <x:c r="L102" s="111" t="n">
        <x:f>J102+K102</x:f>
        <x:v>10834.412525667427</x:v>
      </x:c>
      <x:c r="M102" s="109" t="n">
        <x:f>M101+IF(I102&gt;=5,1,0)</x:f>
        <x:v>95</x:v>
      </x:c>
      <x:c r="N102" s="112" t="str">
        <x:f>IF(I102&gt;0,"Invest cash as new 5-year tranche",IF(J102&gt;0,"Carry cash until £5 threshold",""))</x:f>
        <x:v>Invest cash as new 5-year tranche</x:v>
      </x:c>
      <x:c r="O102" s="113"/>
    </x:row>
    <x:row r="103" ht="24" hidden="0" customHeight="1">
      <x:c r="A103" s="108" t="n">
        <x:v>95</x:v>
      </x:c>
      <x:c r="B103" s="109" t="n">
        <x:f>INT(A103/12)+1</x:f>
        <x:v>8</x:v>
      </x:c>
      <x:c r="C103" s="110" t="n">
        <x:f>INDEX('Assumptions'!$B$12:$B$21,MIN(B103,ROWS('Assumptions'!$B$12:$B$21)))</x:f>
        <x:v>0.03</x:v>
      </x:c>
      <x:c r="D103" s="111" t="n">
        <x:f>IF(A103&lt;'Assumptions'!$B$6*12,'Assumptions'!$B$4,0)</x:f>
        <x:v>100</x:v>
      </x:c>
      <x:c r="E103" s="111" t="n">
        <x:f>J102</x:f>
        <x:v>0</x:v>
      </x:c>
      <x:c r="F103" s="111" t="n">
        <x:f>I97*C97/2+I91*C91/2+I85*C85/2+I79*C79/2+I73*C73/2+I67*C67/2+I61*C61/2+I55*C55/2+I49*C49/2+I43*C43/2</x:f>
        <x:v>26.519532117194768</x:v>
      </x:c>
      <x:c r="G103" s="111" t="n">
        <x:f>I43</x:f>
        <x:v>109.97563785192</x:v>
      </x:c>
      <x:c r="H103" s="111" t="n">
        <x:f>E103+D103+F103+G103</x:f>
        <x:v>236.49516996911478</x:v>
      </x:c>
      <x:c r="I103" s="111" t="n">
        <x:f>H103*(H103&gt;='Assumptions'!$B$9)</x:f>
        <x:v>236.49516996911478</x:v>
      </x:c>
      <x:c r="J103" s="111" t="n">
        <x:f>H103-I103</x:f>
        <x:v>0</x:v>
      </x:c>
      <x:c r="K103" s="111" t="n">
        <x:f>K102+I103-G103</x:f>
        <x:v>10960.932057784623</x:v>
      </x:c>
      <x:c r="L103" s="111" t="n">
        <x:f>J103+K103</x:f>
        <x:v>10960.932057784623</x:v>
      </x:c>
      <x:c r="M103" s="109" t="n">
        <x:f>M102+IF(I103&gt;=5,1,0)</x:f>
        <x:v>96</x:v>
      </x:c>
      <x:c r="N103" s="112" t="str">
        <x:f>IF(I103&gt;0,"Invest cash as new 5-year tranche",IF(J103&gt;0,"Carry cash until £5 threshold",""))</x:f>
        <x:v>Invest cash as new 5-year tranche</x:v>
      </x:c>
      <x:c r="O103" s="113"/>
    </x:row>
    <x:row r="104" ht="24" hidden="0" customHeight="1">
      <x:c r="A104" s="108" t="n">
        <x:v>96</x:v>
      </x:c>
      <x:c r="B104" s="109" t="n">
        <x:f>INT(A104/12)+1</x:f>
        <x:v>9</x:v>
      </x:c>
      <x:c r="C104" s="110" t="n">
        <x:f>INDEX('Assumptions'!$B$12:$B$21,MIN(B104,ROWS('Assumptions'!$B$12:$B$21)))</x:f>
        <x:v>0.03</x:v>
      </x:c>
      <x:c r="D104" s="111" t="n">
        <x:f>IF(A104&lt;'Assumptions'!$B$6*12,'Assumptions'!$B$4,0)</x:f>
        <x:v>100</x:v>
      </x:c>
      <x:c r="E104" s="111" t="n">
        <x:f>J103</x:f>
        <x:v>0</x:v>
      </x:c>
      <x:c r="F104" s="111" t="n">
        <x:f>I98*C98/2+I92*C92/2+I86*C86/2+I80*C80/2+I74*C74/2+I68*C68/2+I62*C62/2+I56*C56/2+I50*C50/2+I44*C44/2</x:f>
        <x:v>28.08739818539693</x:v>
      </x:c>
      <x:c r="G104" s="111" t="n">
        <x:f>I44</x:f>
        <x:v>111.95519933325455</x:v>
      </x:c>
      <x:c r="H104" s="111" t="n">
        <x:f>E104+D104+F104+G104</x:f>
        <x:v>240.04259751865146</x:v>
      </x:c>
      <x:c r="I104" s="111" t="n">
        <x:f>H104*(H104&gt;='Assumptions'!$B$9)</x:f>
        <x:v>240.04259751865146</x:v>
      </x:c>
      <x:c r="J104" s="111" t="n">
        <x:f>H104-I104</x:f>
        <x:v>0</x:v>
      </x:c>
      <x:c r="K104" s="111" t="n">
        <x:f>K103+I104-G104</x:f>
        <x:v>11089.01945597002</x:v>
      </x:c>
      <x:c r="L104" s="111" t="n">
        <x:f>J104+K104</x:f>
        <x:v>11089.01945597002</x:v>
      </x:c>
      <x:c r="M104" s="109" t="n">
        <x:f>M103+IF(I104&gt;=5,1,0)</x:f>
        <x:v>97</x:v>
      </x:c>
      <x:c r="N104" s="112" t="str">
        <x:f>IF(I104&gt;0,"Invest cash as new 5-year tranche",IF(J104&gt;0,"Carry cash until £5 threshold",""))</x:f>
        <x:v>Invest cash as new 5-year tranche</x:v>
      </x:c>
      <x:c r="O104" s="113"/>
    </x:row>
    <x:row r="105" ht="24" hidden="0" customHeight="1">
      <x:c r="A105" s="108" t="n">
        <x:v>97</x:v>
      </x:c>
      <x:c r="B105" s="109" t="n">
        <x:f>INT(A105/12)+1</x:f>
        <x:v>9</x:v>
      </x:c>
      <x:c r="C105" s="110" t="n">
        <x:f>INDEX('Assumptions'!$B$12:$B$21,MIN(B105,ROWS('Assumptions'!$B$12:$B$21)))</x:f>
        <x:v>0.03</x:v>
      </x:c>
      <x:c r="D105" s="111" t="n">
        <x:f>IF(A105&lt;'Assumptions'!$B$6*12,'Assumptions'!$B$4,0)</x:f>
        <x:v>100</x:v>
      </x:c>
      <x:c r="E105" s="111" t="n">
        <x:f>J104</x:f>
        <x:v>0</x:v>
      </x:c>
      <x:c r="F105" s="111" t="n">
        <x:f>I99*C99/2+I93*C93/2+I87*C87/2+I81*C81/2+I75*C75/2+I69*C69/2+I63*C63/2+I57*C57/2+I51*C51/2+I45*C45/2</x:f>
        <x:v>28.08739818539693</x:v>
      </x:c>
      <x:c r="G105" s="111" t="n">
        <x:f>I45</x:f>
        <x:v>111.95519933325455</x:v>
      </x:c>
      <x:c r="H105" s="111" t="n">
        <x:f>E105+D105+F105+G105</x:f>
        <x:v>240.04259751865146</x:v>
      </x:c>
      <x:c r="I105" s="111" t="n">
        <x:f>H105*(H105&gt;='Assumptions'!$B$9)</x:f>
        <x:v>240.04259751865146</x:v>
      </x:c>
      <x:c r="J105" s="111" t="n">
        <x:f>H105-I105</x:f>
        <x:v>0</x:v>
      </x:c>
      <x:c r="K105" s="111" t="n">
        <x:f>K104+I105-G105</x:f>
        <x:v>11217.106854155416</x:v>
      </x:c>
      <x:c r="L105" s="111" t="n">
        <x:f>J105+K105</x:f>
        <x:v>11217.106854155416</x:v>
      </x:c>
      <x:c r="M105" s="109" t="n">
        <x:f>M104+IF(I105&gt;=5,1,0)</x:f>
        <x:v>98</x:v>
      </x:c>
      <x:c r="N105" s="112" t="str">
        <x:f>IF(I105&gt;0,"Invest cash as new 5-year tranche",IF(J105&gt;0,"Carry cash until £5 threshold",""))</x:f>
        <x:v>Invest cash as new 5-year tranche</x:v>
      </x:c>
      <x:c r="O105" s="113"/>
    </x:row>
    <x:row r="106" ht="24" hidden="0" customHeight="1">
      <x:c r="A106" s="108" t="n">
        <x:v>98</x:v>
      </x:c>
      <x:c r="B106" s="109" t="n">
        <x:f>INT(A106/12)+1</x:f>
        <x:v>9</x:v>
      </x:c>
      <x:c r="C106" s="110" t="n">
        <x:f>INDEX('Assumptions'!$B$12:$B$21,MIN(B106,ROWS('Assumptions'!$B$12:$B$21)))</x:f>
        <x:v>0.03</x:v>
      </x:c>
      <x:c r="D106" s="111" t="n">
        <x:f>IF(A106&lt;'Assumptions'!$B$6*12,'Assumptions'!$B$4,0)</x:f>
        <x:v>100</x:v>
      </x:c>
      <x:c r="E106" s="111" t="n">
        <x:f>J105</x:f>
        <x:v>0</x:v>
      </x:c>
      <x:c r="F106" s="111" t="n">
        <x:f>I100*C100/2+I94*C94/2+I88*C88/2+I82*C82/2+I76*C76/2+I70*C70/2+I64*C64/2+I58*C58/2+I52*C52/2+I46*C46/2</x:f>
        <x:v>28.08739818539693</x:v>
      </x:c>
      <x:c r="G106" s="111" t="n">
        <x:f>I46</x:f>
        <x:v>111.95519933325455</x:v>
      </x:c>
      <x:c r="H106" s="111" t="n">
        <x:f>E106+D106+F106+G106</x:f>
        <x:v>240.04259751865146</x:v>
      </x:c>
      <x:c r="I106" s="111" t="n">
        <x:f>H106*(H106&gt;='Assumptions'!$B$9)</x:f>
        <x:v>240.04259751865146</x:v>
      </x:c>
      <x:c r="J106" s="111" t="n">
        <x:f>H106-I106</x:f>
        <x:v>0</x:v>
      </x:c>
      <x:c r="K106" s="111" t="n">
        <x:f>K105+I106-G106</x:f>
        <x:v>11345.194252340812</x:v>
      </x:c>
      <x:c r="L106" s="111" t="n">
        <x:f>J106+K106</x:f>
        <x:v>11345.194252340812</x:v>
      </x:c>
      <x:c r="M106" s="109" t="n">
        <x:f>M105+IF(I106&gt;=5,1,0)</x:f>
        <x:v>99</x:v>
      </x:c>
      <x:c r="N106" s="112" t="str">
        <x:f>IF(I106&gt;0,"Invest cash as new 5-year tranche",IF(J106&gt;0,"Carry cash until £5 threshold",""))</x:f>
        <x:v>Invest cash as new 5-year tranche</x:v>
      </x:c>
      <x:c r="O106" s="113"/>
    </x:row>
    <x:row r="107" ht="24" hidden="0" customHeight="1">
      <x:c r="A107" s="108" t="n">
        <x:v>99</x:v>
      </x:c>
      <x:c r="B107" s="109" t="n">
        <x:f>INT(A107/12)+1</x:f>
        <x:v>9</x:v>
      </x:c>
      <x:c r="C107" s="110" t="n">
        <x:f>INDEX('Assumptions'!$B$12:$B$21,MIN(B107,ROWS('Assumptions'!$B$12:$B$21)))</x:f>
        <x:v>0.03</x:v>
      </x:c>
      <x:c r="D107" s="111" t="n">
        <x:f>IF(A107&lt;'Assumptions'!$B$6*12,'Assumptions'!$B$4,0)</x:f>
        <x:v>100</x:v>
      </x:c>
      <x:c r="E107" s="111" t="n">
        <x:f>J106</x:f>
        <x:v>0</x:v>
      </x:c>
      <x:c r="F107" s="111" t="n">
        <x:f>I101*C101/2+I95*C95/2+I89*C89/2+I83*C83/2+I77*C77/2+I71*C71/2+I65*C65/2+I59*C59/2+I53*C53/2+I47*C47/2</x:f>
        <x:v>28.08739818539693</x:v>
      </x:c>
      <x:c r="G107" s="111" t="n">
        <x:f>I47</x:f>
        <x:v>111.95519933325455</x:v>
      </x:c>
      <x:c r="H107" s="111" t="n">
        <x:f>E107+D107+F107+G107</x:f>
        <x:v>240.04259751865146</x:v>
      </x:c>
      <x:c r="I107" s="111" t="n">
        <x:f>H107*(H107&gt;='Assumptions'!$B$9)</x:f>
        <x:v>240.04259751865146</x:v>
      </x:c>
      <x:c r="J107" s="111" t="n">
        <x:f>H107-I107</x:f>
        <x:v>0</x:v>
      </x:c>
      <x:c r="K107" s="111" t="n">
        <x:f>K106+I107-G107</x:f>
        <x:v>11473.281650526209</x:v>
      </x:c>
      <x:c r="L107" s="111" t="n">
        <x:f>J107+K107</x:f>
        <x:v>11473.281650526209</x:v>
      </x:c>
      <x:c r="M107" s="109" t="n">
        <x:f>M106+IF(I107&gt;=5,1,0)</x:f>
        <x:v>100</x:v>
      </x:c>
      <x:c r="N107" s="112" t="str">
        <x:f>IF(I107&gt;0,"Invest cash as new 5-year tranche",IF(J107&gt;0,"Carry cash until £5 threshold",""))</x:f>
        <x:v>Invest cash as new 5-year tranche</x:v>
      </x:c>
      <x:c r="O107" s="113"/>
    </x:row>
    <x:row r="108" ht="24" hidden="0" customHeight="1">
      <x:c r="A108" s="108" t="n">
        <x:v>100</x:v>
      </x:c>
      <x:c r="B108" s="109" t="n">
        <x:f>INT(A108/12)+1</x:f>
        <x:v>9</x:v>
      </x:c>
      <x:c r="C108" s="110" t="n">
        <x:f>INDEX('Assumptions'!$B$12:$B$21,MIN(B108,ROWS('Assumptions'!$B$12:$B$21)))</x:f>
        <x:v>0.03</x:v>
      </x:c>
      <x:c r="D108" s="111" t="n">
        <x:f>IF(A108&lt;'Assumptions'!$B$6*12,'Assumptions'!$B$4,0)</x:f>
        <x:v>100</x:v>
      </x:c>
      <x:c r="E108" s="111" t="n">
        <x:f>J107</x:f>
        <x:v>0</x:v>
      </x:c>
      <x:c r="F108" s="111" t="n">
        <x:f>I102*C102/2+I96*C96/2+I90*C90/2+I84*C84/2+I78*C78/2+I72*C72/2+I66*C66/2+I60*C60/2+I54*C54/2+I48*C48/2</x:f>
        <x:v>28.08739818539693</x:v>
      </x:c>
      <x:c r="G108" s="111" t="n">
        <x:f>I48</x:f>
        <x:v>111.95519933325455</x:v>
      </x:c>
      <x:c r="H108" s="111" t="n">
        <x:f>E108+D108+F108+G108</x:f>
        <x:v>240.04259751865146</x:v>
      </x:c>
      <x:c r="I108" s="111" t="n">
        <x:f>H108*(H108&gt;='Assumptions'!$B$9)</x:f>
        <x:v>240.04259751865146</x:v>
      </x:c>
      <x:c r="J108" s="111" t="n">
        <x:f>H108-I108</x:f>
        <x:v>0</x:v>
      </x:c>
      <x:c r="K108" s="111" t="n">
        <x:f>K107+I108-G108</x:f>
        <x:v>11601.369048711606</x:v>
      </x:c>
      <x:c r="L108" s="111" t="n">
        <x:f>J108+K108</x:f>
        <x:v>11601.369048711606</x:v>
      </x:c>
      <x:c r="M108" s="109" t="n">
        <x:f>M107+IF(I108&gt;=5,1,0)</x:f>
        <x:v>101</x:v>
      </x:c>
      <x:c r="N108" s="112" t="str">
        <x:f>IF(I108&gt;0,"Invest cash as new 5-year tranche",IF(J108&gt;0,"Carry cash until £5 threshold",""))</x:f>
        <x:v>Invest cash as new 5-year tranche</x:v>
      </x:c>
      <x:c r="O108" s="113"/>
    </x:row>
    <x:row r="109" ht="24" hidden="0" customHeight="1">
      <x:c r="A109" s="108" t="n">
        <x:v>101</x:v>
      </x:c>
      <x:c r="B109" s="109" t="n">
        <x:f>INT(A109/12)+1</x:f>
        <x:v>9</x:v>
      </x:c>
      <x:c r="C109" s="110" t="n">
        <x:f>INDEX('Assumptions'!$B$12:$B$21,MIN(B109,ROWS('Assumptions'!$B$12:$B$21)))</x:f>
        <x:v>0.03</x:v>
      </x:c>
      <x:c r="D109" s="111" t="n">
        <x:f>IF(A109&lt;'Assumptions'!$B$6*12,'Assumptions'!$B$4,0)</x:f>
        <x:v>100</x:v>
      </x:c>
      <x:c r="E109" s="111" t="n">
        <x:f>J108</x:f>
        <x:v>0</x:v>
      </x:c>
      <x:c r="F109" s="111" t="n">
        <x:f>I103*C103/2+I97*C97/2+I91*C91/2+I85*C85/2+I79*C79/2+I73*C73/2+I67*C67/2+I61*C61/2+I55*C55/2+I49*C49/2</x:f>
        <x:v>28.08739818539693</x:v>
      </x:c>
      <x:c r="G109" s="111" t="n">
        <x:f>I49</x:f>
        <x:v>111.95519933325455</x:v>
      </x:c>
      <x:c r="H109" s="111" t="n">
        <x:f>E109+D109+F109+G109</x:f>
        <x:v>240.04259751865146</x:v>
      </x:c>
      <x:c r="I109" s="111" t="n">
        <x:f>H109*(H109&gt;='Assumptions'!$B$9)</x:f>
        <x:v>240.04259751865146</x:v>
      </x:c>
      <x:c r="J109" s="111" t="n">
        <x:f>H109-I109</x:f>
        <x:v>0</x:v>
      </x:c>
      <x:c r="K109" s="111" t="n">
        <x:f>K108+I109-G109</x:f>
        <x:v>11729.456446897002</x:v>
      </x:c>
      <x:c r="L109" s="111" t="n">
        <x:f>J109+K109</x:f>
        <x:v>11729.456446897002</x:v>
      </x:c>
      <x:c r="M109" s="109" t="n">
        <x:f>M108+IF(I109&gt;=5,1,0)</x:f>
        <x:v>102</x:v>
      </x:c>
      <x:c r="N109" s="112" t="str">
        <x:f>IF(I109&gt;0,"Invest cash as new 5-year tranche",IF(J109&gt;0,"Carry cash until £5 threshold",""))</x:f>
        <x:v>Invest cash as new 5-year tranche</x:v>
      </x:c>
      <x:c r="O109" s="113"/>
    </x:row>
    <x:row r="110" ht="24" hidden="0" customHeight="1">
      <x:c r="A110" s="108" t="n">
        <x:v>102</x:v>
      </x:c>
      <x:c r="B110" s="109" t="n">
        <x:f>INT(A110/12)+1</x:f>
        <x:v>9</x:v>
      </x:c>
      <x:c r="C110" s="110" t="n">
        <x:f>INDEX('Assumptions'!$B$12:$B$21,MIN(B110,ROWS('Assumptions'!$B$12:$B$21)))</x:f>
        <x:v>0.03</x:v>
      </x:c>
      <x:c r="D110" s="111" t="n">
        <x:f>IF(A110&lt;'Assumptions'!$B$6*12,'Assumptions'!$B$4,0)</x:f>
        <x:v>100</x:v>
      </x:c>
      <x:c r="E110" s="111" t="n">
        <x:f>J109</x:f>
        <x:v>0</x:v>
      </x:c>
      <x:c r="F110" s="111" t="n">
        <x:f>I104*C104/2+I98*C98/2+I92*C92/2+I86*C86/2+I80*C80/2+I74*C74/2+I68*C68/2+I62*C62/2+I56*C56/2+I50*C50/2</x:f>
        <x:v>29.784798759511375</x:v>
      </x:c>
      <x:c r="G110" s="111" t="n">
        <x:f>I50</x:f>
        <x:v>113.85843772191988</x:v>
      </x:c>
      <x:c r="H110" s="111" t="n">
        <x:f>E110+D110+F110+G110</x:f>
        <x:v>243.64323648143125</x:v>
      </x:c>
      <x:c r="I110" s="111" t="n">
        <x:f>H110*(H110&gt;='Assumptions'!$B$9)</x:f>
        <x:v>243.64323648143125</x:v>
      </x:c>
      <x:c r="J110" s="111" t="n">
        <x:f>H110-I110</x:f>
        <x:v>0</x:v>
      </x:c>
      <x:c r="K110" s="111" t="n">
        <x:f>K109+I110-G110</x:f>
        <x:v>11859.241245656514</x:v>
      </x:c>
      <x:c r="L110" s="111" t="n">
        <x:f>J110+K110</x:f>
        <x:v>11859.241245656514</x:v>
      </x:c>
      <x:c r="M110" s="109" t="n">
        <x:f>M109+IF(I110&gt;=5,1,0)</x:f>
        <x:v>103</x:v>
      </x:c>
      <x:c r="N110" s="112" t="str">
        <x:f>IF(I110&gt;0,"Invest cash as new 5-year tranche",IF(J110&gt;0,"Carry cash until £5 threshold",""))</x:f>
        <x:v>Invest cash as new 5-year tranche</x:v>
      </x:c>
      <x:c r="O110" s="113"/>
    </x:row>
    <x:row r="111" ht="24" hidden="0" customHeight="1">
      <x:c r="A111" s="108" t="n">
        <x:v>103</x:v>
      </x:c>
      <x:c r="B111" s="109" t="n">
        <x:f>INT(A111/12)+1</x:f>
        <x:v>9</x:v>
      </x:c>
      <x:c r="C111" s="110" t="n">
        <x:f>INDEX('Assumptions'!$B$12:$B$21,MIN(B111,ROWS('Assumptions'!$B$12:$B$21)))</x:f>
        <x:v>0.03</x:v>
      </x:c>
      <x:c r="D111" s="111" t="n">
        <x:f>IF(A111&lt;'Assumptions'!$B$6*12,'Assumptions'!$B$4,0)</x:f>
        <x:v>100</x:v>
      </x:c>
      <x:c r="E111" s="111" t="n">
        <x:f>J110</x:f>
        <x:v>0</x:v>
      </x:c>
      <x:c r="F111" s="111" t="n">
        <x:f>I105*C105/2+I99*C99/2+I93*C93/2+I87*C87/2+I81*C81/2+I75*C75/2+I69*C69/2+I63*C63/2+I57*C57/2+I51*C51/2</x:f>
        <x:v>29.784798759511375</x:v>
      </x:c>
      <x:c r="G111" s="111" t="n">
        <x:f>I51</x:f>
        <x:v>113.85843772191988</x:v>
      </x:c>
      <x:c r="H111" s="111" t="n">
        <x:f>E111+D111+F111+G111</x:f>
        <x:v>243.64323648143125</x:v>
      </x:c>
      <x:c r="I111" s="111" t="n">
        <x:f>H111*(H111&gt;='Assumptions'!$B$9)</x:f>
        <x:v>243.64323648143125</x:v>
      </x:c>
      <x:c r="J111" s="111" t="n">
        <x:f>H111-I111</x:f>
        <x:v>0</x:v>
      </x:c>
      <x:c r="K111" s="111" t="n">
        <x:f>K110+I111-G111</x:f>
        <x:v>11989.026044416027</x:v>
      </x:c>
      <x:c r="L111" s="111" t="n">
        <x:f>J111+K111</x:f>
        <x:v>11989.026044416027</x:v>
      </x:c>
      <x:c r="M111" s="109" t="n">
        <x:f>M110+IF(I111&gt;=5,1,0)</x:f>
        <x:v>104</x:v>
      </x:c>
      <x:c r="N111" s="112" t="str">
        <x:f>IF(I111&gt;0,"Invest cash as new 5-year tranche",IF(J111&gt;0,"Carry cash until £5 threshold",""))</x:f>
        <x:v>Invest cash as new 5-year tranche</x:v>
      </x:c>
      <x:c r="O111" s="113"/>
    </x:row>
    <x:row r="112" ht="24" hidden="0" customHeight="1">
      <x:c r="A112" s="108" t="n">
        <x:v>104</x:v>
      </x:c>
      <x:c r="B112" s="109" t="n">
        <x:f>INT(A112/12)+1</x:f>
        <x:v>9</x:v>
      </x:c>
      <x:c r="C112" s="110" t="n">
        <x:f>INDEX('Assumptions'!$B$12:$B$21,MIN(B112,ROWS('Assumptions'!$B$12:$B$21)))</x:f>
        <x:v>0.03</x:v>
      </x:c>
      <x:c r="D112" s="111" t="n">
        <x:f>IF(A112&lt;'Assumptions'!$B$6*12,'Assumptions'!$B$4,0)</x:f>
        <x:v>100</x:v>
      </x:c>
      <x:c r="E112" s="111" t="n">
        <x:f>J111</x:f>
        <x:v>0</x:v>
      </x:c>
      <x:c r="F112" s="111" t="n">
        <x:f>I106*C106/2+I100*C100/2+I94*C94/2+I88*C88/2+I82*C82/2+I76*C76/2+I70*C70/2+I64*C64/2+I58*C58/2+I52*C52/2</x:f>
        <x:v>29.784798759511375</x:v>
      </x:c>
      <x:c r="G112" s="111" t="n">
        <x:f>I52</x:f>
        <x:v>113.85843772191988</x:v>
      </x:c>
      <x:c r="H112" s="111" t="n">
        <x:f>E112+D112+F112+G112</x:f>
        <x:v>243.64323648143125</x:v>
      </x:c>
      <x:c r="I112" s="111" t="n">
        <x:f>H112*(H112&gt;='Assumptions'!$B$9)</x:f>
        <x:v>243.64323648143125</x:v>
      </x:c>
      <x:c r="J112" s="111" t="n">
        <x:f>H112-I112</x:f>
        <x:v>0</x:v>
      </x:c>
      <x:c r="K112" s="111" t="n">
        <x:f>K111+I112-G112</x:f>
        <x:v>12118.810843175539</x:v>
      </x:c>
      <x:c r="L112" s="111" t="n">
        <x:f>J112+K112</x:f>
        <x:v>12118.810843175539</x:v>
      </x:c>
      <x:c r="M112" s="109" t="n">
        <x:f>M111+IF(I112&gt;=5,1,0)</x:f>
        <x:v>105</x:v>
      </x:c>
      <x:c r="N112" s="112" t="str">
        <x:f>IF(I112&gt;0,"Invest cash as new 5-year tranche",IF(J112&gt;0,"Carry cash until £5 threshold",""))</x:f>
        <x:v>Invest cash as new 5-year tranche</x:v>
      </x:c>
      <x:c r="O112" s="113"/>
    </x:row>
    <x:row r="113" ht="24" hidden="0" customHeight="1">
      <x:c r="A113" s="108" t="n">
        <x:v>105</x:v>
      </x:c>
      <x:c r="B113" s="109" t="n">
        <x:f>INT(A113/12)+1</x:f>
        <x:v>9</x:v>
      </x:c>
      <x:c r="C113" s="110" t="n">
        <x:f>INDEX('Assumptions'!$B$12:$B$21,MIN(B113,ROWS('Assumptions'!$B$12:$B$21)))</x:f>
        <x:v>0.03</x:v>
      </x:c>
      <x:c r="D113" s="111" t="n">
        <x:f>IF(A113&lt;'Assumptions'!$B$6*12,'Assumptions'!$B$4,0)</x:f>
        <x:v>100</x:v>
      </x:c>
      <x:c r="E113" s="111" t="n">
        <x:f>J112</x:f>
        <x:v>0</x:v>
      </x:c>
      <x:c r="F113" s="111" t="n">
        <x:f>I107*C107/2+I101*C101/2+I95*C95/2+I89*C89/2+I83*C83/2+I77*C77/2+I71*C71/2+I65*C65/2+I59*C59/2+I53*C53/2</x:f>
        <x:v>29.784798759511375</x:v>
      </x:c>
      <x:c r="G113" s="111" t="n">
        <x:f>I53</x:f>
        <x:v>113.85843772191988</x:v>
      </x:c>
      <x:c r="H113" s="111" t="n">
        <x:f>E113+D113+F113+G113</x:f>
        <x:v>243.64323648143125</x:v>
      </x:c>
      <x:c r="I113" s="111" t="n">
        <x:f>H113*(H113&gt;='Assumptions'!$B$9)</x:f>
        <x:v>243.64323648143125</x:v>
      </x:c>
      <x:c r="J113" s="111" t="n">
        <x:f>H113-I113</x:f>
        <x:v>0</x:v>
      </x:c>
      <x:c r="K113" s="111" t="n">
        <x:f>K112+I113-G113</x:f>
        <x:v>12248.595641935051</x:v>
      </x:c>
      <x:c r="L113" s="111" t="n">
        <x:f>J113+K113</x:f>
        <x:v>12248.595641935051</x:v>
      </x:c>
      <x:c r="M113" s="109" t="n">
        <x:f>M112+IF(I113&gt;=5,1,0)</x:f>
        <x:v>106</x:v>
      </x:c>
      <x:c r="N113" s="112" t="str">
        <x:f>IF(I113&gt;0,"Invest cash as new 5-year tranche",IF(J113&gt;0,"Carry cash until £5 threshold",""))</x:f>
        <x:v>Invest cash as new 5-year tranche</x:v>
      </x:c>
      <x:c r="O113" s="113"/>
    </x:row>
    <x:row r="114" ht="24" hidden="0" customHeight="1">
      <x:c r="A114" s="108" t="n">
        <x:v>106</x:v>
      </x:c>
      <x:c r="B114" s="109" t="n">
        <x:f>INT(A114/12)+1</x:f>
        <x:v>9</x:v>
      </x:c>
      <x:c r="C114" s="110" t="n">
        <x:f>INDEX('Assumptions'!$B$12:$B$21,MIN(B114,ROWS('Assumptions'!$B$12:$B$21)))</x:f>
        <x:v>0.03</x:v>
      </x:c>
      <x:c r="D114" s="111" t="n">
        <x:f>IF(A114&lt;'Assumptions'!$B$6*12,'Assumptions'!$B$4,0)</x:f>
        <x:v>100</x:v>
      </x:c>
      <x:c r="E114" s="111" t="n">
        <x:f>J113</x:f>
        <x:v>0</x:v>
      </x:c>
      <x:c r="F114" s="111" t="n">
        <x:f>I108*C108/2+I102*C102/2+I96*C96/2+I90*C90/2+I84*C84/2+I78*C78/2+I72*C72/2+I66*C66/2+I60*C60/2+I54*C54/2</x:f>
        <x:v>29.784798759511375</x:v>
      </x:c>
      <x:c r="G114" s="111" t="n">
        <x:f>I54</x:f>
        <x:v>113.85843772191988</x:v>
      </x:c>
      <x:c r="H114" s="111" t="n">
        <x:f>E114+D114+F114+G114</x:f>
        <x:v>243.64323648143125</x:v>
      </x:c>
      <x:c r="I114" s="111" t="n">
        <x:f>H114*(H114&gt;='Assumptions'!$B$9)</x:f>
        <x:v>243.64323648143125</x:v>
      </x:c>
      <x:c r="J114" s="111" t="n">
        <x:f>H114-I114</x:f>
        <x:v>0</x:v>
      </x:c>
      <x:c r="K114" s="111" t="n">
        <x:f>K113+I114-G114</x:f>
        <x:v>12378.380440694564</x:v>
      </x:c>
      <x:c r="L114" s="111" t="n">
        <x:f>J114+K114</x:f>
        <x:v>12378.380440694564</x:v>
      </x:c>
      <x:c r="M114" s="109" t="n">
        <x:f>M113+IF(I114&gt;=5,1,0)</x:f>
        <x:v>107</x:v>
      </x:c>
      <x:c r="N114" s="112" t="str">
        <x:f>IF(I114&gt;0,"Invest cash as new 5-year tranche",IF(J114&gt;0,"Carry cash until £5 threshold",""))</x:f>
        <x:v>Invest cash as new 5-year tranche</x:v>
      </x:c>
      <x:c r="O114" s="113"/>
    </x:row>
    <x:row r="115" ht="24" hidden="0" customHeight="1">
      <x:c r="A115" s="108" t="n">
        <x:v>107</x:v>
      </x:c>
      <x:c r="B115" s="109" t="n">
        <x:f>INT(A115/12)+1</x:f>
        <x:v>9</x:v>
      </x:c>
      <x:c r="C115" s="110" t="n">
        <x:f>INDEX('Assumptions'!$B$12:$B$21,MIN(B115,ROWS('Assumptions'!$B$12:$B$21)))</x:f>
        <x:v>0.03</x:v>
      </x:c>
      <x:c r="D115" s="111" t="n">
        <x:f>IF(A115&lt;'Assumptions'!$B$6*12,'Assumptions'!$B$4,0)</x:f>
        <x:v>100</x:v>
      </x:c>
      <x:c r="E115" s="111" t="n">
        <x:f>J114</x:f>
        <x:v>0</x:v>
      </x:c>
      <x:c r="F115" s="111" t="n">
        <x:f>I109*C109/2+I103*C103/2+I97*C97/2+I91*C91/2+I85*C85/2+I79*C79/2+I73*C73/2+I67*C67/2+I61*C61/2+I55*C55/2</x:f>
        <x:v>29.784798759511375</x:v>
      </x:c>
      <x:c r="G115" s="111" t="n">
        <x:f>I55</x:f>
        <x:v>113.85843772191988</x:v>
      </x:c>
      <x:c r="H115" s="111" t="n">
        <x:f>E115+D115+F115+G115</x:f>
        <x:v>243.64323648143125</x:v>
      </x:c>
      <x:c r="I115" s="111" t="n">
        <x:f>H115*(H115&gt;='Assumptions'!$B$9)</x:f>
        <x:v>243.64323648143125</x:v>
      </x:c>
      <x:c r="J115" s="111" t="n">
        <x:f>H115-I115</x:f>
        <x:v>0</x:v>
      </x:c>
      <x:c r="K115" s="111" t="n">
        <x:f>K114+I115-G115</x:f>
        <x:v>12508.165239454076</x:v>
      </x:c>
      <x:c r="L115" s="111" t="n">
        <x:f>J115+K115</x:f>
        <x:v>12508.165239454076</x:v>
      </x:c>
      <x:c r="M115" s="109" t="n">
        <x:f>M114+IF(I115&gt;=5,1,0)</x:f>
        <x:v>108</x:v>
      </x:c>
      <x:c r="N115" s="112" t="str">
        <x:f>IF(I115&gt;0,"Invest cash as new 5-year tranche",IF(J115&gt;0,"Carry cash until £5 threshold",""))</x:f>
        <x:v>Invest cash as new 5-year tranche</x:v>
      </x:c>
      <x:c r="O115" s="113"/>
    </x:row>
    <x:row r="116" ht="24" hidden="0" customHeight="1">
      <x:c r="A116" s="108" t="n">
        <x:v>108</x:v>
      </x:c>
      <x:c r="B116" s="109" t="n">
        <x:f>INT(A116/12)+1</x:f>
        <x:v>10</x:v>
      </x:c>
      <x:c r="C116" s="110" t="n">
        <x:f>INDEX('Assumptions'!$B$12:$B$21,MIN(B116,ROWS('Assumptions'!$B$12:$B$21)))</x:f>
        <x:v>0.03</x:v>
      </x:c>
      <x:c r="D116" s="111" t="n">
        <x:f>IF(A116&lt;'Assumptions'!$B$6*12,'Assumptions'!$B$4,0)</x:f>
        <x:v>100</x:v>
      </x:c>
      <x:c r="E116" s="111" t="n">
        <x:f>J115</x:f>
        <x:v>0</x:v>
      </x:c>
      <x:c r="F116" s="111" t="n">
        <x:f>I110*C110/2+I104*C104/2+I98*C98/2+I92*C92/2+I86*C86/2+I80*C80/2+I74*C74/2+I68*C68/2+I62*C62/2+I56*C56/2</x:f>
        <x:v>31.503853865460208</x:v>
      </x:c>
      <x:c r="G116" s="111" t="n">
        <x:f>I56</x:f>
        <x:v>115.79403116319253</x:v>
      </x:c>
      <x:c r="H116" s="111" t="n">
        <x:f>E116+D116+F116+G116</x:f>
        <x:v>247.29788502865273</x:v>
      </x:c>
      <x:c r="I116" s="111" t="n">
        <x:f>H116*(H116&gt;='Assumptions'!$B$9)</x:f>
        <x:v>247.29788502865273</x:v>
      </x:c>
      <x:c r="J116" s="111" t="n">
        <x:f>H116-I116</x:f>
        <x:v>0</x:v>
      </x:c>
      <x:c r="K116" s="111" t="n">
        <x:f>K115+I116-G116</x:f>
        <x:v>12639.669093319537</x:v>
      </x:c>
      <x:c r="L116" s="111" t="n">
        <x:f>J116+K116</x:f>
        <x:v>12639.669093319537</x:v>
      </x:c>
      <x:c r="M116" s="109" t="n">
        <x:f>M115+IF(I116&gt;=5,1,0)</x:f>
        <x:v>109</x:v>
      </x:c>
      <x:c r="N116" s="112" t="str">
        <x:f>IF(I116&gt;0,"Invest cash as new 5-year tranche",IF(J116&gt;0,"Carry cash until £5 threshold",""))</x:f>
        <x:v>Invest cash as new 5-year tranche</x:v>
      </x:c>
      <x:c r="O116" s="113"/>
    </x:row>
    <x:row r="117" ht="24" hidden="0" customHeight="1">
      <x:c r="A117" s="108" t="n">
        <x:v>109</x:v>
      </x:c>
      <x:c r="B117" s="109" t="n">
        <x:f>INT(A117/12)+1</x:f>
        <x:v>10</x:v>
      </x:c>
      <x:c r="C117" s="110" t="n">
        <x:f>INDEX('Assumptions'!$B$12:$B$21,MIN(B117,ROWS('Assumptions'!$B$12:$B$21)))</x:f>
        <x:v>0.03</x:v>
      </x:c>
      <x:c r="D117" s="111" t="n">
        <x:f>IF(A117&lt;'Assumptions'!$B$6*12,'Assumptions'!$B$4,0)</x:f>
        <x:v>100</x:v>
      </x:c>
      <x:c r="E117" s="111" t="n">
        <x:f>J116</x:f>
        <x:v>0</x:v>
      </x:c>
      <x:c r="F117" s="111" t="n">
        <x:f>I111*C111/2+I105*C105/2+I99*C99/2+I93*C93/2+I87*C87/2+I81*C81/2+I75*C75/2+I69*C69/2+I63*C63/2+I57*C57/2</x:f>
        <x:v>31.503853865460208</x:v>
      </x:c>
      <x:c r="G117" s="111" t="n">
        <x:f>I57</x:f>
        <x:v>115.79403116319253</x:v>
      </x:c>
      <x:c r="H117" s="111" t="n">
        <x:f>E117+D117+F117+G117</x:f>
        <x:v>247.29788502865273</x:v>
      </x:c>
      <x:c r="I117" s="111" t="n">
        <x:f>H117*(H117&gt;='Assumptions'!$B$9)</x:f>
        <x:v>247.29788502865273</x:v>
      </x:c>
      <x:c r="J117" s="111" t="n">
        <x:f>H117-I117</x:f>
        <x:v>0</x:v>
      </x:c>
      <x:c r="K117" s="111" t="n">
        <x:f>K116+I117-G117</x:f>
        <x:v>12771.172947184998</x:v>
      </x:c>
      <x:c r="L117" s="111" t="n">
        <x:f>J117+K117</x:f>
        <x:v>12771.172947184998</x:v>
      </x:c>
      <x:c r="M117" s="109" t="n">
        <x:f>M116+IF(I117&gt;=5,1,0)</x:f>
        <x:v>110</x:v>
      </x:c>
      <x:c r="N117" s="112" t="str">
        <x:f>IF(I117&gt;0,"Invest cash as new 5-year tranche",IF(J117&gt;0,"Carry cash until £5 threshold",""))</x:f>
        <x:v>Invest cash as new 5-year tranche</x:v>
      </x:c>
      <x:c r="O117" s="113"/>
    </x:row>
    <x:row r="118" ht="24" hidden="0" customHeight="1">
      <x:c r="A118" s="108" t="n">
        <x:v>110</x:v>
      </x:c>
      <x:c r="B118" s="109" t="n">
        <x:f>INT(A118/12)+1</x:f>
        <x:v>10</x:v>
      </x:c>
      <x:c r="C118" s="110" t="n">
        <x:f>INDEX('Assumptions'!$B$12:$B$21,MIN(B118,ROWS('Assumptions'!$B$12:$B$21)))</x:f>
        <x:v>0.03</x:v>
      </x:c>
      <x:c r="D118" s="111" t="n">
        <x:f>IF(A118&lt;'Assumptions'!$B$6*12,'Assumptions'!$B$4,0)</x:f>
        <x:v>100</x:v>
      </x:c>
      <x:c r="E118" s="111" t="n">
        <x:f>J117</x:f>
        <x:v>0</x:v>
      </x:c>
      <x:c r="F118" s="111" t="n">
        <x:f>I112*C112/2+I106*C106/2+I100*C100/2+I94*C94/2+I88*C88/2+I82*C82/2+I76*C76/2+I70*C70/2+I64*C64/2+I58*C58/2</x:f>
        <x:v>31.503853865460208</x:v>
      </x:c>
      <x:c r="G118" s="111" t="n">
        <x:f>I58</x:f>
        <x:v>115.79403116319253</x:v>
      </x:c>
      <x:c r="H118" s="111" t="n">
        <x:f>E118+D118+F118+G118</x:f>
        <x:v>247.29788502865273</x:v>
      </x:c>
      <x:c r="I118" s="111" t="n">
        <x:f>H118*(H118&gt;='Assumptions'!$B$9)</x:f>
        <x:v>247.29788502865273</x:v>
      </x:c>
      <x:c r="J118" s="111" t="n">
        <x:f>H118-I118</x:f>
        <x:v>0</x:v>
      </x:c>
      <x:c r="K118" s="111" t="n">
        <x:f>K117+I118-G118</x:f>
        <x:v>12902.676801050458</x:v>
      </x:c>
      <x:c r="L118" s="111" t="n">
        <x:f>J118+K118</x:f>
        <x:v>12902.676801050458</x:v>
      </x:c>
      <x:c r="M118" s="109" t="n">
        <x:f>M117+IF(I118&gt;=5,1,0)</x:f>
        <x:v>111</x:v>
      </x:c>
      <x:c r="N118" s="112" t="str">
        <x:f>IF(I118&gt;0,"Invest cash as new 5-year tranche",IF(J118&gt;0,"Carry cash until £5 threshold",""))</x:f>
        <x:v>Invest cash as new 5-year tranche</x:v>
      </x:c>
      <x:c r="O118" s="113"/>
    </x:row>
    <x:row r="119" ht="24" hidden="0" customHeight="1">
      <x:c r="A119" s="108" t="n">
        <x:v>111</x:v>
      </x:c>
      <x:c r="B119" s="109" t="n">
        <x:f>INT(A119/12)+1</x:f>
        <x:v>10</x:v>
      </x:c>
      <x:c r="C119" s="110" t="n">
        <x:f>INDEX('Assumptions'!$B$12:$B$21,MIN(B119,ROWS('Assumptions'!$B$12:$B$21)))</x:f>
        <x:v>0.03</x:v>
      </x:c>
      <x:c r="D119" s="111" t="n">
        <x:f>IF(A119&lt;'Assumptions'!$B$6*12,'Assumptions'!$B$4,0)</x:f>
        <x:v>100</x:v>
      </x:c>
      <x:c r="E119" s="111" t="n">
        <x:f>J118</x:f>
        <x:v>0</x:v>
      </x:c>
      <x:c r="F119" s="111" t="n">
        <x:f>I113*C113/2+I107*C107/2+I101*C101/2+I95*C95/2+I89*C89/2+I83*C83/2+I77*C77/2+I71*C71/2+I65*C65/2+I59*C59/2</x:f>
        <x:v>31.503853865460208</x:v>
      </x:c>
      <x:c r="G119" s="111" t="n">
        <x:f>I59</x:f>
        <x:v>115.79403116319253</x:v>
      </x:c>
      <x:c r="H119" s="111" t="n">
        <x:f>E119+D119+F119+G119</x:f>
        <x:v>247.29788502865273</x:v>
      </x:c>
      <x:c r="I119" s="111" t="n">
        <x:f>H119*(H119&gt;='Assumptions'!$B$9)</x:f>
        <x:v>247.29788502865273</x:v>
      </x:c>
      <x:c r="J119" s="111" t="n">
        <x:f>H119-I119</x:f>
        <x:v>0</x:v>
      </x:c>
      <x:c r="K119" s="111" t="n">
        <x:f>K118+I119-G119</x:f>
        <x:v>13034.18065491592</x:v>
      </x:c>
      <x:c r="L119" s="111" t="n">
        <x:f>J119+K119</x:f>
        <x:v>13034.18065491592</x:v>
      </x:c>
      <x:c r="M119" s="109" t="n">
        <x:f>M118+IF(I119&gt;=5,1,0)</x:f>
        <x:v>112</x:v>
      </x:c>
      <x:c r="N119" s="112" t="str">
        <x:f>IF(I119&gt;0,"Invest cash as new 5-year tranche",IF(J119&gt;0,"Carry cash until £5 threshold",""))</x:f>
        <x:v>Invest cash as new 5-year tranche</x:v>
      </x:c>
      <x:c r="O119" s="113"/>
    </x:row>
    <x:row r="120" ht="24" hidden="0" customHeight="1">
      <x:c r="A120" s="108" t="n">
        <x:v>112</x:v>
      </x:c>
      <x:c r="B120" s="109" t="n">
        <x:f>INT(A120/12)+1</x:f>
        <x:v>10</x:v>
      </x:c>
      <x:c r="C120" s="110" t="n">
        <x:f>INDEX('Assumptions'!$B$12:$B$21,MIN(B120,ROWS('Assumptions'!$B$12:$B$21)))</x:f>
        <x:v>0.03</x:v>
      </x:c>
      <x:c r="D120" s="111" t="n">
        <x:f>IF(A120&lt;'Assumptions'!$B$6*12,'Assumptions'!$B$4,0)</x:f>
        <x:v>100</x:v>
      </x:c>
      <x:c r="E120" s="111" t="n">
        <x:f>J119</x:f>
        <x:v>0</x:v>
      </x:c>
      <x:c r="F120" s="111" t="n">
        <x:f>I114*C114/2+I108*C108/2+I102*C102/2+I96*C96/2+I90*C90/2+I84*C84/2+I78*C78/2+I72*C72/2+I66*C66/2+I60*C60/2</x:f>
        <x:v>31.503853865460208</x:v>
      </x:c>
      <x:c r="G120" s="111" t="n">
        <x:f>I60</x:f>
        <x:v>115.79403116319253</x:v>
      </x:c>
      <x:c r="H120" s="111" t="n">
        <x:f>E120+D120+F120+G120</x:f>
        <x:v>247.29788502865273</x:v>
      </x:c>
      <x:c r="I120" s="111" t="n">
        <x:f>H120*(H120&gt;='Assumptions'!$B$9)</x:f>
        <x:v>247.29788502865273</x:v>
      </x:c>
      <x:c r="J120" s="111" t="n">
        <x:f>H120-I120</x:f>
        <x:v>0</x:v>
      </x:c>
      <x:c r="K120" s="111" t="n">
        <x:f>K119+I120-G120</x:f>
        <x:v>13165.68450878138</x:v>
      </x:c>
      <x:c r="L120" s="111" t="n">
        <x:f>J120+K120</x:f>
        <x:v>13165.68450878138</x:v>
      </x:c>
      <x:c r="M120" s="109" t="n">
        <x:f>M119+IF(I120&gt;=5,1,0)</x:f>
        <x:v>113</x:v>
      </x:c>
      <x:c r="N120" s="112" t="str">
        <x:f>IF(I120&gt;0,"Invest cash as new 5-year tranche",IF(J120&gt;0,"Carry cash until £5 threshold",""))</x:f>
        <x:v>Invest cash as new 5-year tranche</x:v>
      </x:c>
      <x:c r="O120" s="113"/>
    </x:row>
    <x:row r="121" ht="24" hidden="0" customHeight="1">
      <x:c r="A121" s="108" t="n">
        <x:v>113</x:v>
      </x:c>
      <x:c r="B121" s="109" t="n">
        <x:f>INT(A121/12)+1</x:f>
        <x:v>10</x:v>
      </x:c>
      <x:c r="C121" s="110" t="n">
        <x:f>INDEX('Assumptions'!$B$12:$B$21,MIN(B121,ROWS('Assumptions'!$B$12:$B$21)))</x:f>
        <x:v>0.03</x:v>
      </x:c>
      <x:c r="D121" s="111" t="n">
        <x:f>IF(A121&lt;'Assumptions'!$B$6*12,'Assumptions'!$B$4,0)</x:f>
        <x:v>100</x:v>
      </x:c>
      <x:c r="E121" s="111" t="n">
        <x:f>J120</x:f>
        <x:v>0</x:v>
      </x:c>
      <x:c r="F121" s="111" t="n">
        <x:f>I115*C115/2+I109*C109/2+I103*C103/2+I97*C97/2+I91*C91/2+I85*C85/2+I79*C79/2+I73*C73/2+I67*C67/2+I61*C61/2</x:f>
        <x:v>31.503853865460208</x:v>
      </x:c>
      <x:c r="G121" s="111" t="n">
        <x:f>I61</x:f>
        <x:v>115.79403116319253</x:v>
      </x:c>
      <x:c r="H121" s="111" t="n">
        <x:f>E121+D121+F121+G121</x:f>
        <x:v>247.29788502865273</x:v>
      </x:c>
      <x:c r="I121" s="111" t="n">
        <x:f>H121*(H121&gt;='Assumptions'!$B$9)</x:f>
        <x:v>247.29788502865273</x:v>
      </x:c>
      <x:c r="J121" s="111" t="n">
        <x:f>H121-I121</x:f>
        <x:v>0</x:v>
      </x:c>
      <x:c r="K121" s="111" t="n">
        <x:f>K120+I121-G121</x:f>
        <x:v>13297.18836264684</x:v>
      </x:c>
      <x:c r="L121" s="111" t="n">
        <x:f>J121+K121</x:f>
        <x:v>13297.18836264684</x:v>
      </x:c>
      <x:c r="M121" s="109" t="n">
        <x:f>M120+IF(I121&gt;=5,1,0)</x:f>
        <x:v>114</x:v>
      </x:c>
      <x:c r="N121" s="112" t="str">
        <x:f>IF(I121&gt;0,"Invest cash as new 5-year tranche",IF(J121&gt;0,"Carry cash until £5 threshold",""))</x:f>
        <x:v>Invest cash as new 5-year tranche</x:v>
      </x:c>
      <x:c r="O121" s="113"/>
    </x:row>
    <x:row r="122" ht="24" hidden="0" customHeight="1">
      <x:c r="A122" s="108" t="n">
        <x:v>114</x:v>
      </x:c>
      <x:c r="B122" s="109" t="n">
        <x:f>INT(A122/12)+1</x:f>
        <x:v>10</x:v>
      </x:c>
      <x:c r="C122" s="110" t="n">
        <x:f>INDEX('Assumptions'!$B$12:$B$21,MIN(B122,ROWS('Assumptions'!$B$12:$B$21)))</x:f>
        <x:v>0.03</x:v>
      </x:c>
      <x:c r="D122" s="111" t="n">
        <x:f>IF(A122&lt;'Assumptions'!$B$6*12,'Assumptions'!$B$4,0)</x:f>
        <x:v>100</x:v>
      </x:c>
      <x:c r="E122" s="111" t="n">
        <x:f>J121</x:f>
        <x:v>0</x:v>
      </x:c>
      <x:c r="F122" s="111" t="n">
        <x:f>I116*C116/2+I110*C110/2+I104*C104/2+I98*C98/2+I92*C92/2+I86*C86/2+I80*C80/2+I74*C74/2+I68*C68/2+I62*C62/2</x:f>
        <x:v>33.36061764227891</x:v>
      </x:c>
      <x:c r="G122" s="111" t="n">
        <x:f>I62</x:f>
        <x:v>117.6467356618036</x:v>
      </x:c>
      <x:c r="H122" s="111" t="n">
        <x:f>E122+D122+F122+G122</x:f>
        <x:v>251.0073533040825</x:v>
      </x:c>
      <x:c r="I122" s="111" t="n">
        <x:f>H122*(H122&gt;='Assumptions'!$B$9)</x:f>
        <x:v>251.0073533040825</x:v>
      </x:c>
      <x:c r="J122" s="111" t="n">
        <x:f>H122-I122</x:f>
        <x:v>0</x:v>
      </x:c>
      <x:c r="K122" s="111" t="n">
        <x:f>K121+I122-G122</x:f>
        <x:v>13430.54898028912</x:v>
      </x:c>
      <x:c r="L122" s="111" t="n">
        <x:f>J122+K122</x:f>
        <x:v>13430.54898028912</x:v>
      </x:c>
      <x:c r="M122" s="109" t="n">
        <x:f>M121+IF(I122&gt;=5,1,0)</x:f>
        <x:v>115</x:v>
      </x:c>
      <x:c r="N122" s="112" t="str">
        <x:f>IF(I122&gt;0,"Invest cash as new 5-year tranche",IF(J122&gt;0,"Carry cash until £5 threshold",""))</x:f>
        <x:v>Invest cash as new 5-year tranche</x:v>
      </x:c>
      <x:c r="O122" s="113"/>
    </x:row>
    <x:row r="123" ht="24" hidden="0" customHeight="1">
      <x:c r="A123" s="108" t="n">
        <x:v>115</x:v>
      </x:c>
      <x:c r="B123" s="109" t="n">
        <x:f>INT(A123/12)+1</x:f>
        <x:v>10</x:v>
      </x:c>
      <x:c r="C123" s="110" t="n">
        <x:f>INDEX('Assumptions'!$B$12:$B$21,MIN(B123,ROWS('Assumptions'!$B$12:$B$21)))</x:f>
        <x:v>0.03</x:v>
      </x:c>
      <x:c r="D123" s="111" t="n">
        <x:f>IF(A123&lt;'Assumptions'!$B$6*12,'Assumptions'!$B$4,0)</x:f>
        <x:v>100</x:v>
      </x:c>
      <x:c r="E123" s="111" t="n">
        <x:f>J122</x:f>
        <x:v>0</x:v>
      </x:c>
      <x:c r="F123" s="111" t="n">
        <x:f>I117*C117/2+I111*C111/2+I105*C105/2+I99*C99/2+I93*C93/2+I87*C87/2+I81*C81/2+I75*C75/2+I69*C69/2+I63*C63/2</x:f>
        <x:v>33.36061764227891</x:v>
      </x:c>
      <x:c r="G123" s="111" t="n">
        <x:f>I63</x:f>
        <x:v>117.6467356618036</x:v>
      </x:c>
      <x:c r="H123" s="111" t="n">
        <x:f>E123+D123+F123+G123</x:f>
        <x:v>251.0073533040825</x:v>
      </x:c>
      <x:c r="I123" s="111" t="n">
        <x:f>H123*(H123&gt;='Assumptions'!$B$9)</x:f>
        <x:v>251.0073533040825</x:v>
      </x:c>
      <x:c r="J123" s="111" t="n">
        <x:f>H123-I123</x:f>
        <x:v>0</x:v>
      </x:c>
      <x:c r="K123" s="111" t="n">
        <x:f>K122+I123-G123</x:f>
        <x:v>13563.9095979314</x:v>
      </x:c>
      <x:c r="L123" s="111" t="n">
        <x:f>J123+K123</x:f>
        <x:v>13563.9095979314</x:v>
      </x:c>
      <x:c r="M123" s="109" t="n">
        <x:f>M122+IF(I123&gt;=5,1,0)</x:f>
        <x:v>116</x:v>
      </x:c>
      <x:c r="N123" s="112" t="str">
        <x:f>IF(I123&gt;0,"Invest cash as new 5-year tranche",IF(J123&gt;0,"Carry cash until £5 threshold",""))</x:f>
        <x:v>Invest cash as new 5-year tranche</x:v>
      </x:c>
      <x:c r="O123" s="113"/>
    </x:row>
    <x:row r="124" ht="24" hidden="0" customHeight="1">
      <x:c r="A124" s="108" t="n">
        <x:v>116</x:v>
      </x:c>
      <x:c r="B124" s="109" t="n">
        <x:f>INT(A124/12)+1</x:f>
        <x:v>10</x:v>
      </x:c>
      <x:c r="C124" s="110" t="n">
        <x:f>INDEX('Assumptions'!$B$12:$B$21,MIN(B124,ROWS('Assumptions'!$B$12:$B$21)))</x:f>
        <x:v>0.03</x:v>
      </x:c>
      <x:c r="D124" s="111" t="n">
        <x:f>IF(A124&lt;'Assumptions'!$B$6*12,'Assumptions'!$B$4,0)</x:f>
        <x:v>100</x:v>
      </x:c>
      <x:c r="E124" s="111" t="n">
        <x:f>J123</x:f>
        <x:v>0</x:v>
      </x:c>
      <x:c r="F124" s="111" t="n">
        <x:f>I118*C118/2+I112*C112/2+I106*C106/2+I100*C100/2+I94*C94/2+I88*C88/2+I82*C82/2+I76*C76/2+I70*C70/2+I64*C64/2</x:f>
        <x:v>33.36061764227891</x:v>
      </x:c>
      <x:c r="G124" s="111" t="n">
        <x:f>I64</x:f>
        <x:v>117.6467356618036</x:v>
      </x:c>
      <x:c r="H124" s="111" t="n">
        <x:f>E124+D124+F124+G124</x:f>
        <x:v>251.0073533040825</x:v>
      </x:c>
      <x:c r="I124" s="111" t="n">
        <x:f>H124*(H124&gt;='Assumptions'!$B$9)</x:f>
        <x:v>251.0073533040825</x:v>
      </x:c>
      <x:c r="J124" s="111" t="n">
        <x:f>H124-I124</x:f>
        <x:v>0</x:v>
      </x:c>
      <x:c r="K124" s="111" t="n">
        <x:f>K123+I124-G124</x:f>
        <x:v>13697.27021557368</x:v>
      </x:c>
      <x:c r="L124" s="111" t="n">
        <x:f>J124+K124</x:f>
        <x:v>13697.27021557368</x:v>
      </x:c>
      <x:c r="M124" s="109" t="n">
        <x:f>M123+IF(I124&gt;=5,1,0)</x:f>
        <x:v>117</x:v>
      </x:c>
      <x:c r="N124" s="112" t="str">
        <x:f>IF(I124&gt;0,"Invest cash as new 5-year tranche",IF(J124&gt;0,"Carry cash until £5 threshold",""))</x:f>
        <x:v>Invest cash as new 5-year tranche</x:v>
      </x:c>
      <x:c r="O124" s="113"/>
    </x:row>
    <x:row r="125" ht="24" hidden="0" customHeight="1">
      <x:c r="A125" s="108" t="n">
        <x:v>117</x:v>
      </x:c>
      <x:c r="B125" s="109" t="n">
        <x:f>INT(A125/12)+1</x:f>
        <x:v>10</x:v>
      </x:c>
      <x:c r="C125" s="110" t="n">
        <x:f>INDEX('Assumptions'!$B$12:$B$21,MIN(B125,ROWS('Assumptions'!$B$12:$B$21)))</x:f>
        <x:v>0.03</x:v>
      </x:c>
      <x:c r="D125" s="111" t="n">
        <x:f>IF(A125&lt;'Assumptions'!$B$6*12,'Assumptions'!$B$4,0)</x:f>
        <x:v>100</x:v>
      </x:c>
      <x:c r="E125" s="111" t="n">
        <x:f>J124</x:f>
        <x:v>0</x:v>
      </x:c>
      <x:c r="F125" s="111" t="n">
        <x:f>I119*C119/2+I113*C113/2+I107*C107/2+I101*C101/2+I95*C95/2+I89*C89/2+I83*C83/2+I77*C77/2+I71*C71/2+I65*C65/2</x:f>
        <x:v>33.36061764227891</x:v>
      </x:c>
      <x:c r="G125" s="111" t="n">
        <x:f>I65</x:f>
        <x:v>117.6467356618036</x:v>
      </x:c>
      <x:c r="H125" s="111" t="n">
        <x:f>E125+D125+F125+G125</x:f>
        <x:v>251.0073533040825</x:v>
      </x:c>
      <x:c r="I125" s="111" t="n">
        <x:f>H125*(H125&gt;='Assumptions'!$B$9)</x:f>
        <x:v>251.0073533040825</x:v>
      </x:c>
      <x:c r="J125" s="111" t="n">
        <x:f>H125-I125</x:f>
        <x:v>0</x:v>
      </x:c>
      <x:c r="K125" s="111" t="n">
        <x:f>K124+I125-G125</x:f>
        <x:v>13830.63083321596</x:v>
      </x:c>
      <x:c r="L125" s="111" t="n">
        <x:f>J125+K125</x:f>
        <x:v>13830.63083321596</x:v>
      </x:c>
      <x:c r="M125" s="109" t="n">
        <x:f>M124+IF(I125&gt;=5,1,0)</x:f>
        <x:v>118</x:v>
      </x:c>
      <x:c r="N125" s="112" t="str">
        <x:f>IF(I125&gt;0,"Invest cash as new 5-year tranche",IF(J125&gt;0,"Carry cash until £5 threshold",""))</x:f>
        <x:v>Invest cash as new 5-year tranche</x:v>
      </x:c>
      <x:c r="O125" s="113"/>
    </x:row>
    <x:row r="126" ht="24" hidden="0" customHeight="1">
      <x:c r="A126" s="108" t="n">
        <x:v>118</x:v>
      </x:c>
      <x:c r="B126" s="109" t="n">
        <x:f>INT(A126/12)+1</x:f>
        <x:v>10</x:v>
      </x:c>
      <x:c r="C126" s="110" t="n">
        <x:f>INDEX('Assumptions'!$B$12:$B$21,MIN(B126,ROWS('Assumptions'!$B$12:$B$21)))</x:f>
        <x:v>0.03</x:v>
      </x:c>
      <x:c r="D126" s="111" t="n">
        <x:f>IF(A126&lt;'Assumptions'!$B$6*12,'Assumptions'!$B$4,0)</x:f>
        <x:v>100</x:v>
      </x:c>
      <x:c r="E126" s="111" t="n">
        <x:f>J125</x:f>
        <x:v>0</x:v>
      </x:c>
      <x:c r="F126" s="111" t="n">
        <x:f>I120*C120/2+I114*C114/2+I108*C108/2+I102*C102/2+I96*C96/2+I90*C90/2+I84*C84/2+I78*C78/2+I72*C72/2+I66*C66/2</x:f>
        <x:v>33.36061764227891</x:v>
      </x:c>
      <x:c r="G126" s="111" t="n">
        <x:f>I66</x:f>
        <x:v>117.6467356618036</x:v>
      </x:c>
      <x:c r="H126" s="111" t="n">
        <x:f>E126+D126+F126+G126</x:f>
        <x:v>251.0073533040825</x:v>
      </x:c>
      <x:c r="I126" s="111" t="n">
        <x:f>H126*(H126&gt;='Assumptions'!$B$9)</x:f>
        <x:v>251.0073533040825</x:v>
      </x:c>
      <x:c r="J126" s="111" t="n">
        <x:f>H126-I126</x:f>
        <x:v>0</x:v>
      </x:c>
      <x:c r="K126" s="111" t="n">
        <x:f>K125+I126-G126</x:f>
        <x:v>13963.99145085824</x:v>
      </x:c>
      <x:c r="L126" s="111" t="n">
        <x:f>J126+K126</x:f>
        <x:v>13963.99145085824</x:v>
      </x:c>
      <x:c r="M126" s="109" t="n">
        <x:f>M125+IF(I126&gt;=5,1,0)</x:f>
        <x:v>119</x:v>
      </x:c>
      <x:c r="N126" s="112" t="str">
        <x:f>IF(I126&gt;0,"Invest cash as new 5-year tranche",IF(J126&gt;0,"Carry cash until £5 threshold",""))</x:f>
        <x:v>Invest cash as new 5-year tranche</x:v>
      </x:c>
      <x:c r="O126" s="113"/>
    </x:row>
    <x:row r="127" ht="24" hidden="0" customHeight="1">
      <x:c r="A127" s="108" t="n">
        <x:v>119</x:v>
      </x:c>
      <x:c r="B127" s="109" t="n">
        <x:f>INT(A127/12)+1</x:f>
        <x:v>10</x:v>
      </x:c>
      <x:c r="C127" s="110" t="n">
        <x:f>INDEX('Assumptions'!$B$12:$B$21,MIN(B127,ROWS('Assumptions'!$B$12:$B$21)))</x:f>
        <x:v>0.03</x:v>
      </x:c>
      <x:c r="D127" s="111" t="n">
        <x:f>IF(A127&lt;'Assumptions'!$B$6*12,'Assumptions'!$B$4,0)</x:f>
        <x:v>100</x:v>
      </x:c>
      <x:c r="E127" s="111" t="n">
        <x:f>J126</x:f>
        <x:v>0</x:v>
      </x:c>
      <x:c r="F127" s="111" t="n">
        <x:f>I121*C121/2+I115*C115/2+I109*C109/2+I103*C103/2+I97*C97/2+I91*C91/2+I85*C85/2+I79*C79/2+I73*C73/2+I67*C67/2</x:f>
        <x:v>33.36061764227891</x:v>
      </x:c>
      <x:c r="G127" s="111" t="n">
        <x:f>I67</x:f>
        <x:v>117.6467356618036</x:v>
      </x:c>
      <x:c r="H127" s="111" t="n">
        <x:f>E127+D127+F127+G127</x:f>
        <x:v>251.0073533040825</x:v>
      </x:c>
      <x:c r="I127" s="111" t="n">
        <x:f>H127*(H127&gt;='Assumptions'!$B$9)</x:f>
        <x:v>251.0073533040825</x:v>
      </x:c>
      <x:c r="J127" s="111" t="n">
        <x:f>H127-I127</x:f>
        <x:v>0</x:v>
      </x:c>
      <x:c r="K127" s="111" t="n">
        <x:f>K126+I127-G127</x:f>
        <x:v>14097.35206850052</x:v>
      </x:c>
      <x:c r="L127" s="111" t="n">
        <x:f>J127+K127</x:f>
        <x:v>14097.35206850052</x:v>
      </x:c>
      <x:c r="M127" s="109" t="n">
        <x:f>M126+IF(I127&gt;=5,1,0)</x:f>
        <x:v>120</x:v>
      </x:c>
      <x:c r="N127" s="112" t="str">
        <x:f>IF(I127&gt;0,"Invest cash as new 5-year tranche",IF(J127&gt;0,"Carry cash until £5 threshold",""))</x:f>
        <x:v>Invest cash as new 5-year tranche</x:v>
      </x:c>
      <x:c r="O127" s="113"/>
    </x:row>
    <x:row r="128" ht="24" hidden="0" customHeight="1">
      <x:c r="A128" s="114" t="n">
        <x:v>120</x:v>
      </x:c>
      <x:c r="B128" s="115" t="n">
        <x:f>INT(A128/12)+1</x:f>
        <x:v>11</x:v>
      </x:c>
      <x:c r="C128" s="116" t="n">
        <x:f>INDEX('Assumptions'!$B$12:$B$21,MIN(B128,ROWS('Assumptions'!$B$12:$B$21)))</x:f>
        <x:v>0.03</x:v>
      </x:c>
      <x:c r="D128" s="117" t="n">
        <x:f>IF(A128&lt;'Assumptions'!$B$6*12,'Assumptions'!$B$4,0)</x:f>
        <x:v>0</x:v>
      </x:c>
      <x:c r="E128" s="117" t="n">
        <x:f>J127</x:f>
        <x:v>0</x:v>
      </x:c>
      <x:c r="F128" s="117" t="n">
        <x:f>I122*C122/2+I116*C116/2+I110*C110/2+I104*C104/2+I98*C98/2+I92*C92/2+I86*C86/2+I80*C80/2+I74*C74/2+I68*C68/2</x:f>
        <x:v>35.243380171251296</x:v>
      </x:c>
      <x:c r="G128" s="117" t="n">
        <x:f>I68</x:f>
        <x:v>219.52908343239247</x:v>
      </x:c>
      <x:c r="H128" s="117" t="n">
        <x:f>E128+D128+F128+G128</x:f>
        <x:v>254.77246360364376</x:v>
      </x:c>
      <x:c r="I128" s="117" t="n">
        <x:f>H128*(H128&gt;='Assumptions'!$B$9)</x:f>
        <x:v>254.77246360364376</x:v>
      </x:c>
      <x:c r="J128" s="117" t="n">
        <x:f>H128-I128</x:f>
        <x:v>0</x:v>
      </x:c>
      <x:c r="K128" s="117" t="n">
        <x:f>K127+I128-G128</x:f>
        <x:v>14132.595448671771</x:v>
      </x:c>
      <x:c r="L128" s="117" t="n">
        <x:f>J128+K128</x:f>
        <x:v>14132.595448671771</x:v>
      </x:c>
      <x:c r="M128" s="115" t="n">
        <x:f>M127+IF(I128&gt;=5,1,0)</x:f>
        <x:v>121</x:v>
      </x:c>
      <x:c r="N128" s="118" t="str">
        <x:f>IF(I128&gt;0,"Invest cash as new 5-year tranche",IF(J128&gt;0,"Carry cash until £5 threshold",""))</x:f>
        <x:v>Invest cash as new 5-year tranche</x:v>
      </x:c>
      <x:c r="O128" s="119"/>
    </x:row>
  </x:sheetData>
  <x:mergeCells>
    <x:mergeCell ref="A1:O1"/>
    <x:mergeCell ref="A2:O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8" hidden="0" customWidth="1"/>
    <x:col min="9" max="9" width="20" hidden="0" customWidth="1"/>
    <x:col min="10" max="10" width="20" hidden="0" customWidth="1"/>
    <x:col min="11" max="11" width="16" hidden="0" customWidth="1"/>
    <x:col min="12" max="12" width="20" hidden="0" customWidth="1"/>
    <x:col min="13" max="13" width="16" hidden="0" customWidth="1"/>
    <x:col min="14" max="14" width="18" hidden="0" customWidth="1"/>
    <x:col min="15" max="15" width="34" hidden="0" customWidth="1"/>
  </x:cols>
  <x:sheetData>
    <x:row r="1" ht="15" hidden="0" customHeight="1">
      <x:c r="A1" s="73" t="str">
        <x:v>One-Off Model</x:v>
      </x:c>
      <x:c r="B1" s="73" t="str">
        <x:v>One-Off Model</x:v>
      </x:c>
      <x:c r="C1" s="73" t="str">
        <x:v>One-Off Model</x:v>
      </x:c>
      <x:c r="D1" s="73" t="str">
        <x:v>One-Off Model</x:v>
      </x:c>
      <x:c r="E1" s="73" t="str">
        <x:v>One-Off Model</x:v>
      </x:c>
      <x:c r="F1" s="73" t="str">
        <x:v>One-Off Model</x:v>
      </x:c>
      <x:c r="G1" s="73" t="str">
        <x:v>One-Off Model</x:v>
      </x:c>
      <x:c r="H1" s="73" t="str">
        <x:v>One-Off Model</x:v>
      </x:c>
      <x:c r="I1" s="73" t="str">
        <x:v>One-Off Model</x:v>
      </x:c>
      <x:c r="J1" s="73" t="str">
        <x:v>One-Off Model</x:v>
      </x:c>
      <x:c r="K1" s="73" t="str">
        <x:v>One-Off Model</x:v>
      </x:c>
      <x:c r="L1" s="73" t="str">
        <x:v>One-Off Model</x:v>
      </x:c>
      <x:c r="M1" s="73" t="str">
        <x:v>One-Off Model</x:v>
      </x:c>
      <x:c r="N1" s="73" t="str">
        <x:v>One-Off Model</x:v>
      </x:c>
      <x:c r="O1" s="73" t="str">
        <x:v>One-Off Model</x:v>
      </x:c>
    </x:row>
    <x:row r="2" ht="15" hidden="0" customHeight="1">
      <x:c r="A2" s="74" t="str">
        <x:v>The one-off deposit is invested at month 0 if it is at least £5. Coupons and matured principal then enter cash and reinvest at the £5 threshold.</x:v>
      </x:c>
      <x:c r="B2" s="74" t="str">
        <x:v>The one-off deposit is invested at month 0 if it is at least £5. Coupons and matured principal then enter cash and reinvest at the £5 threshold.</x:v>
      </x:c>
      <x:c r="C2" s="74" t="str">
        <x:v>The one-off deposit is invested at month 0 if it is at least £5. Coupons and matured principal then enter cash and reinvest at the £5 threshold.</x:v>
      </x:c>
      <x:c r="D2" s="74" t="str">
        <x:v>The one-off deposit is invested at month 0 if it is at least £5. Coupons and matured principal then enter cash and reinvest at the £5 threshold.</x:v>
      </x:c>
      <x:c r="E2" s="74" t="str">
        <x:v>The one-off deposit is invested at month 0 if it is at least £5. Coupons and matured principal then enter cash and reinvest at the £5 threshold.</x:v>
      </x:c>
      <x:c r="F2" s="74" t="str">
        <x:v>The one-off deposit is invested at month 0 if it is at least £5. Coupons and matured principal then enter cash and reinvest at the £5 threshold.</x:v>
      </x:c>
      <x:c r="G2" s="74" t="str">
        <x:v>The one-off deposit is invested at month 0 if it is at least £5. Coupons and matured principal then enter cash and reinvest at the £5 threshold.</x:v>
      </x:c>
      <x:c r="H2" s="74" t="str">
        <x:v>The one-off deposit is invested at month 0 if it is at least £5. Coupons and matured principal then enter cash and reinvest at the £5 threshold.</x:v>
      </x:c>
      <x:c r="I2" s="74" t="str">
        <x:v>The one-off deposit is invested at month 0 if it is at least £5. Coupons and matured principal then enter cash and reinvest at the £5 threshold.</x:v>
      </x:c>
      <x:c r="J2" s="74" t="str">
        <x:v>The one-off deposit is invested at month 0 if it is at least £5. Coupons and matured principal then enter cash and reinvest at the £5 threshold.</x:v>
      </x:c>
      <x:c r="K2" s="74" t="str">
        <x:v>The one-off deposit is invested at month 0 if it is at least £5. Coupons and matured principal then enter cash and reinvest at the £5 threshold.</x:v>
      </x:c>
      <x:c r="L2" s="74" t="str">
        <x:v>The one-off deposit is invested at month 0 if it is at least £5. Coupons and matured principal then enter cash and reinvest at the £5 threshold.</x:v>
      </x:c>
      <x:c r="M2" s="74" t="str">
        <x:v>The one-off deposit is invested at month 0 if it is at least £5. Coupons and matured principal then enter cash and reinvest at the £5 threshold.</x:v>
      </x:c>
      <x:c r="N2" s="74" t="str">
        <x:v>The one-off deposit is invested at month 0 if it is at least £5. Coupons and matured principal then enter cash and reinvest at the £5 threshold.</x:v>
      </x:c>
      <x:c r="O2" s="74" t="str">
        <x:v>The one-off deposit is invested at month 0 if it is at least £5. Coupons and matured principal then enter cash and reinvest at the £5 threshold.</x:v>
      </x:c>
    </x:row>
    <x:row r="3" ht="15" hidden="0" customHeight="1">
      <x:c r="A3" s="75"/>
      <x:c r="B3" s="75"/>
      <x:c r="C3" s="75"/>
      <x:c r="D3" s="75"/>
      <x:c r="E3" s="75"/>
      <x:c r="F3" s="75"/>
      <x:c r="G3" s="75"/>
      <x:c r="H3" s="75"/>
      <x:c r="I3" s="75"/>
      <x:c r="J3" s="75"/>
      <x:c r="K3" s="75"/>
      <x:c r="L3" s="75"/>
      <x:c r="M3" s="75"/>
      <x:c r="N3" s="75"/>
      <x:c r="O3" s="75"/>
    </x:row>
    <x:row r="4" ht="15" hidden="0" customHeight="1">
      <x:c r="A4" s="75"/>
      <x:c r="B4" s="75"/>
      <x:c r="C4" s="75"/>
      <x:c r="D4" s="75"/>
      <x:c r="E4" s="75"/>
      <x:c r="F4" s="75"/>
      <x:c r="G4" s="75"/>
      <x:c r="H4" s="75"/>
      <x:c r="I4" s="75"/>
      <x:c r="J4" s="75"/>
      <x:c r="K4" s="75"/>
      <x:c r="L4" s="75"/>
      <x:c r="M4" s="75"/>
      <x:c r="N4" s="75"/>
      <x:c r="O4" s="75"/>
    </x:row>
    <x:row r="5" ht="15" hidden="0" customHeight="1">
      <x:c r="A5" s="75"/>
      <x:c r="B5" s="75"/>
      <x:c r="C5" s="75"/>
      <x:c r="D5" s="75"/>
      <x:c r="E5" s="75"/>
      <x:c r="F5" s="75"/>
      <x:c r="G5" s="75"/>
      <x:c r="H5" s="75"/>
      <x:c r="I5" s="75"/>
      <x:c r="J5" s="75"/>
      <x:c r="K5" s="75"/>
      <x:c r="L5" s="75"/>
      <x:c r="M5" s="75"/>
      <x:c r="N5" s="75"/>
      <x:c r="O5" s="75"/>
    </x:row>
    <x:row r="6" ht="15" hidden="0" customHeight="1">
      <x:c r="A6" s="75"/>
      <x:c r="B6" s="75"/>
      <x:c r="C6" s="75"/>
      <x:c r="D6" s="75"/>
      <x:c r="E6" s="75"/>
      <x:c r="F6" s="75"/>
      <x:c r="G6" s="75"/>
      <x:c r="H6" s="75"/>
      <x:c r="I6" s="75"/>
      <x:c r="J6" s="75"/>
      <x:c r="K6" s="75"/>
      <x:c r="L6" s="75"/>
      <x:c r="M6" s="75"/>
      <x:c r="N6" s="75"/>
      <x:c r="O6" s="75"/>
    </x:row>
    <x:row r="7" ht="24" hidden="0" customHeight="1">
      <x:c r="A7" s="76" t="str">
        <x:v>Month</x:v>
      </x:c>
      <x:c r="B7" s="101" t="str">
        <x:v>Projection year</x:v>
      </x:c>
      <x:c r="C7" s="101" t="str">
        <x:v>New tranche annual rate</x:v>
      </x:c>
      <x:c r="D7" s="101" t="str">
        <x:v>External money</x:v>
      </x:c>
      <x:c r="E7" s="101" t="str">
        <x:v>Opening cash</x:v>
      </x:c>
      <x:c r="F7" s="101" t="str">
        <x:v>Coupon receipts</x:v>
      </x:c>
      <x:c r="G7" s="101" t="str">
        <x:v>Matured principal</x:v>
      </x:c>
      <x:c r="H7" s="101" t="str">
        <x:v>Cash before investment</x:v>
      </x:c>
      <x:c r="I7" s="101" t="str">
        <x:v>New tranche principal</x:v>
      </x:c>
      <x:c r="J7" s="101" t="str">
        <x:v>Ending cash</x:v>
      </x:c>
      <x:c r="K7" s="101" t="str">
        <x:v>Active invested principal</x:v>
      </x:c>
      <x:c r="L7" s="101" t="str">
        <x:v>Total value</x:v>
      </x:c>
      <x:c r="M7" s="101" t="str">
        <x:v>Investment event count</x:v>
      </x:c>
      <x:c r="N7" s="101" t="str">
        <x:v>Audit note</x:v>
      </x:c>
      <x:c r="O7" s="77" t="str"/>
    </x:row>
    <x:row r="8" ht="24" hidden="0" customHeight="1">
      <x:c r="A8" s="102" t="n">
        <x:v>0</x:v>
      </x:c>
      <x:c r="B8" s="103" t="n">
        <x:f>INT(A8/12)+1</x:f>
        <x:v>1</x:v>
      </x:c>
      <x:c r="C8" s="104" t="n">
        <x:f>INDEX('Assumptions'!$B$12:$B$21,MIN(B8,ROWS('Assumptions'!$B$12:$B$21)))</x:f>
        <x:v>0.04</x:v>
      </x:c>
      <x:c r="D8" s="105" t="n">
        <x:f>IF(A8=0,'Assumptions'!$B$5,0)</x:f>
        <x:v>10000</x:v>
      </x:c>
      <x:c r="E8" s="105" t="n">
        <x:f>0</x:f>
        <x:v>0</x:v>
      </x:c>
      <x:c r="F8" s="105" t="n">
        <x:f>0+0+0+0+0+0+0+0+0+0</x:f>
        <x:v>0</x:v>
      </x:c>
      <x:c r="G8" s="105" t="n">
        <x:f>0</x:f>
        <x:v>0</x:v>
      </x:c>
      <x:c r="H8" s="105" t="n">
        <x:f>E8+D8+F8+G8</x:f>
        <x:v>10000</x:v>
      </x:c>
      <x:c r="I8" s="105" t="n">
        <x:f>H8*(H8&gt;='Assumptions'!$B$9)</x:f>
        <x:v>10000</x:v>
      </x:c>
      <x:c r="J8" s="105" t="n">
        <x:f>H8-I8</x:f>
        <x:v>0</x:v>
      </x:c>
      <x:c r="K8" s="105" t="n">
        <x:f>I8-G8</x:f>
        <x:v>10000</x:v>
      </x:c>
      <x:c r="L8" s="105" t="n">
        <x:f>J8+K8</x:f>
        <x:v>10000</x:v>
      </x:c>
      <x:c r="M8" s="103" t="n">
        <x:f>IF(I8&gt;=5,1,0)</x:f>
        <x:v>1</x:v>
      </x:c>
      <x:c r="N8" s="106" t="str">
        <x:f>IF(I8&gt;0,"Invest cash as new 5-year tranche",IF(J8&gt;0,"Carry cash until £5 threshold",""))</x:f>
        <x:v>Invest cash as new 5-year tranche</x:v>
      </x:c>
      <x:c r="O8" s="107"/>
    </x:row>
    <x:row r="9" ht="15" hidden="0" customHeight="1">
      <x:c r="A9" s="108" t="n">
        <x:v>1</x:v>
      </x:c>
      <x:c r="B9" s="109" t="n">
        <x:f>INT(A9/12)+1</x:f>
        <x:v>1</x:v>
      </x:c>
      <x:c r="C9" s="110" t="n">
        <x:f>INDEX('Assumptions'!$B$12:$B$21,MIN(B9,ROWS('Assumptions'!$B$12:$B$21)))</x:f>
        <x:v>0.04</x:v>
      </x:c>
      <x:c r="D9" s="111" t="n">
        <x:f>IF(A9=0,'Assumptions'!$B$5,0)</x:f>
        <x:v>0</x:v>
      </x:c>
      <x:c r="E9" s="111" t="n">
        <x:f>J8</x:f>
        <x:v>0</x:v>
      </x:c>
      <x:c r="F9" s="111" t="n">
        <x:f>0+0+0+0+0+0+0+0+0+0</x:f>
        <x:v>0</x:v>
      </x:c>
      <x:c r="G9" s="111" t="n">
        <x:f>0</x:f>
        <x:v>0</x:v>
      </x:c>
      <x:c r="H9" s="111" t="n">
        <x:f>E9+D9+F9+G9</x:f>
        <x:v>0</x:v>
      </x:c>
      <x:c r="I9" s="111" t="n">
        <x:f>H9*(H9&gt;='Assumptions'!$B$9)</x:f>
        <x:v>0</x:v>
      </x:c>
      <x:c r="J9" s="111" t="n">
        <x:f>H9-I9</x:f>
        <x:v>0</x:v>
      </x:c>
      <x:c r="K9" s="111" t="n">
        <x:f>K8+I9-G9</x:f>
        <x:v>10000</x:v>
      </x:c>
      <x:c r="L9" s="111" t="n">
        <x:f>J9+K9</x:f>
        <x:v>10000</x:v>
      </x:c>
      <x:c r="M9" s="109" t="n">
        <x:f>M8+IF(I9&gt;=5,1,0)</x:f>
        <x:v>1</x:v>
      </x:c>
      <x:c r="N9" s="112" t="str">
        <x:f>IF(I9&gt;0,"Invest cash as new 5-year tranche",IF(J9&gt;0,"Carry cash until £5 threshold",""))</x:f>
      </x:c>
      <x:c r="O9" s="113"/>
    </x:row>
    <x:row r="10" ht="15" hidden="0" customHeight="1">
      <x:c r="A10" s="108" t="n">
        <x:v>2</x:v>
      </x:c>
      <x:c r="B10" s="109" t="n">
        <x:f>INT(A10/12)+1</x:f>
        <x:v>1</x:v>
      </x:c>
      <x:c r="C10" s="110" t="n">
        <x:f>INDEX('Assumptions'!$B$12:$B$21,MIN(B10,ROWS('Assumptions'!$B$12:$B$21)))</x:f>
        <x:v>0.04</x:v>
      </x:c>
      <x:c r="D10" s="111" t="n">
        <x:f>IF(A10=0,'Assumptions'!$B$5,0)</x:f>
        <x:v>0</x:v>
      </x:c>
      <x:c r="E10" s="111" t="n">
        <x:f>J9</x:f>
        <x:v>0</x:v>
      </x:c>
      <x:c r="F10" s="111" t="n">
        <x:f>0+0+0+0+0+0+0+0+0+0</x:f>
        <x:v>0</x:v>
      </x:c>
      <x:c r="G10" s="111" t="n">
        <x:f>0</x:f>
        <x:v>0</x:v>
      </x:c>
      <x:c r="H10" s="111" t="n">
        <x:f>E10+D10+F10+G10</x:f>
        <x:v>0</x:v>
      </x:c>
      <x:c r="I10" s="111" t="n">
        <x:f>H10*(H10&gt;='Assumptions'!$B$9)</x:f>
        <x:v>0</x:v>
      </x:c>
      <x:c r="J10" s="111" t="n">
        <x:f>H10-I10</x:f>
        <x:v>0</x:v>
      </x:c>
      <x:c r="K10" s="111" t="n">
        <x:f>K9+I10-G10</x:f>
        <x:v>10000</x:v>
      </x:c>
      <x:c r="L10" s="111" t="n">
        <x:f>J10+K10</x:f>
        <x:v>10000</x:v>
      </x:c>
      <x:c r="M10" s="109" t="n">
        <x:f>M9+IF(I10&gt;=5,1,0)</x:f>
        <x:v>1</x:v>
      </x:c>
      <x:c r="N10" s="112" t="str">
        <x:f>IF(I10&gt;0,"Invest cash as new 5-year tranche",IF(J10&gt;0,"Carry cash until £5 threshold",""))</x:f>
      </x:c>
      <x:c r="O10" s="113"/>
    </x:row>
    <x:row r="11" ht="15" hidden="0" customHeight="1">
      <x:c r="A11" s="108" t="n">
        <x:v>3</x:v>
      </x:c>
      <x:c r="B11" s="109" t="n">
        <x:f>INT(A11/12)+1</x:f>
        <x:v>1</x:v>
      </x:c>
      <x:c r="C11" s="110" t="n">
        <x:f>INDEX('Assumptions'!$B$12:$B$21,MIN(B11,ROWS('Assumptions'!$B$12:$B$21)))</x:f>
        <x:v>0.04</x:v>
      </x:c>
      <x:c r="D11" s="111" t="n">
        <x:f>IF(A11=0,'Assumptions'!$B$5,0)</x:f>
        <x:v>0</x:v>
      </x:c>
      <x:c r="E11" s="111" t="n">
        <x:f>J10</x:f>
        <x:v>0</x:v>
      </x:c>
      <x:c r="F11" s="111" t="n">
        <x:f>0+0+0+0+0+0+0+0+0+0</x:f>
        <x:v>0</x:v>
      </x:c>
      <x:c r="G11" s="111" t="n">
        <x:f>0</x:f>
        <x:v>0</x:v>
      </x:c>
      <x:c r="H11" s="111" t="n">
        <x:f>E11+D11+F11+G11</x:f>
        <x:v>0</x:v>
      </x:c>
      <x:c r="I11" s="111" t="n">
        <x:f>H11*(H11&gt;='Assumptions'!$B$9)</x:f>
        <x:v>0</x:v>
      </x:c>
      <x:c r="J11" s="111" t="n">
        <x:f>H11-I11</x:f>
        <x:v>0</x:v>
      </x:c>
      <x:c r="K11" s="111" t="n">
        <x:f>K10+I11-G11</x:f>
        <x:v>10000</x:v>
      </x:c>
      <x:c r="L11" s="111" t="n">
        <x:f>J11+K11</x:f>
        <x:v>10000</x:v>
      </x:c>
      <x:c r="M11" s="109" t="n">
        <x:f>M10+IF(I11&gt;=5,1,0)</x:f>
        <x:v>1</x:v>
      </x:c>
      <x:c r="N11" s="112" t="str">
        <x:f>IF(I11&gt;0,"Invest cash as new 5-year tranche",IF(J11&gt;0,"Carry cash until £5 threshold",""))</x:f>
      </x:c>
      <x:c r="O11" s="113"/>
    </x:row>
    <x:row r="12" ht="15" hidden="0" customHeight="1">
      <x:c r="A12" s="108" t="n">
        <x:v>4</x:v>
      </x:c>
      <x:c r="B12" s="109" t="n">
        <x:f>INT(A12/12)+1</x:f>
        <x:v>1</x:v>
      </x:c>
      <x:c r="C12" s="110" t="n">
        <x:f>INDEX('Assumptions'!$B$12:$B$21,MIN(B12,ROWS('Assumptions'!$B$12:$B$21)))</x:f>
        <x:v>0.04</x:v>
      </x:c>
      <x:c r="D12" s="111" t="n">
        <x:f>IF(A12=0,'Assumptions'!$B$5,0)</x:f>
        <x:v>0</x:v>
      </x:c>
      <x:c r="E12" s="111" t="n">
        <x:f>J11</x:f>
        <x:v>0</x:v>
      </x:c>
      <x:c r="F12" s="111" t="n">
        <x:f>0+0+0+0+0+0+0+0+0+0</x:f>
        <x:v>0</x:v>
      </x:c>
      <x:c r="G12" s="111" t="n">
        <x:f>0</x:f>
        <x:v>0</x:v>
      </x:c>
      <x:c r="H12" s="111" t="n">
        <x:f>E12+D12+F12+G12</x:f>
        <x:v>0</x:v>
      </x:c>
      <x:c r="I12" s="111" t="n">
        <x:f>H12*(H12&gt;='Assumptions'!$B$9)</x:f>
        <x:v>0</x:v>
      </x:c>
      <x:c r="J12" s="111" t="n">
        <x:f>H12-I12</x:f>
        <x:v>0</x:v>
      </x:c>
      <x:c r="K12" s="111" t="n">
        <x:f>K11+I12-G12</x:f>
        <x:v>10000</x:v>
      </x:c>
      <x:c r="L12" s="111" t="n">
        <x:f>J12+K12</x:f>
        <x:v>10000</x:v>
      </x:c>
      <x:c r="M12" s="109" t="n">
        <x:f>M11+IF(I12&gt;=5,1,0)</x:f>
        <x:v>1</x:v>
      </x:c>
      <x:c r="N12" s="112" t="str">
        <x:f>IF(I12&gt;0,"Invest cash as new 5-year tranche",IF(J12&gt;0,"Carry cash until £5 threshold",""))</x:f>
      </x:c>
      <x:c r="O12" s="113"/>
    </x:row>
    <x:row r="13" ht="15" hidden="0" customHeight="1">
      <x:c r="A13" s="108" t="n">
        <x:v>5</x:v>
      </x:c>
      <x:c r="B13" s="109" t="n">
        <x:f>INT(A13/12)+1</x:f>
        <x:v>1</x:v>
      </x:c>
      <x:c r="C13" s="110" t="n">
        <x:f>INDEX('Assumptions'!$B$12:$B$21,MIN(B13,ROWS('Assumptions'!$B$12:$B$21)))</x:f>
        <x:v>0.04</x:v>
      </x:c>
      <x:c r="D13" s="111" t="n">
        <x:f>IF(A13=0,'Assumptions'!$B$5,0)</x:f>
        <x:v>0</x:v>
      </x:c>
      <x:c r="E13" s="111" t="n">
        <x:f>J12</x:f>
        <x:v>0</x:v>
      </x:c>
      <x:c r="F13" s="111" t="n">
        <x:f>0+0+0+0+0+0+0+0+0+0</x:f>
        <x:v>0</x:v>
      </x:c>
      <x:c r="G13" s="111" t="n">
        <x:f>0</x:f>
        <x:v>0</x:v>
      </x:c>
      <x:c r="H13" s="111" t="n">
        <x:f>E13+D13+F13+G13</x:f>
        <x:v>0</x:v>
      </x:c>
      <x:c r="I13" s="111" t="n">
        <x:f>H13*(H13&gt;='Assumptions'!$B$9)</x:f>
        <x:v>0</x:v>
      </x:c>
      <x:c r="J13" s="111" t="n">
        <x:f>H13-I13</x:f>
        <x:v>0</x:v>
      </x:c>
      <x:c r="K13" s="111" t="n">
        <x:f>K12+I13-G13</x:f>
        <x:v>10000</x:v>
      </x:c>
      <x:c r="L13" s="111" t="n">
        <x:f>J13+K13</x:f>
        <x:v>10000</x:v>
      </x:c>
      <x:c r="M13" s="109" t="n">
        <x:f>M12+IF(I13&gt;=5,1,0)</x:f>
        <x:v>1</x:v>
      </x:c>
      <x:c r="N13" s="112" t="str">
        <x:f>IF(I13&gt;0,"Invest cash as new 5-year tranche",IF(J13&gt;0,"Carry cash until £5 threshold",""))</x:f>
      </x:c>
      <x:c r="O13" s="113"/>
    </x:row>
    <x:row r="14" ht="24" hidden="0" customHeight="1">
      <x:c r="A14" s="108" t="n">
        <x:v>6</x:v>
      </x:c>
      <x:c r="B14" s="109" t="n">
        <x:f>INT(A14/12)+1</x:f>
        <x:v>1</x:v>
      </x:c>
      <x:c r="C14" s="110" t="n">
        <x:f>INDEX('Assumptions'!$B$12:$B$21,MIN(B14,ROWS('Assumptions'!$B$12:$B$21)))</x:f>
        <x:v>0.04</x:v>
      </x:c>
      <x:c r="D14" s="111" t="n">
        <x:f>IF(A14=0,'Assumptions'!$B$5,0)</x:f>
        <x:v>0</x:v>
      </x:c>
      <x:c r="E14" s="111" t="n">
        <x:f>J13</x:f>
        <x:v>0</x:v>
      </x:c>
      <x:c r="F14" s="111" t="n">
        <x:f>I8*C8/2+0+0+0+0+0+0+0+0+0</x:f>
        <x:v>200</x:v>
      </x:c>
      <x:c r="G14" s="111" t="n">
        <x:f>0</x:f>
        <x:v>0</x:v>
      </x:c>
      <x:c r="H14" s="111" t="n">
        <x:f>E14+D14+F14+G14</x:f>
        <x:v>200</x:v>
      </x:c>
      <x:c r="I14" s="111" t="n">
        <x:f>H14*(H14&gt;='Assumptions'!$B$9)</x:f>
        <x:v>200</x:v>
      </x:c>
      <x:c r="J14" s="111" t="n">
        <x:f>H14-I14</x:f>
        <x:v>0</x:v>
      </x:c>
      <x:c r="K14" s="111" t="n">
        <x:f>K13+I14-G14</x:f>
        <x:v>10200</x:v>
      </x:c>
      <x:c r="L14" s="111" t="n">
        <x:f>J14+K14</x:f>
        <x:v>10200</x:v>
      </x:c>
      <x:c r="M14" s="109" t="n">
        <x:f>M13+IF(I14&gt;=5,1,0)</x:f>
        <x:v>2</x:v>
      </x:c>
      <x:c r="N14" s="112" t="str">
        <x:f>IF(I14&gt;0,"Invest cash as new 5-year tranche",IF(J14&gt;0,"Carry cash until £5 threshold",""))</x:f>
        <x:v>Invest cash as new 5-year tranche</x:v>
      </x:c>
      <x:c r="O14" s="113"/>
    </x:row>
    <x:row r="15" ht="15" hidden="0" customHeight="1">
      <x:c r="A15" s="108" t="n">
        <x:v>7</x:v>
      </x:c>
      <x:c r="B15" s="109" t="n">
        <x:f>INT(A15/12)+1</x:f>
        <x:v>1</x:v>
      </x:c>
      <x:c r="C15" s="110" t="n">
        <x:f>INDEX('Assumptions'!$B$12:$B$21,MIN(B15,ROWS('Assumptions'!$B$12:$B$21)))</x:f>
        <x:v>0.04</x:v>
      </x:c>
      <x:c r="D15" s="111" t="n">
        <x:f>IF(A15=0,'Assumptions'!$B$5,0)</x:f>
        <x:v>0</x:v>
      </x:c>
      <x:c r="E15" s="111" t="n">
        <x:f>J14</x:f>
        <x:v>0</x:v>
      </x:c>
      <x:c r="F15" s="111" t="n">
        <x:f>I9*C9/2+0+0+0+0+0+0+0+0+0</x:f>
        <x:v>0</x:v>
      </x:c>
      <x:c r="G15" s="111" t="n">
        <x:f>0</x:f>
        <x:v>0</x:v>
      </x:c>
      <x:c r="H15" s="111" t="n">
        <x:f>E15+D15+F15+G15</x:f>
        <x:v>0</x:v>
      </x:c>
      <x:c r="I15" s="111" t="n">
        <x:f>H15*(H15&gt;='Assumptions'!$B$9)</x:f>
        <x:v>0</x:v>
      </x:c>
      <x:c r="J15" s="111" t="n">
        <x:f>H15-I15</x:f>
        <x:v>0</x:v>
      </x:c>
      <x:c r="K15" s="111" t="n">
        <x:f>K14+I15-G15</x:f>
        <x:v>10200</x:v>
      </x:c>
      <x:c r="L15" s="111" t="n">
        <x:f>J15+K15</x:f>
        <x:v>10200</x:v>
      </x:c>
      <x:c r="M15" s="109" t="n">
        <x:f>M14+IF(I15&gt;=5,1,0)</x:f>
        <x:v>2</x:v>
      </x:c>
      <x:c r="N15" s="112" t="str">
        <x:f>IF(I15&gt;0,"Invest cash as new 5-year tranche",IF(J15&gt;0,"Carry cash until £5 threshold",""))</x:f>
      </x:c>
      <x:c r="O15" s="113"/>
    </x:row>
    <x:row r="16" ht="15" hidden="0" customHeight="1">
      <x:c r="A16" s="108" t="n">
        <x:v>8</x:v>
      </x:c>
      <x:c r="B16" s="109" t="n">
        <x:f>INT(A16/12)+1</x:f>
        <x:v>1</x:v>
      </x:c>
      <x:c r="C16" s="110" t="n">
        <x:f>INDEX('Assumptions'!$B$12:$B$21,MIN(B16,ROWS('Assumptions'!$B$12:$B$21)))</x:f>
        <x:v>0.04</x:v>
      </x:c>
      <x:c r="D16" s="111" t="n">
        <x:f>IF(A16=0,'Assumptions'!$B$5,0)</x:f>
        <x:v>0</x:v>
      </x:c>
      <x:c r="E16" s="111" t="n">
        <x:f>J15</x:f>
        <x:v>0</x:v>
      </x:c>
      <x:c r="F16" s="111" t="n">
        <x:f>I10*C10/2+0+0+0+0+0+0+0+0+0</x:f>
        <x:v>0</x:v>
      </x:c>
      <x:c r="G16" s="111" t="n">
        <x:f>0</x:f>
        <x:v>0</x:v>
      </x:c>
      <x:c r="H16" s="111" t="n">
        <x:f>E16+D16+F16+G16</x:f>
        <x:v>0</x:v>
      </x:c>
      <x:c r="I16" s="111" t="n">
        <x:f>H16*(H16&gt;='Assumptions'!$B$9)</x:f>
        <x:v>0</x:v>
      </x:c>
      <x:c r="J16" s="111" t="n">
        <x:f>H16-I16</x:f>
        <x:v>0</x:v>
      </x:c>
      <x:c r="K16" s="111" t="n">
        <x:f>K15+I16-G16</x:f>
        <x:v>10200</x:v>
      </x:c>
      <x:c r="L16" s="111" t="n">
        <x:f>J16+K16</x:f>
        <x:v>10200</x:v>
      </x:c>
      <x:c r="M16" s="109" t="n">
        <x:f>M15+IF(I16&gt;=5,1,0)</x:f>
        <x:v>2</x:v>
      </x:c>
      <x:c r="N16" s="112" t="str">
        <x:f>IF(I16&gt;0,"Invest cash as new 5-year tranche",IF(J16&gt;0,"Carry cash until £5 threshold",""))</x:f>
      </x:c>
      <x:c r="O16" s="113"/>
    </x:row>
    <x:row r="17" ht="15" hidden="0" customHeight="1">
      <x:c r="A17" s="108" t="n">
        <x:v>9</x:v>
      </x:c>
      <x:c r="B17" s="109" t="n">
        <x:f>INT(A17/12)+1</x:f>
        <x:v>1</x:v>
      </x:c>
      <x:c r="C17" s="110" t="n">
        <x:f>INDEX('Assumptions'!$B$12:$B$21,MIN(B17,ROWS('Assumptions'!$B$12:$B$21)))</x:f>
        <x:v>0.04</x:v>
      </x:c>
      <x:c r="D17" s="111" t="n">
        <x:f>IF(A17=0,'Assumptions'!$B$5,0)</x:f>
        <x:v>0</x:v>
      </x:c>
      <x:c r="E17" s="111" t="n">
        <x:f>J16</x:f>
        <x:v>0</x:v>
      </x:c>
      <x:c r="F17" s="111" t="n">
        <x:f>I11*C11/2+0+0+0+0+0+0+0+0+0</x:f>
        <x:v>0</x:v>
      </x:c>
      <x:c r="G17" s="111" t="n">
        <x:f>0</x:f>
        <x:v>0</x:v>
      </x:c>
      <x:c r="H17" s="111" t="n">
        <x:f>E17+D17+F17+G17</x:f>
        <x:v>0</x:v>
      </x:c>
      <x:c r="I17" s="111" t="n">
        <x:f>H17*(H17&gt;='Assumptions'!$B$9)</x:f>
        <x:v>0</x:v>
      </x:c>
      <x:c r="J17" s="111" t="n">
        <x:f>H17-I17</x:f>
        <x:v>0</x:v>
      </x:c>
      <x:c r="K17" s="111" t="n">
        <x:f>K16+I17-G17</x:f>
        <x:v>10200</x:v>
      </x:c>
      <x:c r="L17" s="111" t="n">
        <x:f>J17+K17</x:f>
        <x:v>10200</x:v>
      </x:c>
      <x:c r="M17" s="109" t="n">
        <x:f>M16+IF(I17&gt;=5,1,0)</x:f>
        <x:v>2</x:v>
      </x:c>
      <x:c r="N17" s="112" t="str">
        <x:f>IF(I17&gt;0,"Invest cash as new 5-year tranche",IF(J17&gt;0,"Carry cash until £5 threshold",""))</x:f>
      </x:c>
      <x:c r="O17" s="113"/>
    </x:row>
    <x:row r="18" ht="15" hidden="0" customHeight="1">
      <x:c r="A18" s="108" t="n">
        <x:v>10</x:v>
      </x:c>
      <x:c r="B18" s="109" t="n">
        <x:f>INT(A18/12)+1</x:f>
        <x:v>1</x:v>
      </x:c>
      <x:c r="C18" s="110" t="n">
        <x:f>INDEX('Assumptions'!$B$12:$B$21,MIN(B18,ROWS('Assumptions'!$B$12:$B$21)))</x:f>
        <x:v>0.04</x:v>
      </x:c>
      <x:c r="D18" s="111" t="n">
        <x:f>IF(A18=0,'Assumptions'!$B$5,0)</x:f>
        <x:v>0</x:v>
      </x:c>
      <x:c r="E18" s="111" t="n">
        <x:f>J17</x:f>
        <x:v>0</x:v>
      </x:c>
      <x:c r="F18" s="111" t="n">
        <x:f>I12*C12/2+0+0+0+0+0+0+0+0+0</x:f>
        <x:v>0</x:v>
      </x:c>
      <x:c r="G18" s="111" t="n">
        <x:f>0</x:f>
        <x:v>0</x:v>
      </x:c>
      <x:c r="H18" s="111" t="n">
        <x:f>E18+D18+F18+G18</x:f>
        <x:v>0</x:v>
      </x:c>
      <x:c r="I18" s="111" t="n">
        <x:f>H18*(H18&gt;='Assumptions'!$B$9)</x:f>
        <x:v>0</x:v>
      </x:c>
      <x:c r="J18" s="111" t="n">
        <x:f>H18-I18</x:f>
        <x:v>0</x:v>
      </x:c>
      <x:c r="K18" s="111" t="n">
        <x:f>K17+I18-G18</x:f>
        <x:v>10200</x:v>
      </x:c>
      <x:c r="L18" s="111" t="n">
        <x:f>J18+K18</x:f>
        <x:v>10200</x:v>
      </x:c>
      <x:c r="M18" s="109" t="n">
        <x:f>M17+IF(I18&gt;=5,1,0)</x:f>
        <x:v>2</x:v>
      </x:c>
      <x:c r="N18" s="112" t="str">
        <x:f>IF(I18&gt;0,"Invest cash as new 5-year tranche",IF(J18&gt;0,"Carry cash until £5 threshold",""))</x:f>
      </x:c>
      <x:c r="O18" s="113"/>
    </x:row>
    <x:row r="19" ht="15" hidden="0" customHeight="1">
      <x:c r="A19" s="108" t="n">
        <x:v>11</x:v>
      </x:c>
      <x:c r="B19" s="109" t="n">
        <x:f>INT(A19/12)+1</x:f>
        <x:v>1</x:v>
      </x:c>
      <x:c r="C19" s="110" t="n">
        <x:f>INDEX('Assumptions'!$B$12:$B$21,MIN(B19,ROWS('Assumptions'!$B$12:$B$21)))</x:f>
        <x:v>0.04</x:v>
      </x:c>
      <x:c r="D19" s="111" t="n">
        <x:f>IF(A19=0,'Assumptions'!$B$5,0)</x:f>
        <x:v>0</x:v>
      </x:c>
      <x:c r="E19" s="111" t="n">
        <x:f>J18</x:f>
        <x:v>0</x:v>
      </x:c>
      <x:c r="F19" s="111" t="n">
        <x:f>I13*C13/2+0+0+0+0+0+0+0+0+0</x:f>
        <x:v>0</x:v>
      </x:c>
      <x:c r="G19" s="111" t="n">
        <x:f>0</x:f>
        <x:v>0</x:v>
      </x:c>
      <x:c r="H19" s="111" t="n">
        <x:f>E19+D19+F19+G19</x:f>
        <x:v>0</x:v>
      </x:c>
      <x:c r="I19" s="111" t="n">
        <x:f>H19*(H19&gt;='Assumptions'!$B$9)</x:f>
        <x:v>0</x:v>
      </x:c>
      <x:c r="J19" s="111" t="n">
        <x:f>H19-I19</x:f>
        <x:v>0</x:v>
      </x:c>
      <x:c r="K19" s="111" t="n">
        <x:f>K18+I19-G19</x:f>
        <x:v>10200</x:v>
      </x:c>
      <x:c r="L19" s="111" t="n">
        <x:f>J19+K19</x:f>
        <x:v>10200</x:v>
      </x:c>
      <x:c r="M19" s="109" t="n">
        <x:f>M18+IF(I19&gt;=5,1,0)</x:f>
        <x:v>2</x:v>
      </x:c>
      <x:c r="N19" s="112" t="str">
        <x:f>IF(I19&gt;0,"Invest cash as new 5-year tranche",IF(J19&gt;0,"Carry cash until £5 threshold",""))</x:f>
      </x:c>
      <x:c r="O19" s="113"/>
    </x:row>
    <x:row r="20" ht="24" hidden="0" customHeight="1">
      <x:c r="A20" s="108" t="n">
        <x:v>12</x:v>
      </x:c>
      <x:c r="B20" s="109" t="n">
        <x:f>INT(A20/12)+1</x:f>
        <x:v>2</x:v>
      </x:c>
      <x:c r="C20" s="110" t="n">
        <x:f>INDEX('Assumptions'!$B$12:$B$21,MIN(B20,ROWS('Assumptions'!$B$12:$B$21)))</x:f>
        <x:v>0.038</x:v>
      </x:c>
      <x:c r="D20" s="111" t="n">
        <x:f>IF(A20=0,'Assumptions'!$B$5,0)</x:f>
        <x:v>0</x:v>
      </x:c>
      <x:c r="E20" s="111" t="n">
        <x:f>J19</x:f>
        <x:v>0</x:v>
      </x:c>
      <x:c r="F20" s="111" t="n">
        <x:f>I14*C14/2+I8*C8/2+0+0+0+0+0+0+0+0</x:f>
        <x:v>204</x:v>
      </x:c>
      <x:c r="G20" s="111" t="n">
        <x:f>0</x:f>
        <x:v>0</x:v>
      </x:c>
      <x:c r="H20" s="111" t="n">
        <x:f>E20+D20+F20+G20</x:f>
        <x:v>204</x:v>
      </x:c>
      <x:c r="I20" s="111" t="n">
        <x:f>H20*(H20&gt;='Assumptions'!$B$9)</x:f>
        <x:v>204</x:v>
      </x:c>
      <x:c r="J20" s="111" t="n">
        <x:f>H20-I20</x:f>
        <x:v>0</x:v>
      </x:c>
      <x:c r="K20" s="111" t="n">
        <x:f>K19+I20-G20</x:f>
        <x:v>10404</x:v>
      </x:c>
      <x:c r="L20" s="111" t="n">
        <x:f>J20+K20</x:f>
        <x:v>10404</x:v>
      </x:c>
      <x:c r="M20" s="109" t="n">
        <x:f>M19+IF(I20&gt;=5,1,0)</x:f>
        <x:v>3</x:v>
      </x:c>
      <x:c r="N20" s="112" t="str">
        <x:f>IF(I20&gt;0,"Invest cash as new 5-year tranche",IF(J20&gt;0,"Carry cash until £5 threshold",""))</x:f>
        <x:v>Invest cash as new 5-year tranche</x:v>
      </x:c>
      <x:c r="O20" s="113"/>
    </x:row>
    <x:row r="21" ht="15" hidden="0" customHeight="1">
      <x:c r="A21" s="108" t="n">
        <x:v>13</x:v>
      </x:c>
      <x:c r="B21" s="109" t="n">
        <x:f>INT(A21/12)+1</x:f>
        <x:v>2</x:v>
      </x:c>
      <x:c r="C21" s="110" t="n">
        <x:f>INDEX('Assumptions'!$B$12:$B$21,MIN(B21,ROWS('Assumptions'!$B$12:$B$21)))</x:f>
        <x:v>0.038</x:v>
      </x:c>
      <x:c r="D21" s="111" t="n">
        <x:f>IF(A21=0,'Assumptions'!$B$5,0)</x:f>
        <x:v>0</x:v>
      </x:c>
      <x:c r="E21" s="111" t="n">
        <x:f>J20</x:f>
        <x:v>0</x:v>
      </x:c>
      <x:c r="F21" s="111" t="n">
        <x:f>I15*C15/2+I9*C9/2+0+0+0+0+0+0+0+0</x:f>
        <x:v>0</x:v>
      </x:c>
      <x:c r="G21" s="111" t="n">
        <x:f>0</x:f>
        <x:v>0</x:v>
      </x:c>
      <x:c r="H21" s="111" t="n">
        <x:f>E21+D21+F21+G21</x:f>
        <x:v>0</x:v>
      </x:c>
      <x:c r="I21" s="111" t="n">
        <x:f>H21*(H21&gt;='Assumptions'!$B$9)</x:f>
        <x:v>0</x:v>
      </x:c>
      <x:c r="J21" s="111" t="n">
        <x:f>H21-I21</x:f>
        <x:v>0</x:v>
      </x:c>
      <x:c r="K21" s="111" t="n">
        <x:f>K20+I21-G21</x:f>
        <x:v>10404</x:v>
      </x:c>
      <x:c r="L21" s="111" t="n">
        <x:f>J21+K21</x:f>
        <x:v>10404</x:v>
      </x:c>
      <x:c r="M21" s="109" t="n">
        <x:f>M20+IF(I21&gt;=5,1,0)</x:f>
        <x:v>3</x:v>
      </x:c>
      <x:c r="N21" s="112" t="str">
        <x:f>IF(I21&gt;0,"Invest cash as new 5-year tranche",IF(J21&gt;0,"Carry cash until £5 threshold",""))</x:f>
      </x:c>
      <x:c r="O21" s="113"/>
    </x:row>
    <x:row r="22" ht="15" hidden="0" customHeight="1">
      <x:c r="A22" s="108" t="n">
        <x:v>14</x:v>
      </x:c>
      <x:c r="B22" s="109" t="n">
        <x:f>INT(A22/12)+1</x:f>
        <x:v>2</x:v>
      </x:c>
      <x:c r="C22" s="110" t="n">
        <x:f>INDEX('Assumptions'!$B$12:$B$21,MIN(B22,ROWS('Assumptions'!$B$12:$B$21)))</x:f>
        <x:v>0.038</x:v>
      </x:c>
      <x:c r="D22" s="111" t="n">
        <x:f>IF(A22=0,'Assumptions'!$B$5,0)</x:f>
        <x:v>0</x:v>
      </x:c>
      <x:c r="E22" s="111" t="n">
        <x:f>J21</x:f>
        <x:v>0</x:v>
      </x:c>
      <x:c r="F22" s="111" t="n">
        <x:f>I16*C16/2+I10*C10/2+0+0+0+0+0+0+0+0</x:f>
        <x:v>0</x:v>
      </x:c>
      <x:c r="G22" s="111" t="n">
        <x:f>0</x:f>
        <x:v>0</x:v>
      </x:c>
      <x:c r="H22" s="111" t="n">
        <x:f>E22+D22+F22+G22</x:f>
        <x:v>0</x:v>
      </x:c>
      <x:c r="I22" s="111" t="n">
        <x:f>H22*(H22&gt;='Assumptions'!$B$9)</x:f>
        <x:v>0</x:v>
      </x:c>
      <x:c r="J22" s="111" t="n">
        <x:f>H22-I22</x:f>
        <x:v>0</x:v>
      </x:c>
      <x:c r="K22" s="111" t="n">
        <x:f>K21+I22-G22</x:f>
        <x:v>10404</x:v>
      </x:c>
      <x:c r="L22" s="111" t="n">
        <x:f>J22+K22</x:f>
        <x:v>10404</x:v>
      </x:c>
      <x:c r="M22" s="109" t="n">
        <x:f>M21+IF(I22&gt;=5,1,0)</x:f>
        <x:v>3</x:v>
      </x:c>
      <x:c r="N22" s="112" t="str">
        <x:f>IF(I22&gt;0,"Invest cash as new 5-year tranche",IF(J22&gt;0,"Carry cash until £5 threshold",""))</x:f>
      </x:c>
      <x:c r="O22" s="113"/>
    </x:row>
    <x:row r="23" ht="15" hidden="0" customHeight="1">
      <x:c r="A23" s="108" t="n">
        <x:v>15</x:v>
      </x:c>
      <x:c r="B23" s="109" t="n">
        <x:f>INT(A23/12)+1</x:f>
        <x:v>2</x:v>
      </x:c>
      <x:c r="C23" s="110" t="n">
        <x:f>INDEX('Assumptions'!$B$12:$B$21,MIN(B23,ROWS('Assumptions'!$B$12:$B$21)))</x:f>
        <x:v>0.038</x:v>
      </x:c>
      <x:c r="D23" s="111" t="n">
        <x:f>IF(A23=0,'Assumptions'!$B$5,0)</x:f>
        <x:v>0</x:v>
      </x:c>
      <x:c r="E23" s="111" t="n">
        <x:f>J22</x:f>
        <x:v>0</x:v>
      </x:c>
      <x:c r="F23" s="111" t="n">
        <x:f>I17*C17/2+I11*C11/2+0+0+0+0+0+0+0+0</x:f>
        <x:v>0</x:v>
      </x:c>
      <x:c r="G23" s="111" t="n">
        <x:f>0</x:f>
        <x:v>0</x:v>
      </x:c>
      <x:c r="H23" s="111" t="n">
        <x:f>E23+D23+F23+G23</x:f>
        <x:v>0</x:v>
      </x:c>
      <x:c r="I23" s="111" t="n">
        <x:f>H23*(H23&gt;='Assumptions'!$B$9)</x:f>
        <x:v>0</x:v>
      </x:c>
      <x:c r="J23" s="111" t="n">
        <x:f>H23-I23</x:f>
        <x:v>0</x:v>
      </x:c>
      <x:c r="K23" s="111" t="n">
        <x:f>K22+I23-G23</x:f>
        <x:v>10404</x:v>
      </x:c>
      <x:c r="L23" s="111" t="n">
        <x:f>J23+K23</x:f>
        <x:v>10404</x:v>
      </x:c>
      <x:c r="M23" s="109" t="n">
        <x:f>M22+IF(I23&gt;=5,1,0)</x:f>
        <x:v>3</x:v>
      </x:c>
      <x:c r="N23" s="112" t="str">
        <x:f>IF(I23&gt;0,"Invest cash as new 5-year tranche",IF(J23&gt;0,"Carry cash until £5 threshold",""))</x:f>
      </x:c>
      <x:c r="O23" s="113"/>
    </x:row>
    <x:row r="24" ht="15" hidden="0" customHeight="1">
      <x:c r="A24" s="108" t="n">
        <x:v>16</x:v>
      </x:c>
      <x:c r="B24" s="109" t="n">
        <x:f>INT(A24/12)+1</x:f>
        <x:v>2</x:v>
      </x:c>
      <x:c r="C24" s="110" t="n">
        <x:f>INDEX('Assumptions'!$B$12:$B$21,MIN(B24,ROWS('Assumptions'!$B$12:$B$21)))</x:f>
        <x:v>0.038</x:v>
      </x:c>
      <x:c r="D24" s="111" t="n">
        <x:f>IF(A24=0,'Assumptions'!$B$5,0)</x:f>
        <x:v>0</x:v>
      </x:c>
      <x:c r="E24" s="111" t="n">
        <x:f>J23</x:f>
        <x:v>0</x:v>
      </x:c>
      <x:c r="F24" s="111" t="n">
        <x:f>I18*C18/2+I12*C12/2+0+0+0+0+0+0+0+0</x:f>
        <x:v>0</x:v>
      </x:c>
      <x:c r="G24" s="111" t="n">
        <x:f>0</x:f>
        <x:v>0</x:v>
      </x:c>
      <x:c r="H24" s="111" t="n">
        <x:f>E24+D24+F24+G24</x:f>
        <x:v>0</x:v>
      </x:c>
      <x:c r="I24" s="111" t="n">
        <x:f>H24*(H24&gt;='Assumptions'!$B$9)</x:f>
        <x:v>0</x:v>
      </x:c>
      <x:c r="J24" s="111" t="n">
        <x:f>H24-I24</x:f>
        <x:v>0</x:v>
      </x:c>
      <x:c r="K24" s="111" t="n">
        <x:f>K23+I24-G24</x:f>
        <x:v>10404</x:v>
      </x:c>
      <x:c r="L24" s="111" t="n">
        <x:f>J24+K24</x:f>
        <x:v>10404</x:v>
      </x:c>
      <x:c r="M24" s="109" t="n">
        <x:f>M23+IF(I24&gt;=5,1,0)</x:f>
        <x:v>3</x:v>
      </x:c>
      <x:c r="N24" s="112" t="str">
        <x:f>IF(I24&gt;0,"Invest cash as new 5-year tranche",IF(J24&gt;0,"Carry cash until £5 threshold",""))</x:f>
      </x:c>
      <x:c r="O24" s="113"/>
    </x:row>
    <x:row r="25" ht="15" hidden="0" customHeight="1">
      <x:c r="A25" s="108" t="n">
        <x:v>17</x:v>
      </x:c>
      <x:c r="B25" s="109" t="n">
        <x:f>INT(A25/12)+1</x:f>
        <x:v>2</x:v>
      </x:c>
      <x:c r="C25" s="110" t="n">
        <x:f>INDEX('Assumptions'!$B$12:$B$21,MIN(B25,ROWS('Assumptions'!$B$12:$B$21)))</x:f>
        <x:v>0.038</x:v>
      </x:c>
      <x:c r="D25" s="111" t="n">
        <x:f>IF(A25=0,'Assumptions'!$B$5,0)</x:f>
        <x:v>0</x:v>
      </x:c>
      <x:c r="E25" s="111" t="n">
        <x:f>J24</x:f>
        <x:v>0</x:v>
      </x:c>
      <x:c r="F25" s="111" t="n">
        <x:f>I19*C19/2+I13*C13/2+0+0+0+0+0+0+0+0</x:f>
        <x:v>0</x:v>
      </x:c>
      <x:c r="G25" s="111" t="n">
        <x:f>0</x:f>
        <x:v>0</x:v>
      </x:c>
      <x:c r="H25" s="111" t="n">
        <x:f>E25+D25+F25+G25</x:f>
        <x:v>0</x:v>
      </x:c>
      <x:c r="I25" s="111" t="n">
        <x:f>H25*(H25&gt;='Assumptions'!$B$9)</x:f>
        <x:v>0</x:v>
      </x:c>
      <x:c r="J25" s="111" t="n">
        <x:f>H25-I25</x:f>
        <x:v>0</x:v>
      </x:c>
      <x:c r="K25" s="111" t="n">
        <x:f>K24+I25-G25</x:f>
        <x:v>10404</x:v>
      </x:c>
      <x:c r="L25" s="111" t="n">
        <x:f>J25+K25</x:f>
        <x:v>10404</x:v>
      </x:c>
      <x:c r="M25" s="109" t="n">
        <x:f>M24+IF(I25&gt;=5,1,0)</x:f>
        <x:v>3</x:v>
      </x:c>
      <x:c r="N25" s="112" t="str">
        <x:f>IF(I25&gt;0,"Invest cash as new 5-year tranche",IF(J25&gt;0,"Carry cash until £5 threshold",""))</x:f>
      </x:c>
      <x:c r="O25" s="113"/>
    </x:row>
    <x:row r="26" ht="24" hidden="0" customHeight="1">
      <x:c r="A26" s="108" t="n">
        <x:v>18</x:v>
      </x:c>
      <x:c r="B26" s="109" t="n">
        <x:f>INT(A26/12)+1</x:f>
        <x:v>2</x:v>
      </x:c>
      <x:c r="C26" s="110" t="n">
        <x:f>INDEX('Assumptions'!$B$12:$B$21,MIN(B26,ROWS('Assumptions'!$B$12:$B$21)))</x:f>
        <x:v>0.038</x:v>
      </x:c>
      <x:c r="D26" s="111" t="n">
        <x:f>IF(A26=0,'Assumptions'!$B$5,0)</x:f>
        <x:v>0</x:v>
      </x:c>
      <x:c r="E26" s="111" t="n">
        <x:f>J25</x:f>
        <x:v>0</x:v>
      </x:c>
      <x:c r="F26" s="111" t="n">
        <x:f>I20*C20/2+I14*C14/2+I8*C8/2+0+0+0+0+0+0+0</x:f>
        <x:v>207.876</x:v>
      </x:c>
      <x:c r="G26" s="111" t="n">
        <x:f>0</x:f>
        <x:v>0</x:v>
      </x:c>
      <x:c r="H26" s="111" t="n">
        <x:f>E26+D26+F26+G26</x:f>
        <x:v>207.876</x:v>
      </x:c>
      <x:c r="I26" s="111" t="n">
        <x:f>H26*(H26&gt;='Assumptions'!$B$9)</x:f>
        <x:v>207.876</x:v>
      </x:c>
      <x:c r="J26" s="111" t="n">
        <x:f>H26-I26</x:f>
        <x:v>0</x:v>
      </x:c>
      <x:c r="K26" s="111" t="n">
        <x:f>K25+I26-G26</x:f>
        <x:v>10611.876</x:v>
      </x:c>
      <x:c r="L26" s="111" t="n">
        <x:f>J26+K26</x:f>
        <x:v>10611.876</x:v>
      </x:c>
      <x:c r="M26" s="109" t="n">
        <x:f>M25+IF(I26&gt;=5,1,0)</x:f>
        <x:v>4</x:v>
      </x:c>
      <x:c r="N26" s="112" t="str">
        <x:f>IF(I26&gt;0,"Invest cash as new 5-year tranche",IF(J26&gt;0,"Carry cash until £5 threshold",""))</x:f>
        <x:v>Invest cash as new 5-year tranche</x:v>
      </x:c>
      <x:c r="O26" s="113"/>
    </x:row>
    <x:row r="27" ht="15" hidden="0" customHeight="1">
      <x:c r="A27" s="108" t="n">
        <x:v>19</x:v>
      </x:c>
      <x:c r="B27" s="109" t="n">
        <x:f>INT(A27/12)+1</x:f>
        <x:v>2</x:v>
      </x:c>
      <x:c r="C27" s="110" t="n">
        <x:f>INDEX('Assumptions'!$B$12:$B$21,MIN(B27,ROWS('Assumptions'!$B$12:$B$21)))</x:f>
        <x:v>0.038</x:v>
      </x:c>
      <x:c r="D27" s="111" t="n">
        <x:f>IF(A27=0,'Assumptions'!$B$5,0)</x:f>
        <x:v>0</x:v>
      </x:c>
      <x:c r="E27" s="111" t="n">
        <x:f>J26</x:f>
        <x:v>0</x:v>
      </x:c>
      <x:c r="F27" s="111" t="n">
        <x:f>I21*C21/2+I15*C15/2+I9*C9/2+0+0+0+0+0+0+0</x:f>
        <x:v>0</x:v>
      </x:c>
      <x:c r="G27" s="111" t="n">
        <x:f>0</x:f>
        <x:v>0</x:v>
      </x:c>
      <x:c r="H27" s="111" t="n">
        <x:f>E27+D27+F27+G27</x:f>
        <x:v>0</x:v>
      </x:c>
      <x:c r="I27" s="111" t="n">
        <x:f>H27*(H27&gt;='Assumptions'!$B$9)</x:f>
        <x:v>0</x:v>
      </x:c>
      <x:c r="J27" s="111" t="n">
        <x:f>H27-I27</x:f>
        <x:v>0</x:v>
      </x:c>
      <x:c r="K27" s="111" t="n">
        <x:f>K26+I27-G27</x:f>
        <x:v>10611.876</x:v>
      </x:c>
      <x:c r="L27" s="111" t="n">
        <x:f>J27+K27</x:f>
        <x:v>10611.876</x:v>
      </x:c>
      <x:c r="M27" s="109" t="n">
        <x:f>M26+IF(I27&gt;=5,1,0)</x:f>
        <x:v>4</x:v>
      </x:c>
      <x:c r="N27" s="112" t="str">
        <x:f>IF(I27&gt;0,"Invest cash as new 5-year tranche",IF(J27&gt;0,"Carry cash until £5 threshold",""))</x:f>
      </x:c>
      <x:c r="O27" s="113"/>
    </x:row>
    <x:row r="28" ht="15" hidden="0" customHeight="1">
      <x:c r="A28" s="108" t="n">
        <x:v>20</x:v>
      </x:c>
      <x:c r="B28" s="109" t="n">
        <x:f>INT(A28/12)+1</x:f>
        <x:v>2</x:v>
      </x:c>
      <x:c r="C28" s="110" t="n">
        <x:f>INDEX('Assumptions'!$B$12:$B$21,MIN(B28,ROWS('Assumptions'!$B$12:$B$21)))</x:f>
        <x:v>0.038</x:v>
      </x:c>
      <x:c r="D28" s="111" t="n">
        <x:f>IF(A28=0,'Assumptions'!$B$5,0)</x:f>
        <x:v>0</x:v>
      </x:c>
      <x:c r="E28" s="111" t="n">
        <x:f>J27</x:f>
        <x:v>0</x:v>
      </x:c>
      <x:c r="F28" s="111" t="n">
        <x:f>I22*C22/2+I16*C16/2+I10*C10/2+0+0+0+0+0+0+0</x:f>
        <x:v>0</x:v>
      </x:c>
      <x:c r="G28" s="111" t="n">
        <x:f>0</x:f>
        <x:v>0</x:v>
      </x:c>
      <x:c r="H28" s="111" t="n">
        <x:f>E28+D28+F28+G28</x:f>
        <x:v>0</x:v>
      </x:c>
      <x:c r="I28" s="111" t="n">
        <x:f>H28*(H28&gt;='Assumptions'!$B$9)</x:f>
        <x:v>0</x:v>
      </x:c>
      <x:c r="J28" s="111" t="n">
        <x:f>H28-I28</x:f>
        <x:v>0</x:v>
      </x:c>
      <x:c r="K28" s="111" t="n">
        <x:f>K27+I28-G28</x:f>
        <x:v>10611.876</x:v>
      </x:c>
      <x:c r="L28" s="111" t="n">
        <x:f>J28+K28</x:f>
        <x:v>10611.876</x:v>
      </x:c>
      <x:c r="M28" s="109" t="n">
        <x:f>M27+IF(I28&gt;=5,1,0)</x:f>
        <x:v>4</x:v>
      </x:c>
      <x:c r="N28" s="112" t="str">
        <x:f>IF(I28&gt;0,"Invest cash as new 5-year tranche",IF(J28&gt;0,"Carry cash until £5 threshold",""))</x:f>
      </x:c>
      <x:c r="O28" s="113"/>
    </x:row>
    <x:row r="29" ht="15" hidden="0" customHeight="1">
      <x:c r="A29" s="108" t="n">
        <x:v>21</x:v>
      </x:c>
      <x:c r="B29" s="109" t="n">
        <x:f>INT(A29/12)+1</x:f>
        <x:v>2</x:v>
      </x:c>
      <x:c r="C29" s="110" t="n">
        <x:f>INDEX('Assumptions'!$B$12:$B$21,MIN(B29,ROWS('Assumptions'!$B$12:$B$21)))</x:f>
        <x:v>0.038</x:v>
      </x:c>
      <x:c r="D29" s="111" t="n">
        <x:f>IF(A29=0,'Assumptions'!$B$5,0)</x:f>
        <x:v>0</x:v>
      </x:c>
      <x:c r="E29" s="111" t="n">
        <x:f>J28</x:f>
        <x:v>0</x:v>
      </x:c>
      <x:c r="F29" s="111" t="n">
        <x:f>I23*C23/2+I17*C17/2+I11*C11/2+0+0+0+0+0+0+0</x:f>
        <x:v>0</x:v>
      </x:c>
      <x:c r="G29" s="111" t="n">
        <x:f>0</x:f>
        <x:v>0</x:v>
      </x:c>
      <x:c r="H29" s="111" t="n">
        <x:f>E29+D29+F29+G29</x:f>
        <x:v>0</x:v>
      </x:c>
      <x:c r="I29" s="111" t="n">
        <x:f>H29*(H29&gt;='Assumptions'!$B$9)</x:f>
        <x:v>0</x:v>
      </x:c>
      <x:c r="J29" s="111" t="n">
        <x:f>H29-I29</x:f>
        <x:v>0</x:v>
      </x:c>
      <x:c r="K29" s="111" t="n">
        <x:f>K28+I29-G29</x:f>
        <x:v>10611.876</x:v>
      </x:c>
      <x:c r="L29" s="111" t="n">
        <x:f>J29+K29</x:f>
        <x:v>10611.876</x:v>
      </x:c>
      <x:c r="M29" s="109" t="n">
        <x:f>M28+IF(I29&gt;=5,1,0)</x:f>
        <x:v>4</x:v>
      </x:c>
      <x:c r="N29" s="112" t="str">
        <x:f>IF(I29&gt;0,"Invest cash as new 5-year tranche",IF(J29&gt;0,"Carry cash until £5 threshold",""))</x:f>
      </x:c>
      <x:c r="O29" s="113"/>
    </x:row>
    <x:row r="30" ht="15" hidden="0" customHeight="1">
      <x:c r="A30" s="108" t="n">
        <x:v>22</x:v>
      </x:c>
      <x:c r="B30" s="109" t="n">
        <x:f>INT(A30/12)+1</x:f>
        <x:v>2</x:v>
      </x:c>
      <x:c r="C30" s="110" t="n">
        <x:f>INDEX('Assumptions'!$B$12:$B$21,MIN(B30,ROWS('Assumptions'!$B$12:$B$21)))</x:f>
        <x:v>0.038</x:v>
      </x:c>
      <x:c r="D30" s="111" t="n">
        <x:f>IF(A30=0,'Assumptions'!$B$5,0)</x:f>
        <x:v>0</x:v>
      </x:c>
      <x:c r="E30" s="111" t="n">
        <x:f>J29</x:f>
        <x:v>0</x:v>
      </x:c>
      <x:c r="F30" s="111" t="n">
        <x:f>I24*C24/2+I18*C18/2+I12*C12/2+0+0+0+0+0+0+0</x:f>
        <x:v>0</x:v>
      </x:c>
      <x:c r="G30" s="111" t="n">
        <x:f>0</x:f>
        <x:v>0</x:v>
      </x:c>
      <x:c r="H30" s="111" t="n">
        <x:f>E30+D30+F30+G30</x:f>
        <x:v>0</x:v>
      </x:c>
      <x:c r="I30" s="111" t="n">
        <x:f>H30*(H30&gt;='Assumptions'!$B$9)</x:f>
        <x:v>0</x:v>
      </x:c>
      <x:c r="J30" s="111" t="n">
        <x:f>H30-I30</x:f>
        <x:v>0</x:v>
      </x:c>
      <x:c r="K30" s="111" t="n">
        <x:f>K29+I30-G30</x:f>
        <x:v>10611.876</x:v>
      </x:c>
      <x:c r="L30" s="111" t="n">
        <x:f>J30+K30</x:f>
        <x:v>10611.876</x:v>
      </x:c>
      <x:c r="M30" s="109" t="n">
        <x:f>M29+IF(I30&gt;=5,1,0)</x:f>
        <x:v>4</x:v>
      </x:c>
      <x:c r="N30" s="112" t="str">
        <x:f>IF(I30&gt;0,"Invest cash as new 5-year tranche",IF(J30&gt;0,"Carry cash until £5 threshold",""))</x:f>
      </x:c>
      <x:c r="O30" s="113"/>
    </x:row>
    <x:row r="31" ht="15" hidden="0" customHeight="1">
      <x:c r="A31" s="108" t="n">
        <x:v>23</x:v>
      </x:c>
      <x:c r="B31" s="109" t="n">
        <x:f>INT(A31/12)+1</x:f>
        <x:v>2</x:v>
      </x:c>
      <x:c r="C31" s="110" t="n">
        <x:f>INDEX('Assumptions'!$B$12:$B$21,MIN(B31,ROWS('Assumptions'!$B$12:$B$21)))</x:f>
        <x:v>0.038</x:v>
      </x:c>
      <x:c r="D31" s="111" t="n">
        <x:f>IF(A31=0,'Assumptions'!$B$5,0)</x:f>
        <x:v>0</x:v>
      </x:c>
      <x:c r="E31" s="111" t="n">
        <x:f>J30</x:f>
        <x:v>0</x:v>
      </x:c>
      <x:c r="F31" s="111" t="n">
        <x:f>I25*C25/2+I19*C19/2+I13*C13/2+0+0+0+0+0+0+0</x:f>
        <x:v>0</x:v>
      </x:c>
      <x:c r="G31" s="111" t="n">
        <x:f>0</x:f>
        <x:v>0</x:v>
      </x:c>
      <x:c r="H31" s="111" t="n">
        <x:f>E31+D31+F31+G31</x:f>
        <x:v>0</x:v>
      </x:c>
      <x:c r="I31" s="111" t="n">
        <x:f>H31*(H31&gt;='Assumptions'!$B$9)</x:f>
        <x:v>0</x:v>
      </x:c>
      <x:c r="J31" s="111" t="n">
        <x:f>H31-I31</x:f>
        <x:v>0</x:v>
      </x:c>
      <x:c r="K31" s="111" t="n">
        <x:f>K30+I31-G31</x:f>
        <x:v>10611.876</x:v>
      </x:c>
      <x:c r="L31" s="111" t="n">
        <x:f>J31+K31</x:f>
        <x:v>10611.876</x:v>
      </x:c>
      <x:c r="M31" s="109" t="n">
        <x:f>M30+IF(I31&gt;=5,1,0)</x:f>
        <x:v>4</x:v>
      </x:c>
      <x:c r="N31" s="112" t="str">
        <x:f>IF(I31&gt;0,"Invest cash as new 5-year tranche",IF(J31&gt;0,"Carry cash until £5 threshold",""))</x:f>
      </x:c>
      <x:c r="O31" s="113"/>
    </x:row>
    <x:row r="32" ht="24" hidden="0" customHeight="1">
      <x:c r="A32" s="108" t="n">
        <x:v>24</x:v>
      </x:c>
      <x:c r="B32" s="109" t="n">
        <x:f>INT(A32/12)+1</x:f>
        <x:v>3</x:v>
      </x:c>
      <x:c r="C32" s="110" t="n">
        <x:f>INDEX('Assumptions'!$B$12:$B$21,MIN(B32,ROWS('Assumptions'!$B$12:$B$21)))</x:f>
        <x:v>0.036</x:v>
      </x:c>
      <x:c r="D32" s="111" t="n">
        <x:f>IF(A32=0,'Assumptions'!$B$5,0)</x:f>
        <x:v>0</x:v>
      </x:c>
      <x:c r="E32" s="111" t="n">
        <x:f>J31</x:f>
        <x:v>0</x:v>
      </x:c>
      <x:c r="F32" s="111" t="n">
        <x:f>I26*C26/2+I20*C20/2+I14*C14/2+I8*C8/2+0+0+0+0+0+0</x:f>
        <x:v>211.825644</x:v>
      </x:c>
      <x:c r="G32" s="111" t="n">
        <x:f>0</x:f>
        <x:v>0</x:v>
      </x:c>
      <x:c r="H32" s="111" t="n">
        <x:f>E32+D32+F32+G32</x:f>
        <x:v>211.825644</x:v>
      </x:c>
      <x:c r="I32" s="111" t="n">
        <x:f>H32*(H32&gt;='Assumptions'!$B$9)</x:f>
        <x:v>211.825644</x:v>
      </x:c>
      <x:c r="J32" s="111" t="n">
        <x:f>H32-I32</x:f>
        <x:v>0</x:v>
      </x:c>
      <x:c r="K32" s="111" t="n">
        <x:f>K31+I32-G32</x:f>
        <x:v>10823.701644</x:v>
      </x:c>
      <x:c r="L32" s="111" t="n">
        <x:f>J32+K32</x:f>
        <x:v>10823.701644</x:v>
      </x:c>
      <x:c r="M32" s="109" t="n">
        <x:f>M31+IF(I32&gt;=5,1,0)</x:f>
        <x:v>5</x:v>
      </x:c>
      <x:c r="N32" s="112" t="str">
        <x:f>IF(I32&gt;0,"Invest cash as new 5-year tranche",IF(J32&gt;0,"Carry cash until £5 threshold",""))</x:f>
        <x:v>Invest cash as new 5-year tranche</x:v>
      </x:c>
      <x:c r="O32" s="113"/>
    </x:row>
    <x:row r="33" ht="15" hidden="0" customHeight="1">
      <x:c r="A33" s="108" t="n">
        <x:v>25</x:v>
      </x:c>
      <x:c r="B33" s="109" t="n">
        <x:f>INT(A33/12)+1</x:f>
        <x:v>3</x:v>
      </x:c>
      <x:c r="C33" s="110" t="n">
        <x:f>INDEX('Assumptions'!$B$12:$B$21,MIN(B33,ROWS('Assumptions'!$B$12:$B$21)))</x:f>
        <x:v>0.036</x:v>
      </x:c>
      <x:c r="D33" s="111" t="n">
        <x:f>IF(A33=0,'Assumptions'!$B$5,0)</x:f>
        <x:v>0</x:v>
      </x:c>
      <x:c r="E33" s="111" t="n">
        <x:f>J32</x:f>
        <x:v>0</x:v>
      </x:c>
      <x:c r="F33" s="111" t="n">
        <x:f>I27*C27/2+I21*C21/2+I15*C15/2+I9*C9/2+0+0+0+0+0+0</x:f>
        <x:v>0</x:v>
      </x:c>
      <x:c r="G33" s="111" t="n">
        <x:f>0</x:f>
        <x:v>0</x:v>
      </x:c>
      <x:c r="H33" s="111" t="n">
        <x:f>E33+D33+F33+G33</x:f>
        <x:v>0</x:v>
      </x:c>
      <x:c r="I33" s="111" t="n">
        <x:f>H33*(H33&gt;='Assumptions'!$B$9)</x:f>
        <x:v>0</x:v>
      </x:c>
      <x:c r="J33" s="111" t="n">
        <x:f>H33-I33</x:f>
        <x:v>0</x:v>
      </x:c>
      <x:c r="K33" s="111" t="n">
        <x:f>K32+I33-G33</x:f>
        <x:v>10823.701644</x:v>
      </x:c>
      <x:c r="L33" s="111" t="n">
        <x:f>J33+K33</x:f>
        <x:v>10823.701644</x:v>
      </x:c>
      <x:c r="M33" s="109" t="n">
        <x:f>M32+IF(I33&gt;=5,1,0)</x:f>
        <x:v>5</x:v>
      </x:c>
      <x:c r="N33" s="112" t="str">
        <x:f>IF(I33&gt;0,"Invest cash as new 5-year tranche",IF(J33&gt;0,"Carry cash until £5 threshold",""))</x:f>
      </x:c>
      <x:c r="O33" s="113"/>
    </x:row>
    <x:row r="34" ht="15" hidden="0" customHeight="1">
      <x:c r="A34" s="108" t="n">
        <x:v>26</x:v>
      </x:c>
      <x:c r="B34" s="109" t="n">
        <x:f>INT(A34/12)+1</x:f>
        <x:v>3</x:v>
      </x:c>
      <x:c r="C34" s="110" t="n">
        <x:f>INDEX('Assumptions'!$B$12:$B$21,MIN(B34,ROWS('Assumptions'!$B$12:$B$21)))</x:f>
        <x:v>0.036</x:v>
      </x:c>
      <x:c r="D34" s="111" t="n">
        <x:f>IF(A34=0,'Assumptions'!$B$5,0)</x:f>
        <x:v>0</x:v>
      </x:c>
      <x:c r="E34" s="111" t="n">
        <x:f>J33</x:f>
        <x:v>0</x:v>
      </x:c>
      <x:c r="F34" s="111" t="n">
        <x:f>I28*C28/2+I22*C22/2+I16*C16/2+I10*C10/2+0+0+0+0+0+0</x:f>
        <x:v>0</x:v>
      </x:c>
      <x:c r="G34" s="111" t="n">
        <x:f>0</x:f>
        <x:v>0</x:v>
      </x:c>
      <x:c r="H34" s="111" t="n">
        <x:f>E34+D34+F34+G34</x:f>
        <x:v>0</x:v>
      </x:c>
      <x:c r="I34" s="111" t="n">
        <x:f>H34*(H34&gt;='Assumptions'!$B$9)</x:f>
        <x:v>0</x:v>
      </x:c>
      <x:c r="J34" s="111" t="n">
        <x:f>H34-I34</x:f>
        <x:v>0</x:v>
      </x:c>
      <x:c r="K34" s="111" t="n">
        <x:f>K33+I34-G34</x:f>
        <x:v>10823.701644</x:v>
      </x:c>
      <x:c r="L34" s="111" t="n">
        <x:f>J34+K34</x:f>
        <x:v>10823.701644</x:v>
      </x:c>
      <x:c r="M34" s="109" t="n">
        <x:f>M33+IF(I34&gt;=5,1,0)</x:f>
        <x:v>5</x:v>
      </x:c>
      <x:c r="N34" s="112" t="str">
        <x:f>IF(I34&gt;0,"Invest cash as new 5-year tranche",IF(J34&gt;0,"Carry cash until £5 threshold",""))</x:f>
      </x:c>
      <x:c r="O34" s="113"/>
    </x:row>
    <x:row r="35" ht="15" hidden="0" customHeight="1">
      <x:c r="A35" s="108" t="n">
        <x:v>27</x:v>
      </x:c>
      <x:c r="B35" s="109" t="n">
        <x:f>INT(A35/12)+1</x:f>
        <x:v>3</x:v>
      </x:c>
      <x:c r="C35" s="110" t="n">
        <x:f>INDEX('Assumptions'!$B$12:$B$21,MIN(B35,ROWS('Assumptions'!$B$12:$B$21)))</x:f>
        <x:v>0.036</x:v>
      </x:c>
      <x:c r="D35" s="111" t="n">
        <x:f>IF(A35=0,'Assumptions'!$B$5,0)</x:f>
        <x:v>0</x:v>
      </x:c>
      <x:c r="E35" s="111" t="n">
        <x:f>J34</x:f>
        <x:v>0</x:v>
      </x:c>
      <x:c r="F35" s="111" t="n">
        <x:f>I29*C29/2+I23*C23/2+I17*C17/2+I11*C11/2+0+0+0+0+0+0</x:f>
        <x:v>0</x:v>
      </x:c>
      <x:c r="G35" s="111" t="n">
        <x:f>0</x:f>
        <x:v>0</x:v>
      </x:c>
      <x:c r="H35" s="111" t="n">
        <x:f>E35+D35+F35+G35</x:f>
        <x:v>0</x:v>
      </x:c>
      <x:c r="I35" s="111" t="n">
        <x:f>H35*(H35&gt;='Assumptions'!$B$9)</x:f>
        <x:v>0</x:v>
      </x:c>
      <x:c r="J35" s="111" t="n">
        <x:f>H35-I35</x:f>
        <x:v>0</x:v>
      </x:c>
      <x:c r="K35" s="111" t="n">
        <x:f>K34+I35-G35</x:f>
        <x:v>10823.701644</x:v>
      </x:c>
      <x:c r="L35" s="111" t="n">
        <x:f>J35+K35</x:f>
        <x:v>10823.701644</x:v>
      </x:c>
      <x:c r="M35" s="109" t="n">
        <x:f>M34+IF(I35&gt;=5,1,0)</x:f>
        <x:v>5</x:v>
      </x:c>
      <x:c r="N35" s="112" t="str">
        <x:f>IF(I35&gt;0,"Invest cash as new 5-year tranche",IF(J35&gt;0,"Carry cash until £5 threshold",""))</x:f>
      </x:c>
      <x:c r="O35" s="113"/>
    </x:row>
    <x:row r="36" ht="15" hidden="0" customHeight="1">
      <x:c r="A36" s="108" t="n">
        <x:v>28</x:v>
      </x:c>
      <x:c r="B36" s="109" t="n">
        <x:f>INT(A36/12)+1</x:f>
        <x:v>3</x:v>
      </x:c>
      <x:c r="C36" s="110" t="n">
        <x:f>INDEX('Assumptions'!$B$12:$B$21,MIN(B36,ROWS('Assumptions'!$B$12:$B$21)))</x:f>
        <x:v>0.036</x:v>
      </x:c>
      <x:c r="D36" s="111" t="n">
        <x:f>IF(A36=0,'Assumptions'!$B$5,0)</x:f>
        <x:v>0</x:v>
      </x:c>
      <x:c r="E36" s="111" t="n">
        <x:f>J35</x:f>
        <x:v>0</x:v>
      </x:c>
      <x:c r="F36" s="111" t="n">
        <x:f>I30*C30/2+I24*C24/2+I18*C18/2+I12*C12/2+0+0+0+0+0+0</x:f>
        <x:v>0</x:v>
      </x:c>
      <x:c r="G36" s="111" t="n">
        <x:f>0</x:f>
        <x:v>0</x:v>
      </x:c>
      <x:c r="H36" s="111" t="n">
        <x:f>E36+D36+F36+G36</x:f>
        <x:v>0</x:v>
      </x:c>
      <x:c r="I36" s="111" t="n">
        <x:f>H36*(H36&gt;='Assumptions'!$B$9)</x:f>
        <x:v>0</x:v>
      </x:c>
      <x:c r="J36" s="111" t="n">
        <x:f>H36-I36</x:f>
        <x:v>0</x:v>
      </x:c>
      <x:c r="K36" s="111" t="n">
        <x:f>K35+I36-G36</x:f>
        <x:v>10823.701644</x:v>
      </x:c>
      <x:c r="L36" s="111" t="n">
        <x:f>J36+K36</x:f>
        <x:v>10823.701644</x:v>
      </x:c>
      <x:c r="M36" s="109" t="n">
        <x:f>M35+IF(I36&gt;=5,1,0)</x:f>
        <x:v>5</x:v>
      </x:c>
      <x:c r="N36" s="112" t="str">
        <x:f>IF(I36&gt;0,"Invest cash as new 5-year tranche",IF(J36&gt;0,"Carry cash until £5 threshold",""))</x:f>
      </x:c>
      <x:c r="O36" s="113"/>
    </x:row>
    <x:row r="37" ht="15" hidden="0" customHeight="1">
      <x:c r="A37" s="108" t="n">
        <x:v>29</x:v>
      </x:c>
      <x:c r="B37" s="109" t="n">
        <x:f>INT(A37/12)+1</x:f>
        <x:v>3</x:v>
      </x:c>
      <x:c r="C37" s="110" t="n">
        <x:f>INDEX('Assumptions'!$B$12:$B$21,MIN(B37,ROWS('Assumptions'!$B$12:$B$21)))</x:f>
        <x:v>0.036</x:v>
      </x:c>
      <x:c r="D37" s="111" t="n">
        <x:f>IF(A37=0,'Assumptions'!$B$5,0)</x:f>
        <x:v>0</x:v>
      </x:c>
      <x:c r="E37" s="111" t="n">
        <x:f>J36</x:f>
        <x:v>0</x:v>
      </x:c>
      <x:c r="F37" s="111" t="n">
        <x:f>I31*C31/2+I25*C25/2+I19*C19/2+I13*C13/2+0+0+0+0+0+0</x:f>
        <x:v>0</x:v>
      </x:c>
      <x:c r="G37" s="111" t="n">
        <x:f>0</x:f>
        <x:v>0</x:v>
      </x:c>
      <x:c r="H37" s="111" t="n">
        <x:f>E37+D37+F37+G37</x:f>
        <x:v>0</x:v>
      </x:c>
      <x:c r="I37" s="111" t="n">
        <x:f>H37*(H37&gt;='Assumptions'!$B$9)</x:f>
        <x:v>0</x:v>
      </x:c>
      <x:c r="J37" s="111" t="n">
        <x:f>H37-I37</x:f>
        <x:v>0</x:v>
      </x:c>
      <x:c r="K37" s="111" t="n">
        <x:f>K36+I37-G37</x:f>
        <x:v>10823.701644</x:v>
      </x:c>
      <x:c r="L37" s="111" t="n">
        <x:f>J37+K37</x:f>
        <x:v>10823.701644</x:v>
      </x:c>
      <x:c r="M37" s="109" t="n">
        <x:f>M36+IF(I37&gt;=5,1,0)</x:f>
        <x:v>5</x:v>
      </x:c>
      <x:c r="N37" s="112" t="str">
        <x:f>IF(I37&gt;0,"Invest cash as new 5-year tranche",IF(J37&gt;0,"Carry cash until £5 threshold",""))</x:f>
      </x:c>
      <x:c r="O37" s="113"/>
    </x:row>
    <x:row r="38" ht="24" hidden="0" customHeight="1">
      <x:c r="A38" s="108" t="n">
        <x:v>30</x:v>
      </x:c>
      <x:c r="B38" s="109" t="n">
        <x:f>INT(A38/12)+1</x:f>
        <x:v>3</x:v>
      </x:c>
      <x:c r="C38" s="110" t="n">
        <x:f>INDEX('Assumptions'!$B$12:$B$21,MIN(B38,ROWS('Assumptions'!$B$12:$B$21)))</x:f>
        <x:v>0.036</x:v>
      </x:c>
      <x:c r="D38" s="111" t="n">
        <x:f>IF(A38=0,'Assumptions'!$B$5,0)</x:f>
        <x:v>0</x:v>
      </x:c>
      <x:c r="E38" s="111" t="n">
        <x:f>J37</x:f>
        <x:v>0</x:v>
      </x:c>
      <x:c r="F38" s="111" t="n">
        <x:f>I32*C32/2+I26*C26/2+I20*C20/2+I14*C14/2+I8*C8/2+0+0+0+0+0</x:f>
        <x:v>215.638505592</x:v>
      </x:c>
      <x:c r="G38" s="111" t="n">
        <x:f>0</x:f>
        <x:v>0</x:v>
      </x:c>
      <x:c r="H38" s="111" t="n">
        <x:f>E38+D38+F38+G38</x:f>
        <x:v>215.638505592</x:v>
      </x:c>
      <x:c r="I38" s="111" t="n">
        <x:f>H38*(H38&gt;='Assumptions'!$B$9)</x:f>
        <x:v>215.638505592</x:v>
      </x:c>
      <x:c r="J38" s="111" t="n">
        <x:f>H38-I38</x:f>
        <x:v>0</x:v>
      </x:c>
      <x:c r="K38" s="111" t="n">
        <x:f>K37+I38-G38</x:f>
        <x:v>11039.340149592</x:v>
      </x:c>
      <x:c r="L38" s="111" t="n">
        <x:f>J38+K38</x:f>
        <x:v>11039.340149592</x:v>
      </x:c>
      <x:c r="M38" s="109" t="n">
        <x:f>M37+IF(I38&gt;=5,1,0)</x:f>
        <x:v>6</x:v>
      </x:c>
      <x:c r="N38" s="112" t="str">
        <x:f>IF(I38&gt;0,"Invest cash as new 5-year tranche",IF(J38&gt;0,"Carry cash until £5 threshold",""))</x:f>
        <x:v>Invest cash as new 5-year tranche</x:v>
      </x:c>
      <x:c r="O38" s="113"/>
    </x:row>
    <x:row r="39" ht="15" hidden="0" customHeight="1">
      <x:c r="A39" s="108" t="n">
        <x:v>31</x:v>
      </x:c>
      <x:c r="B39" s="109" t="n">
        <x:f>INT(A39/12)+1</x:f>
        <x:v>3</x:v>
      </x:c>
      <x:c r="C39" s="110" t="n">
        <x:f>INDEX('Assumptions'!$B$12:$B$21,MIN(B39,ROWS('Assumptions'!$B$12:$B$21)))</x:f>
        <x:v>0.036</x:v>
      </x:c>
      <x:c r="D39" s="111" t="n">
        <x:f>IF(A39=0,'Assumptions'!$B$5,0)</x:f>
        <x:v>0</x:v>
      </x:c>
      <x:c r="E39" s="111" t="n">
        <x:f>J38</x:f>
        <x:v>0</x:v>
      </x:c>
      <x:c r="F39" s="111" t="n">
        <x:f>I33*C33/2+I27*C27/2+I21*C21/2+I15*C15/2+I9*C9/2+0+0+0+0+0</x:f>
        <x:v>0</x:v>
      </x:c>
      <x:c r="G39" s="111" t="n">
        <x:f>0</x:f>
        <x:v>0</x:v>
      </x:c>
      <x:c r="H39" s="111" t="n">
        <x:f>E39+D39+F39+G39</x:f>
        <x:v>0</x:v>
      </x:c>
      <x:c r="I39" s="111" t="n">
        <x:f>H39*(H39&gt;='Assumptions'!$B$9)</x:f>
        <x:v>0</x:v>
      </x:c>
      <x:c r="J39" s="111" t="n">
        <x:f>H39-I39</x:f>
        <x:v>0</x:v>
      </x:c>
      <x:c r="K39" s="111" t="n">
        <x:f>K38+I39-G39</x:f>
        <x:v>11039.340149592</x:v>
      </x:c>
      <x:c r="L39" s="111" t="n">
        <x:f>J39+K39</x:f>
        <x:v>11039.340149592</x:v>
      </x:c>
      <x:c r="M39" s="109" t="n">
        <x:f>M38+IF(I39&gt;=5,1,0)</x:f>
        <x:v>6</x:v>
      </x:c>
      <x:c r="N39" s="112" t="str">
        <x:f>IF(I39&gt;0,"Invest cash as new 5-year tranche",IF(J39&gt;0,"Carry cash until £5 threshold",""))</x:f>
      </x:c>
      <x:c r="O39" s="113"/>
    </x:row>
    <x:row r="40" ht="15" hidden="0" customHeight="1">
      <x:c r="A40" s="108" t="n">
        <x:v>32</x:v>
      </x:c>
      <x:c r="B40" s="109" t="n">
        <x:f>INT(A40/12)+1</x:f>
        <x:v>3</x:v>
      </x:c>
      <x:c r="C40" s="110" t="n">
        <x:f>INDEX('Assumptions'!$B$12:$B$21,MIN(B40,ROWS('Assumptions'!$B$12:$B$21)))</x:f>
        <x:v>0.036</x:v>
      </x:c>
      <x:c r="D40" s="111" t="n">
        <x:f>IF(A40=0,'Assumptions'!$B$5,0)</x:f>
        <x:v>0</x:v>
      </x:c>
      <x:c r="E40" s="111" t="n">
        <x:f>J39</x:f>
        <x:v>0</x:v>
      </x:c>
      <x:c r="F40" s="111" t="n">
        <x:f>I34*C34/2+I28*C28/2+I22*C22/2+I16*C16/2+I10*C10/2+0+0+0+0+0</x:f>
        <x:v>0</x:v>
      </x:c>
      <x:c r="G40" s="111" t="n">
        <x:f>0</x:f>
        <x:v>0</x:v>
      </x:c>
      <x:c r="H40" s="111" t="n">
        <x:f>E40+D40+F40+G40</x:f>
        <x:v>0</x:v>
      </x:c>
      <x:c r="I40" s="111" t="n">
        <x:f>H40*(H40&gt;='Assumptions'!$B$9)</x:f>
        <x:v>0</x:v>
      </x:c>
      <x:c r="J40" s="111" t="n">
        <x:f>H40-I40</x:f>
        <x:v>0</x:v>
      </x:c>
      <x:c r="K40" s="111" t="n">
        <x:f>K39+I40-G40</x:f>
        <x:v>11039.340149592</x:v>
      </x:c>
      <x:c r="L40" s="111" t="n">
        <x:f>J40+K40</x:f>
        <x:v>11039.340149592</x:v>
      </x:c>
      <x:c r="M40" s="109" t="n">
        <x:f>M39+IF(I40&gt;=5,1,0)</x:f>
        <x:v>6</x:v>
      </x:c>
      <x:c r="N40" s="112" t="str">
        <x:f>IF(I40&gt;0,"Invest cash as new 5-year tranche",IF(J40&gt;0,"Carry cash until £5 threshold",""))</x:f>
      </x:c>
      <x:c r="O40" s="113"/>
    </x:row>
    <x:row r="41" ht="15" hidden="0" customHeight="1">
      <x:c r="A41" s="108" t="n">
        <x:v>33</x:v>
      </x:c>
      <x:c r="B41" s="109" t="n">
        <x:f>INT(A41/12)+1</x:f>
        <x:v>3</x:v>
      </x:c>
      <x:c r="C41" s="110" t="n">
        <x:f>INDEX('Assumptions'!$B$12:$B$21,MIN(B41,ROWS('Assumptions'!$B$12:$B$21)))</x:f>
        <x:v>0.036</x:v>
      </x:c>
      <x:c r="D41" s="111" t="n">
        <x:f>IF(A41=0,'Assumptions'!$B$5,0)</x:f>
        <x:v>0</x:v>
      </x:c>
      <x:c r="E41" s="111" t="n">
        <x:f>J40</x:f>
        <x:v>0</x:v>
      </x:c>
      <x:c r="F41" s="111" t="n">
        <x:f>I35*C35/2+I29*C29/2+I23*C23/2+I17*C17/2+I11*C11/2+0+0+0+0+0</x:f>
        <x:v>0</x:v>
      </x:c>
      <x:c r="G41" s="111" t="n">
        <x:f>0</x:f>
        <x:v>0</x:v>
      </x:c>
      <x:c r="H41" s="111" t="n">
        <x:f>E41+D41+F41+G41</x:f>
        <x:v>0</x:v>
      </x:c>
      <x:c r="I41" s="111" t="n">
        <x:f>H41*(H41&gt;='Assumptions'!$B$9)</x:f>
        <x:v>0</x:v>
      </x:c>
      <x:c r="J41" s="111" t="n">
        <x:f>H41-I41</x:f>
        <x:v>0</x:v>
      </x:c>
      <x:c r="K41" s="111" t="n">
        <x:f>K40+I41-G41</x:f>
        <x:v>11039.340149592</x:v>
      </x:c>
      <x:c r="L41" s="111" t="n">
        <x:f>J41+K41</x:f>
        <x:v>11039.340149592</x:v>
      </x:c>
      <x:c r="M41" s="109" t="n">
        <x:f>M40+IF(I41&gt;=5,1,0)</x:f>
        <x:v>6</x:v>
      </x:c>
      <x:c r="N41" s="112" t="str">
        <x:f>IF(I41&gt;0,"Invest cash as new 5-year tranche",IF(J41&gt;0,"Carry cash until £5 threshold",""))</x:f>
      </x:c>
      <x:c r="O41" s="113"/>
    </x:row>
    <x:row r="42" ht="15" hidden="0" customHeight="1">
      <x:c r="A42" s="108" t="n">
        <x:v>34</x:v>
      </x:c>
      <x:c r="B42" s="109" t="n">
        <x:f>INT(A42/12)+1</x:f>
        <x:v>3</x:v>
      </x:c>
      <x:c r="C42" s="110" t="n">
        <x:f>INDEX('Assumptions'!$B$12:$B$21,MIN(B42,ROWS('Assumptions'!$B$12:$B$21)))</x:f>
        <x:v>0.036</x:v>
      </x:c>
      <x:c r="D42" s="111" t="n">
        <x:f>IF(A42=0,'Assumptions'!$B$5,0)</x:f>
        <x:v>0</x:v>
      </x:c>
      <x:c r="E42" s="111" t="n">
        <x:f>J41</x:f>
        <x:v>0</x:v>
      </x:c>
      <x:c r="F42" s="111" t="n">
        <x:f>I36*C36/2+I30*C30/2+I24*C24/2+I18*C18/2+I12*C12/2+0+0+0+0+0</x:f>
        <x:v>0</x:v>
      </x:c>
      <x:c r="G42" s="111" t="n">
        <x:f>0</x:f>
        <x:v>0</x:v>
      </x:c>
      <x:c r="H42" s="111" t="n">
        <x:f>E42+D42+F42+G42</x:f>
        <x:v>0</x:v>
      </x:c>
      <x:c r="I42" s="111" t="n">
        <x:f>H42*(H42&gt;='Assumptions'!$B$9)</x:f>
        <x:v>0</x:v>
      </x:c>
      <x:c r="J42" s="111" t="n">
        <x:f>H42-I42</x:f>
        <x:v>0</x:v>
      </x:c>
      <x:c r="K42" s="111" t="n">
        <x:f>K41+I42-G42</x:f>
        <x:v>11039.340149592</x:v>
      </x:c>
      <x:c r="L42" s="111" t="n">
        <x:f>J42+K42</x:f>
        <x:v>11039.340149592</x:v>
      </x:c>
      <x:c r="M42" s="109" t="n">
        <x:f>M41+IF(I42&gt;=5,1,0)</x:f>
        <x:v>6</x:v>
      </x:c>
      <x:c r="N42" s="112" t="str">
        <x:f>IF(I42&gt;0,"Invest cash as new 5-year tranche",IF(J42&gt;0,"Carry cash until £5 threshold",""))</x:f>
      </x:c>
      <x:c r="O42" s="113"/>
    </x:row>
    <x:row r="43" ht="15" hidden="0" customHeight="1">
      <x:c r="A43" s="108" t="n">
        <x:v>35</x:v>
      </x:c>
      <x:c r="B43" s="109" t="n">
        <x:f>INT(A43/12)+1</x:f>
        <x:v>3</x:v>
      </x:c>
      <x:c r="C43" s="110" t="n">
        <x:f>INDEX('Assumptions'!$B$12:$B$21,MIN(B43,ROWS('Assumptions'!$B$12:$B$21)))</x:f>
        <x:v>0.036</x:v>
      </x:c>
      <x:c r="D43" s="111" t="n">
        <x:f>IF(A43=0,'Assumptions'!$B$5,0)</x:f>
        <x:v>0</x:v>
      </x:c>
      <x:c r="E43" s="111" t="n">
        <x:f>J42</x:f>
        <x:v>0</x:v>
      </x:c>
      <x:c r="F43" s="111" t="n">
        <x:f>I37*C37/2+I31*C31/2+I25*C25/2+I19*C19/2+I13*C13/2+0+0+0+0+0</x:f>
        <x:v>0</x:v>
      </x:c>
      <x:c r="G43" s="111" t="n">
        <x:f>0</x:f>
        <x:v>0</x:v>
      </x:c>
      <x:c r="H43" s="111" t="n">
        <x:f>E43+D43+F43+G43</x:f>
        <x:v>0</x:v>
      </x:c>
      <x:c r="I43" s="111" t="n">
        <x:f>H43*(H43&gt;='Assumptions'!$B$9)</x:f>
        <x:v>0</x:v>
      </x:c>
      <x:c r="J43" s="111" t="n">
        <x:f>H43-I43</x:f>
        <x:v>0</x:v>
      </x:c>
      <x:c r="K43" s="111" t="n">
        <x:f>K42+I43-G43</x:f>
        <x:v>11039.340149592</x:v>
      </x:c>
      <x:c r="L43" s="111" t="n">
        <x:f>J43+K43</x:f>
        <x:v>11039.340149592</x:v>
      </x:c>
      <x:c r="M43" s="109" t="n">
        <x:f>M42+IF(I43&gt;=5,1,0)</x:f>
        <x:v>6</x:v>
      </x:c>
      <x:c r="N43" s="112" t="str">
        <x:f>IF(I43&gt;0,"Invest cash as new 5-year tranche",IF(J43&gt;0,"Carry cash until £5 threshold",""))</x:f>
      </x:c>
      <x:c r="O43" s="113"/>
    </x:row>
    <x:row r="44" ht="24" hidden="0" customHeight="1">
      <x:c r="A44" s="108" t="n">
        <x:v>36</x:v>
      </x:c>
      <x:c r="B44" s="109" t="n">
        <x:f>INT(A44/12)+1</x:f>
        <x:v>4</x:v>
      </x:c>
      <x:c r="C44" s="110" t="n">
        <x:f>INDEX('Assumptions'!$B$12:$B$21,MIN(B44,ROWS('Assumptions'!$B$12:$B$21)))</x:f>
        <x:v>0.034</x:v>
      </x:c>
      <x:c r="D44" s="111" t="n">
        <x:f>IF(A44=0,'Assumptions'!$B$5,0)</x:f>
        <x:v>0</x:v>
      </x:c>
      <x:c r="E44" s="111" t="n">
        <x:f>J43</x:f>
        <x:v>0</x:v>
      </x:c>
      <x:c r="F44" s="111" t="n">
        <x:f>I38*C38/2+I32*C32/2+I26*C26/2+I20*C20/2+I14*C14/2+I8*C8/2+0+0+0+0</x:f>
        <x:v>219.519998692656</x:v>
      </x:c>
      <x:c r="G44" s="111" t="n">
        <x:f>0</x:f>
        <x:v>0</x:v>
      </x:c>
      <x:c r="H44" s="111" t="n">
        <x:f>E44+D44+F44+G44</x:f>
        <x:v>219.519998692656</x:v>
      </x:c>
      <x:c r="I44" s="111" t="n">
        <x:f>H44*(H44&gt;='Assumptions'!$B$9)</x:f>
        <x:v>219.519998692656</x:v>
      </x:c>
      <x:c r="J44" s="111" t="n">
        <x:f>H44-I44</x:f>
        <x:v>0</x:v>
      </x:c>
      <x:c r="K44" s="111" t="n">
        <x:f>K43+I44-G44</x:f>
        <x:v>11258.860148284657</x:v>
      </x:c>
      <x:c r="L44" s="111" t="n">
        <x:f>J44+K44</x:f>
        <x:v>11258.860148284657</x:v>
      </x:c>
      <x:c r="M44" s="109" t="n">
        <x:f>M43+IF(I44&gt;=5,1,0)</x:f>
        <x:v>7</x:v>
      </x:c>
      <x:c r="N44" s="112" t="str">
        <x:f>IF(I44&gt;0,"Invest cash as new 5-year tranche",IF(J44&gt;0,"Carry cash until £5 threshold",""))</x:f>
        <x:v>Invest cash as new 5-year tranche</x:v>
      </x:c>
      <x:c r="O44" s="113"/>
    </x:row>
    <x:row r="45" ht="15" hidden="0" customHeight="1">
      <x:c r="A45" s="108" t="n">
        <x:v>37</x:v>
      </x:c>
      <x:c r="B45" s="109" t="n">
        <x:f>INT(A45/12)+1</x:f>
        <x:v>4</x:v>
      </x:c>
      <x:c r="C45" s="110" t="n">
        <x:f>INDEX('Assumptions'!$B$12:$B$21,MIN(B45,ROWS('Assumptions'!$B$12:$B$21)))</x:f>
        <x:v>0.034</x:v>
      </x:c>
      <x:c r="D45" s="111" t="n">
        <x:f>IF(A45=0,'Assumptions'!$B$5,0)</x:f>
        <x:v>0</x:v>
      </x:c>
      <x:c r="E45" s="111" t="n">
        <x:f>J44</x:f>
        <x:v>0</x:v>
      </x:c>
      <x:c r="F45" s="111" t="n">
        <x:f>I39*C39/2+I33*C33/2+I27*C27/2+I21*C21/2+I15*C15/2+I9*C9/2+0+0+0+0</x:f>
        <x:v>0</x:v>
      </x:c>
      <x:c r="G45" s="111" t="n">
        <x:f>0</x:f>
        <x:v>0</x:v>
      </x:c>
      <x:c r="H45" s="111" t="n">
        <x:f>E45+D45+F45+G45</x:f>
        <x:v>0</x:v>
      </x:c>
      <x:c r="I45" s="111" t="n">
        <x:f>H45*(H45&gt;='Assumptions'!$B$9)</x:f>
        <x:v>0</x:v>
      </x:c>
      <x:c r="J45" s="111" t="n">
        <x:f>H45-I45</x:f>
        <x:v>0</x:v>
      </x:c>
      <x:c r="K45" s="111" t="n">
        <x:f>K44+I45-G45</x:f>
        <x:v>11258.860148284657</x:v>
      </x:c>
      <x:c r="L45" s="111" t="n">
        <x:f>J45+K45</x:f>
        <x:v>11258.860148284657</x:v>
      </x:c>
      <x:c r="M45" s="109" t="n">
        <x:f>M44+IF(I45&gt;=5,1,0)</x:f>
        <x:v>7</x:v>
      </x:c>
      <x:c r="N45" s="112" t="str">
        <x:f>IF(I45&gt;0,"Invest cash as new 5-year tranche",IF(J45&gt;0,"Carry cash until £5 threshold",""))</x:f>
      </x:c>
      <x:c r="O45" s="113"/>
    </x:row>
    <x:row r="46" ht="15" hidden="0" customHeight="1">
      <x:c r="A46" s="108" t="n">
        <x:v>38</x:v>
      </x:c>
      <x:c r="B46" s="109" t="n">
        <x:f>INT(A46/12)+1</x:f>
        <x:v>4</x:v>
      </x:c>
      <x:c r="C46" s="110" t="n">
        <x:f>INDEX('Assumptions'!$B$12:$B$21,MIN(B46,ROWS('Assumptions'!$B$12:$B$21)))</x:f>
        <x:v>0.034</x:v>
      </x:c>
      <x:c r="D46" s="111" t="n">
        <x:f>IF(A46=0,'Assumptions'!$B$5,0)</x:f>
        <x:v>0</x:v>
      </x:c>
      <x:c r="E46" s="111" t="n">
        <x:f>J45</x:f>
        <x:v>0</x:v>
      </x:c>
      <x:c r="F46" s="111" t="n">
        <x:f>I40*C40/2+I34*C34/2+I28*C28/2+I22*C22/2+I16*C16/2+I10*C10/2+0+0+0+0</x:f>
        <x:v>0</x:v>
      </x:c>
      <x:c r="G46" s="111" t="n">
        <x:f>0</x:f>
        <x:v>0</x:v>
      </x:c>
      <x:c r="H46" s="111" t="n">
        <x:f>E46+D46+F46+G46</x:f>
        <x:v>0</x:v>
      </x:c>
      <x:c r="I46" s="111" t="n">
        <x:f>H46*(H46&gt;='Assumptions'!$B$9)</x:f>
        <x:v>0</x:v>
      </x:c>
      <x:c r="J46" s="111" t="n">
        <x:f>H46-I46</x:f>
        <x:v>0</x:v>
      </x:c>
      <x:c r="K46" s="111" t="n">
        <x:f>K45+I46-G46</x:f>
        <x:v>11258.860148284657</x:v>
      </x:c>
      <x:c r="L46" s="111" t="n">
        <x:f>J46+K46</x:f>
        <x:v>11258.860148284657</x:v>
      </x:c>
      <x:c r="M46" s="109" t="n">
        <x:f>M45+IF(I46&gt;=5,1,0)</x:f>
        <x:v>7</x:v>
      </x:c>
      <x:c r="N46" s="112" t="str">
        <x:f>IF(I46&gt;0,"Invest cash as new 5-year tranche",IF(J46&gt;0,"Carry cash until £5 threshold",""))</x:f>
      </x:c>
      <x:c r="O46" s="113"/>
    </x:row>
    <x:row r="47" ht="15" hidden="0" customHeight="1">
      <x:c r="A47" s="108" t="n">
        <x:v>39</x:v>
      </x:c>
      <x:c r="B47" s="109" t="n">
        <x:f>INT(A47/12)+1</x:f>
        <x:v>4</x:v>
      </x:c>
      <x:c r="C47" s="110" t="n">
        <x:f>INDEX('Assumptions'!$B$12:$B$21,MIN(B47,ROWS('Assumptions'!$B$12:$B$21)))</x:f>
        <x:v>0.034</x:v>
      </x:c>
      <x:c r="D47" s="111" t="n">
        <x:f>IF(A47=0,'Assumptions'!$B$5,0)</x:f>
        <x:v>0</x:v>
      </x:c>
      <x:c r="E47" s="111" t="n">
        <x:f>J46</x:f>
        <x:v>0</x:v>
      </x:c>
      <x:c r="F47" s="111" t="n">
        <x:f>I41*C41/2+I35*C35/2+I29*C29/2+I23*C23/2+I17*C17/2+I11*C11/2+0+0+0+0</x:f>
        <x:v>0</x:v>
      </x:c>
      <x:c r="G47" s="111" t="n">
        <x:f>0</x:f>
        <x:v>0</x:v>
      </x:c>
      <x:c r="H47" s="111" t="n">
        <x:f>E47+D47+F47+G47</x:f>
        <x:v>0</x:v>
      </x:c>
      <x:c r="I47" s="111" t="n">
        <x:f>H47*(H47&gt;='Assumptions'!$B$9)</x:f>
        <x:v>0</x:v>
      </x:c>
      <x:c r="J47" s="111" t="n">
        <x:f>H47-I47</x:f>
        <x:v>0</x:v>
      </x:c>
      <x:c r="K47" s="111" t="n">
        <x:f>K46+I47-G47</x:f>
        <x:v>11258.860148284657</x:v>
      </x:c>
      <x:c r="L47" s="111" t="n">
        <x:f>J47+K47</x:f>
        <x:v>11258.860148284657</x:v>
      </x:c>
      <x:c r="M47" s="109" t="n">
        <x:f>M46+IF(I47&gt;=5,1,0)</x:f>
        <x:v>7</x:v>
      </x:c>
      <x:c r="N47" s="112" t="str">
        <x:f>IF(I47&gt;0,"Invest cash as new 5-year tranche",IF(J47&gt;0,"Carry cash until £5 threshold",""))</x:f>
      </x:c>
      <x:c r="O47" s="113"/>
    </x:row>
    <x:row r="48" ht="15" hidden="0" customHeight="1">
      <x:c r="A48" s="108" t="n">
        <x:v>40</x:v>
      </x:c>
      <x:c r="B48" s="109" t="n">
        <x:f>INT(A48/12)+1</x:f>
        <x:v>4</x:v>
      </x:c>
      <x:c r="C48" s="110" t="n">
        <x:f>INDEX('Assumptions'!$B$12:$B$21,MIN(B48,ROWS('Assumptions'!$B$12:$B$21)))</x:f>
        <x:v>0.034</x:v>
      </x:c>
      <x:c r="D48" s="111" t="n">
        <x:f>IF(A48=0,'Assumptions'!$B$5,0)</x:f>
        <x:v>0</x:v>
      </x:c>
      <x:c r="E48" s="111" t="n">
        <x:f>J47</x:f>
        <x:v>0</x:v>
      </x:c>
      <x:c r="F48" s="111" t="n">
        <x:f>I42*C42/2+I36*C36/2+I30*C30/2+I24*C24/2+I18*C18/2+I12*C12/2+0+0+0+0</x:f>
        <x:v>0</x:v>
      </x:c>
      <x:c r="G48" s="111" t="n">
        <x:f>0</x:f>
        <x:v>0</x:v>
      </x:c>
      <x:c r="H48" s="111" t="n">
        <x:f>E48+D48+F48+G48</x:f>
        <x:v>0</x:v>
      </x:c>
      <x:c r="I48" s="111" t="n">
        <x:f>H48*(H48&gt;='Assumptions'!$B$9)</x:f>
        <x:v>0</x:v>
      </x:c>
      <x:c r="J48" s="111" t="n">
        <x:f>H48-I48</x:f>
        <x:v>0</x:v>
      </x:c>
      <x:c r="K48" s="111" t="n">
        <x:f>K47+I48-G48</x:f>
        <x:v>11258.860148284657</x:v>
      </x:c>
      <x:c r="L48" s="111" t="n">
        <x:f>J48+K48</x:f>
        <x:v>11258.860148284657</x:v>
      </x:c>
      <x:c r="M48" s="109" t="n">
        <x:f>M47+IF(I48&gt;=5,1,0)</x:f>
        <x:v>7</x:v>
      </x:c>
      <x:c r="N48" s="112" t="str">
        <x:f>IF(I48&gt;0,"Invest cash as new 5-year tranche",IF(J48&gt;0,"Carry cash until £5 threshold",""))</x:f>
      </x:c>
      <x:c r="O48" s="113"/>
    </x:row>
    <x:row r="49" ht="15" hidden="0" customHeight="1">
      <x:c r="A49" s="108" t="n">
        <x:v>41</x:v>
      </x:c>
      <x:c r="B49" s="109" t="n">
        <x:f>INT(A49/12)+1</x:f>
        <x:v>4</x:v>
      </x:c>
      <x:c r="C49" s="110" t="n">
        <x:f>INDEX('Assumptions'!$B$12:$B$21,MIN(B49,ROWS('Assumptions'!$B$12:$B$21)))</x:f>
        <x:v>0.034</x:v>
      </x:c>
      <x:c r="D49" s="111" t="n">
        <x:f>IF(A49=0,'Assumptions'!$B$5,0)</x:f>
        <x:v>0</x:v>
      </x:c>
      <x:c r="E49" s="111" t="n">
        <x:f>J48</x:f>
        <x:v>0</x:v>
      </x:c>
      <x:c r="F49" s="111" t="n">
        <x:f>I43*C43/2+I37*C37/2+I31*C31/2+I25*C25/2+I19*C19/2+I13*C13/2+0+0+0+0</x:f>
        <x:v>0</x:v>
      </x:c>
      <x:c r="G49" s="111" t="n">
        <x:f>0</x:f>
        <x:v>0</x:v>
      </x:c>
      <x:c r="H49" s="111" t="n">
        <x:f>E49+D49+F49+G49</x:f>
        <x:v>0</x:v>
      </x:c>
      <x:c r="I49" s="111" t="n">
        <x:f>H49*(H49&gt;='Assumptions'!$B$9)</x:f>
        <x:v>0</x:v>
      </x:c>
      <x:c r="J49" s="111" t="n">
        <x:f>H49-I49</x:f>
        <x:v>0</x:v>
      </x:c>
      <x:c r="K49" s="111" t="n">
        <x:f>K48+I49-G49</x:f>
        <x:v>11258.860148284657</x:v>
      </x:c>
      <x:c r="L49" s="111" t="n">
        <x:f>J49+K49</x:f>
        <x:v>11258.860148284657</x:v>
      </x:c>
      <x:c r="M49" s="109" t="n">
        <x:f>M48+IF(I49&gt;=5,1,0)</x:f>
        <x:v>7</x:v>
      </x:c>
      <x:c r="N49" s="112" t="str">
        <x:f>IF(I49&gt;0,"Invest cash as new 5-year tranche",IF(J49&gt;0,"Carry cash until £5 threshold",""))</x:f>
      </x:c>
      <x:c r="O49" s="113"/>
    </x:row>
    <x:row r="50" ht="24" hidden="0" customHeight="1">
      <x:c r="A50" s="108" t="n">
        <x:v>42</x:v>
      </x:c>
      <x:c r="B50" s="109" t="n">
        <x:f>INT(A50/12)+1</x:f>
        <x:v>4</x:v>
      </x:c>
      <x:c r="C50" s="110" t="n">
        <x:f>INDEX('Assumptions'!$B$12:$B$21,MIN(B50,ROWS('Assumptions'!$B$12:$B$21)))</x:f>
        <x:v>0.034</x:v>
      </x:c>
      <x:c r="D50" s="111" t="n">
        <x:f>IF(A50=0,'Assumptions'!$B$5,0)</x:f>
        <x:v>0</x:v>
      </x:c>
      <x:c r="E50" s="111" t="n">
        <x:f>J49</x:f>
        <x:v>0</x:v>
      </x:c>
      <x:c r="F50" s="111" t="n">
        <x:f>I44*C44/2+I38*C38/2+I32*C32/2+I26*C26/2+I20*C20/2+I14*C14/2+I8*C8/2+0+0+0</x:f>
        <x:v>223.25183867043114</x:v>
      </x:c>
      <x:c r="G50" s="111" t="n">
        <x:f>0</x:f>
        <x:v>0</x:v>
      </x:c>
      <x:c r="H50" s="111" t="n">
        <x:f>E50+D50+F50+G50</x:f>
        <x:v>223.25183867043114</x:v>
      </x:c>
      <x:c r="I50" s="111" t="n">
        <x:f>H50*(H50&gt;='Assumptions'!$B$9)</x:f>
        <x:v>223.25183867043114</x:v>
      </x:c>
      <x:c r="J50" s="111" t="n">
        <x:f>H50-I50</x:f>
        <x:v>0</x:v>
      </x:c>
      <x:c r="K50" s="111" t="n">
        <x:f>K49+I50-G50</x:f>
        <x:v>11482.111986955088</x:v>
      </x:c>
      <x:c r="L50" s="111" t="n">
        <x:f>J50+K50</x:f>
        <x:v>11482.111986955088</x:v>
      </x:c>
      <x:c r="M50" s="109" t="n">
        <x:f>M49+IF(I50&gt;=5,1,0)</x:f>
        <x:v>8</x:v>
      </x:c>
      <x:c r="N50" s="112" t="str">
        <x:f>IF(I50&gt;0,"Invest cash as new 5-year tranche",IF(J50&gt;0,"Carry cash until £5 threshold",""))</x:f>
        <x:v>Invest cash as new 5-year tranche</x:v>
      </x:c>
      <x:c r="O50" s="113"/>
    </x:row>
    <x:row r="51" ht="15" hidden="0" customHeight="1">
      <x:c r="A51" s="108" t="n">
        <x:v>43</x:v>
      </x:c>
      <x:c r="B51" s="109" t="n">
        <x:f>INT(A51/12)+1</x:f>
        <x:v>4</x:v>
      </x:c>
      <x:c r="C51" s="110" t="n">
        <x:f>INDEX('Assumptions'!$B$12:$B$21,MIN(B51,ROWS('Assumptions'!$B$12:$B$21)))</x:f>
        <x:v>0.034</x:v>
      </x:c>
      <x:c r="D51" s="111" t="n">
        <x:f>IF(A51=0,'Assumptions'!$B$5,0)</x:f>
        <x:v>0</x:v>
      </x:c>
      <x:c r="E51" s="111" t="n">
        <x:f>J50</x:f>
        <x:v>0</x:v>
      </x:c>
      <x:c r="F51" s="111" t="n">
        <x:f>I45*C45/2+I39*C39/2+I33*C33/2+I27*C27/2+I21*C21/2+I15*C15/2+I9*C9/2+0+0+0</x:f>
        <x:v>0</x:v>
      </x:c>
      <x:c r="G51" s="111" t="n">
        <x:f>0</x:f>
        <x:v>0</x:v>
      </x:c>
      <x:c r="H51" s="111" t="n">
        <x:f>E51+D51+F51+G51</x:f>
        <x:v>0</x:v>
      </x:c>
      <x:c r="I51" s="111" t="n">
        <x:f>H51*(H51&gt;='Assumptions'!$B$9)</x:f>
        <x:v>0</x:v>
      </x:c>
      <x:c r="J51" s="111" t="n">
        <x:f>H51-I51</x:f>
        <x:v>0</x:v>
      </x:c>
      <x:c r="K51" s="111" t="n">
        <x:f>K50+I51-G51</x:f>
        <x:v>11482.111986955088</x:v>
      </x:c>
      <x:c r="L51" s="111" t="n">
        <x:f>J51+K51</x:f>
        <x:v>11482.111986955088</x:v>
      </x:c>
      <x:c r="M51" s="109" t="n">
        <x:f>M50+IF(I51&gt;=5,1,0)</x:f>
        <x:v>8</x:v>
      </x:c>
      <x:c r="N51" s="112" t="str">
        <x:f>IF(I51&gt;0,"Invest cash as new 5-year tranche",IF(J51&gt;0,"Carry cash until £5 threshold",""))</x:f>
      </x:c>
      <x:c r="O51" s="113"/>
    </x:row>
    <x:row r="52" ht="15" hidden="0" customHeight="1">
      <x:c r="A52" s="108" t="n">
        <x:v>44</x:v>
      </x:c>
      <x:c r="B52" s="109" t="n">
        <x:f>INT(A52/12)+1</x:f>
        <x:v>4</x:v>
      </x:c>
      <x:c r="C52" s="110" t="n">
        <x:f>INDEX('Assumptions'!$B$12:$B$21,MIN(B52,ROWS('Assumptions'!$B$12:$B$21)))</x:f>
        <x:v>0.034</x:v>
      </x:c>
      <x:c r="D52" s="111" t="n">
        <x:f>IF(A52=0,'Assumptions'!$B$5,0)</x:f>
        <x:v>0</x:v>
      </x:c>
      <x:c r="E52" s="111" t="n">
        <x:f>J51</x:f>
        <x:v>0</x:v>
      </x:c>
      <x:c r="F52" s="111" t="n">
        <x:f>I46*C46/2+I40*C40/2+I34*C34/2+I28*C28/2+I22*C22/2+I16*C16/2+I10*C10/2+0+0+0</x:f>
        <x:v>0</x:v>
      </x:c>
      <x:c r="G52" s="111" t="n">
        <x:f>0</x:f>
        <x:v>0</x:v>
      </x:c>
      <x:c r="H52" s="111" t="n">
        <x:f>E52+D52+F52+G52</x:f>
        <x:v>0</x:v>
      </x:c>
      <x:c r="I52" s="111" t="n">
        <x:f>H52*(H52&gt;='Assumptions'!$B$9)</x:f>
        <x:v>0</x:v>
      </x:c>
      <x:c r="J52" s="111" t="n">
        <x:f>H52-I52</x:f>
        <x:v>0</x:v>
      </x:c>
      <x:c r="K52" s="111" t="n">
        <x:f>K51+I52-G52</x:f>
        <x:v>11482.111986955088</x:v>
      </x:c>
      <x:c r="L52" s="111" t="n">
        <x:f>J52+K52</x:f>
        <x:v>11482.111986955088</x:v>
      </x:c>
      <x:c r="M52" s="109" t="n">
        <x:f>M51+IF(I52&gt;=5,1,0)</x:f>
        <x:v>8</x:v>
      </x:c>
      <x:c r="N52" s="112" t="str">
        <x:f>IF(I52&gt;0,"Invest cash as new 5-year tranche",IF(J52&gt;0,"Carry cash until £5 threshold",""))</x:f>
      </x:c>
      <x:c r="O52" s="113"/>
    </x:row>
    <x:row r="53" ht="15" hidden="0" customHeight="1">
      <x:c r="A53" s="108" t="n">
        <x:v>45</x:v>
      </x:c>
      <x:c r="B53" s="109" t="n">
        <x:f>INT(A53/12)+1</x:f>
        <x:v>4</x:v>
      </x:c>
      <x:c r="C53" s="110" t="n">
        <x:f>INDEX('Assumptions'!$B$12:$B$21,MIN(B53,ROWS('Assumptions'!$B$12:$B$21)))</x:f>
        <x:v>0.034</x:v>
      </x:c>
      <x:c r="D53" s="111" t="n">
        <x:f>IF(A53=0,'Assumptions'!$B$5,0)</x:f>
        <x:v>0</x:v>
      </x:c>
      <x:c r="E53" s="111" t="n">
        <x:f>J52</x:f>
        <x:v>0</x:v>
      </x:c>
      <x:c r="F53" s="111" t="n">
        <x:f>I47*C47/2+I41*C41/2+I35*C35/2+I29*C29/2+I23*C23/2+I17*C17/2+I11*C11/2+0+0+0</x:f>
        <x:v>0</x:v>
      </x:c>
      <x:c r="G53" s="111" t="n">
        <x:f>0</x:f>
        <x:v>0</x:v>
      </x:c>
      <x:c r="H53" s="111" t="n">
        <x:f>E53+D53+F53+G53</x:f>
        <x:v>0</x:v>
      </x:c>
      <x:c r="I53" s="111" t="n">
        <x:f>H53*(H53&gt;='Assumptions'!$B$9)</x:f>
        <x:v>0</x:v>
      </x:c>
      <x:c r="J53" s="111" t="n">
        <x:f>H53-I53</x:f>
        <x:v>0</x:v>
      </x:c>
      <x:c r="K53" s="111" t="n">
        <x:f>K52+I53-G53</x:f>
        <x:v>11482.111986955088</x:v>
      </x:c>
      <x:c r="L53" s="111" t="n">
        <x:f>J53+K53</x:f>
        <x:v>11482.111986955088</x:v>
      </x:c>
      <x:c r="M53" s="109" t="n">
        <x:f>M52+IF(I53&gt;=5,1,0)</x:f>
        <x:v>8</x:v>
      </x:c>
      <x:c r="N53" s="112" t="str">
        <x:f>IF(I53&gt;0,"Invest cash as new 5-year tranche",IF(J53&gt;0,"Carry cash until £5 threshold",""))</x:f>
      </x:c>
      <x:c r="O53" s="113"/>
    </x:row>
    <x:row r="54" ht="15" hidden="0" customHeight="1">
      <x:c r="A54" s="108" t="n">
        <x:v>46</x:v>
      </x:c>
      <x:c r="B54" s="109" t="n">
        <x:f>INT(A54/12)+1</x:f>
        <x:v>4</x:v>
      </x:c>
      <x:c r="C54" s="110" t="n">
        <x:f>INDEX('Assumptions'!$B$12:$B$21,MIN(B54,ROWS('Assumptions'!$B$12:$B$21)))</x:f>
        <x:v>0.034</x:v>
      </x:c>
      <x:c r="D54" s="111" t="n">
        <x:f>IF(A54=0,'Assumptions'!$B$5,0)</x:f>
        <x:v>0</x:v>
      </x:c>
      <x:c r="E54" s="111" t="n">
        <x:f>J53</x:f>
        <x:v>0</x:v>
      </x:c>
      <x:c r="F54" s="111" t="n">
        <x:f>I48*C48/2+I42*C42/2+I36*C36/2+I30*C30/2+I24*C24/2+I18*C18/2+I12*C12/2+0+0+0</x:f>
        <x:v>0</x:v>
      </x:c>
      <x:c r="G54" s="111" t="n">
        <x:f>0</x:f>
        <x:v>0</x:v>
      </x:c>
      <x:c r="H54" s="111" t="n">
        <x:f>E54+D54+F54+G54</x:f>
        <x:v>0</x:v>
      </x:c>
      <x:c r="I54" s="111" t="n">
        <x:f>H54*(H54&gt;='Assumptions'!$B$9)</x:f>
        <x:v>0</x:v>
      </x:c>
      <x:c r="J54" s="111" t="n">
        <x:f>H54-I54</x:f>
        <x:v>0</x:v>
      </x:c>
      <x:c r="K54" s="111" t="n">
        <x:f>K53+I54-G54</x:f>
        <x:v>11482.111986955088</x:v>
      </x:c>
      <x:c r="L54" s="111" t="n">
        <x:f>J54+K54</x:f>
        <x:v>11482.111986955088</x:v>
      </x:c>
      <x:c r="M54" s="109" t="n">
        <x:f>M53+IF(I54&gt;=5,1,0)</x:f>
        <x:v>8</x:v>
      </x:c>
      <x:c r="N54" s="112" t="str">
        <x:f>IF(I54&gt;0,"Invest cash as new 5-year tranche",IF(J54&gt;0,"Carry cash until £5 threshold",""))</x:f>
      </x:c>
      <x:c r="O54" s="113"/>
    </x:row>
    <x:row r="55" ht="15" hidden="0" customHeight="1">
      <x:c r="A55" s="108" t="n">
        <x:v>47</x:v>
      </x:c>
      <x:c r="B55" s="109" t="n">
        <x:f>INT(A55/12)+1</x:f>
        <x:v>4</x:v>
      </x:c>
      <x:c r="C55" s="110" t="n">
        <x:f>INDEX('Assumptions'!$B$12:$B$21,MIN(B55,ROWS('Assumptions'!$B$12:$B$21)))</x:f>
        <x:v>0.034</x:v>
      </x:c>
      <x:c r="D55" s="111" t="n">
        <x:f>IF(A55=0,'Assumptions'!$B$5,0)</x:f>
        <x:v>0</x:v>
      </x:c>
      <x:c r="E55" s="111" t="n">
        <x:f>J54</x:f>
        <x:v>0</x:v>
      </x:c>
      <x:c r="F55" s="111" t="n">
        <x:f>I49*C49/2+I43*C43/2+I37*C37/2+I31*C31/2+I25*C25/2+I19*C19/2+I13*C13/2+0+0+0</x:f>
        <x:v>0</x:v>
      </x:c>
      <x:c r="G55" s="111" t="n">
        <x:f>0</x:f>
        <x:v>0</x:v>
      </x:c>
      <x:c r="H55" s="111" t="n">
        <x:f>E55+D55+F55+G55</x:f>
        <x:v>0</x:v>
      </x:c>
      <x:c r="I55" s="111" t="n">
        <x:f>H55*(H55&gt;='Assumptions'!$B$9)</x:f>
        <x:v>0</x:v>
      </x:c>
      <x:c r="J55" s="111" t="n">
        <x:f>H55-I55</x:f>
        <x:v>0</x:v>
      </x:c>
      <x:c r="K55" s="111" t="n">
        <x:f>K54+I55-G55</x:f>
        <x:v>11482.111986955088</x:v>
      </x:c>
      <x:c r="L55" s="111" t="n">
        <x:f>J55+K55</x:f>
        <x:v>11482.111986955088</x:v>
      </x:c>
      <x:c r="M55" s="109" t="n">
        <x:f>M54+IF(I55&gt;=5,1,0)</x:f>
        <x:v>8</x:v>
      </x:c>
      <x:c r="N55" s="112" t="str">
        <x:f>IF(I55&gt;0,"Invest cash as new 5-year tranche",IF(J55&gt;0,"Carry cash until £5 threshold",""))</x:f>
      </x:c>
      <x:c r="O55" s="113"/>
    </x:row>
    <x:row r="56" ht="24" hidden="0" customHeight="1">
      <x:c r="A56" s="108" t="n">
        <x:v>48</x:v>
      </x:c>
      <x:c r="B56" s="109" t="n">
        <x:f>INT(A56/12)+1</x:f>
        <x:v>5</x:v>
      </x:c>
      <x:c r="C56" s="110" t="n">
        <x:f>INDEX('Assumptions'!$B$12:$B$21,MIN(B56,ROWS('Assumptions'!$B$12:$B$21)))</x:f>
        <x:v>0.032</x:v>
      </x:c>
      <x:c r="D56" s="111" t="n">
        <x:f>IF(A56=0,'Assumptions'!$B$5,0)</x:f>
        <x:v>0</x:v>
      </x:c>
      <x:c r="E56" s="111" t="n">
        <x:f>J55</x:f>
        <x:v>0</x:v>
      </x:c>
      <x:c r="F56" s="111" t="n">
        <x:f>I50*C50/2+I44*C44/2+I38*C38/2+I32*C32/2+I26*C26/2+I20*C20/2+I14*C14/2+I8*C8/2+0+0</x:f>
        <x:v>227.04711992782848</x:v>
      </x:c>
      <x:c r="G56" s="111" t="n">
        <x:f>0</x:f>
        <x:v>0</x:v>
      </x:c>
      <x:c r="H56" s="111" t="n">
        <x:f>E56+D56+F56+G56</x:f>
        <x:v>227.04711992782848</x:v>
      </x:c>
      <x:c r="I56" s="111" t="n">
        <x:f>H56*(H56&gt;='Assumptions'!$B$9)</x:f>
        <x:v>227.04711992782848</x:v>
      </x:c>
      <x:c r="J56" s="111" t="n">
        <x:f>H56-I56</x:f>
        <x:v>0</x:v>
      </x:c>
      <x:c r="K56" s="111" t="n">
        <x:f>K55+I56-G56</x:f>
        <x:v>11709.159106882917</x:v>
      </x:c>
      <x:c r="L56" s="111" t="n">
        <x:f>J56+K56</x:f>
        <x:v>11709.159106882917</x:v>
      </x:c>
      <x:c r="M56" s="109" t="n">
        <x:f>M55+IF(I56&gt;=5,1,0)</x:f>
        <x:v>9</x:v>
      </x:c>
      <x:c r="N56" s="112" t="str">
        <x:f>IF(I56&gt;0,"Invest cash as new 5-year tranche",IF(J56&gt;0,"Carry cash until £5 threshold",""))</x:f>
        <x:v>Invest cash as new 5-year tranche</x:v>
      </x:c>
      <x:c r="O56" s="113"/>
    </x:row>
    <x:row r="57" ht="15" hidden="0" customHeight="1">
      <x:c r="A57" s="108" t="n">
        <x:v>49</x:v>
      </x:c>
      <x:c r="B57" s="109" t="n">
        <x:f>INT(A57/12)+1</x:f>
        <x:v>5</x:v>
      </x:c>
      <x:c r="C57" s="110" t="n">
        <x:f>INDEX('Assumptions'!$B$12:$B$21,MIN(B57,ROWS('Assumptions'!$B$12:$B$21)))</x:f>
        <x:v>0.032</x:v>
      </x:c>
      <x:c r="D57" s="111" t="n">
        <x:f>IF(A57=0,'Assumptions'!$B$5,0)</x:f>
        <x:v>0</x:v>
      </x:c>
      <x:c r="E57" s="111" t="n">
        <x:f>J56</x:f>
        <x:v>0</x:v>
      </x:c>
      <x:c r="F57" s="111" t="n">
        <x:f>I51*C51/2+I45*C45/2+I39*C39/2+I33*C33/2+I27*C27/2+I21*C21/2+I15*C15/2+I9*C9/2+0+0</x:f>
        <x:v>0</x:v>
      </x:c>
      <x:c r="G57" s="111" t="n">
        <x:f>0</x:f>
        <x:v>0</x:v>
      </x:c>
      <x:c r="H57" s="111" t="n">
        <x:f>E57+D57+F57+G57</x:f>
        <x:v>0</x:v>
      </x:c>
      <x:c r="I57" s="111" t="n">
        <x:f>H57*(H57&gt;='Assumptions'!$B$9)</x:f>
        <x:v>0</x:v>
      </x:c>
      <x:c r="J57" s="111" t="n">
        <x:f>H57-I57</x:f>
        <x:v>0</x:v>
      </x:c>
      <x:c r="K57" s="111" t="n">
        <x:f>K56+I57-G57</x:f>
        <x:v>11709.159106882917</x:v>
      </x:c>
      <x:c r="L57" s="111" t="n">
        <x:f>J57+K57</x:f>
        <x:v>11709.159106882917</x:v>
      </x:c>
      <x:c r="M57" s="109" t="n">
        <x:f>M56+IF(I57&gt;=5,1,0)</x:f>
        <x:v>9</x:v>
      </x:c>
      <x:c r="N57" s="112" t="str">
        <x:f>IF(I57&gt;0,"Invest cash as new 5-year tranche",IF(J57&gt;0,"Carry cash until £5 threshold",""))</x:f>
      </x:c>
      <x:c r="O57" s="113"/>
    </x:row>
    <x:row r="58" ht="15" hidden="0" customHeight="1">
      <x:c r="A58" s="108" t="n">
        <x:v>50</x:v>
      </x:c>
      <x:c r="B58" s="109" t="n">
        <x:f>INT(A58/12)+1</x:f>
        <x:v>5</x:v>
      </x:c>
      <x:c r="C58" s="110" t="n">
        <x:f>INDEX('Assumptions'!$B$12:$B$21,MIN(B58,ROWS('Assumptions'!$B$12:$B$21)))</x:f>
        <x:v>0.032</x:v>
      </x:c>
      <x:c r="D58" s="111" t="n">
        <x:f>IF(A58=0,'Assumptions'!$B$5,0)</x:f>
        <x:v>0</x:v>
      </x:c>
      <x:c r="E58" s="111" t="n">
        <x:f>J57</x:f>
        <x:v>0</x:v>
      </x:c>
      <x:c r="F58" s="111" t="n">
        <x:f>I52*C52/2+I46*C46/2+I40*C40/2+I34*C34/2+I28*C28/2+I22*C22/2+I16*C16/2+I10*C10/2+0+0</x:f>
        <x:v>0</x:v>
      </x:c>
      <x:c r="G58" s="111" t="n">
        <x:f>0</x:f>
        <x:v>0</x:v>
      </x:c>
      <x:c r="H58" s="111" t="n">
        <x:f>E58+D58+F58+G58</x:f>
        <x:v>0</x:v>
      </x:c>
      <x:c r="I58" s="111" t="n">
        <x:f>H58*(H58&gt;='Assumptions'!$B$9)</x:f>
        <x:v>0</x:v>
      </x:c>
      <x:c r="J58" s="111" t="n">
        <x:f>H58-I58</x:f>
        <x:v>0</x:v>
      </x:c>
      <x:c r="K58" s="111" t="n">
        <x:f>K57+I58-G58</x:f>
        <x:v>11709.159106882917</x:v>
      </x:c>
      <x:c r="L58" s="111" t="n">
        <x:f>J58+K58</x:f>
        <x:v>11709.159106882917</x:v>
      </x:c>
      <x:c r="M58" s="109" t="n">
        <x:f>M57+IF(I58&gt;=5,1,0)</x:f>
        <x:v>9</x:v>
      </x:c>
      <x:c r="N58" s="112" t="str">
        <x:f>IF(I58&gt;0,"Invest cash as new 5-year tranche",IF(J58&gt;0,"Carry cash until £5 threshold",""))</x:f>
      </x:c>
      <x:c r="O58" s="113"/>
    </x:row>
    <x:row r="59" ht="15" hidden="0" customHeight="1">
      <x:c r="A59" s="108" t="n">
        <x:v>51</x:v>
      </x:c>
      <x:c r="B59" s="109" t="n">
        <x:f>INT(A59/12)+1</x:f>
        <x:v>5</x:v>
      </x:c>
      <x:c r="C59" s="110" t="n">
        <x:f>INDEX('Assumptions'!$B$12:$B$21,MIN(B59,ROWS('Assumptions'!$B$12:$B$21)))</x:f>
        <x:v>0.032</x:v>
      </x:c>
      <x:c r="D59" s="111" t="n">
        <x:f>IF(A59=0,'Assumptions'!$B$5,0)</x:f>
        <x:v>0</x:v>
      </x:c>
      <x:c r="E59" s="111" t="n">
        <x:f>J58</x:f>
        <x:v>0</x:v>
      </x:c>
      <x:c r="F59" s="111" t="n">
        <x:f>I53*C53/2+I47*C47/2+I41*C41/2+I35*C35/2+I29*C29/2+I23*C23/2+I17*C17/2+I11*C11/2+0+0</x:f>
        <x:v>0</x:v>
      </x:c>
      <x:c r="G59" s="111" t="n">
        <x:f>0</x:f>
        <x:v>0</x:v>
      </x:c>
      <x:c r="H59" s="111" t="n">
        <x:f>E59+D59+F59+G59</x:f>
        <x:v>0</x:v>
      </x:c>
      <x:c r="I59" s="111" t="n">
        <x:f>H59*(H59&gt;='Assumptions'!$B$9)</x:f>
        <x:v>0</x:v>
      </x:c>
      <x:c r="J59" s="111" t="n">
        <x:f>H59-I59</x:f>
        <x:v>0</x:v>
      </x:c>
      <x:c r="K59" s="111" t="n">
        <x:f>K58+I59-G59</x:f>
        <x:v>11709.159106882917</x:v>
      </x:c>
      <x:c r="L59" s="111" t="n">
        <x:f>J59+K59</x:f>
        <x:v>11709.159106882917</x:v>
      </x:c>
      <x:c r="M59" s="109" t="n">
        <x:f>M58+IF(I59&gt;=5,1,0)</x:f>
        <x:v>9</x:v>
      </x:c>
      <x:c r="N59" s="112" t="str">
        <x:f>IF(I59&gt;0,"Invest cash as new 5-year tranche",IF(J59&gt;0,"Carry cash until £5 threshold",""))</x:f>
      </x:c>
      <x:c r="O59" s="113"/>
    </x:row>
    <x:row r="60" ht="15" hidden="0" customHeight="1">
      <x:c r="A60" s="108" t="n">
        <x:v>52</x:v>
      </x:c>
      <x:c r="B60" s="109" t="n">
        <x:f>INT(A60/12)+1</x:f>
        <x:v>5</x:v>
      </x:c>
      <x:c r="C60" s="110" t="n">
        <x:f>INDEX('Assumptions'!$B$12:$B$21,MIN(B60,ROWS('Assumptions'!$B$12:$B$21)))</x:f>
        <x:v>0.032</x:v>
      </x:c>
      <x:c r="D60" s="111" t="n">
        <x:f>IF(A60=0,'Assumptions'!$B$5,0)</x:f>
        <x:v>0</x:v>
      </x:c>
      <x:c r="E60" s="111" t="n">
        <x:f>J59</x:f>
        <x:v>0</x:v>
      </x:c>
      <x:c r="F60" s="111" t="n">
        <x:f>I54*C54/2+I48*C48/2+I42*C42/2+I36*C36/2+I30*C30/2+I24*C24/2+I18*C18/2+I12*C12/2+0+0</x:f>
        <x:v>0</x:v>
      </x:c>
      <x:c r="G60" s="111" t="n">
        <x:f>0</x:f>
        <x:v>0</x:v>
      </x:c>
      <x:c r="H60" s="111" t="n">
        <x:f>E60+D60+F60+G60</x:f>
        <x:v>0</x:v>
      </x:c>
      <x:c r="I60" s="111" t="n">
        <x:f>H60*(H60&gt;='Assumptions'!$B$9)</x:f>
        <x:v>0</x:v>
      </x:c>
      <x:c r="J60" s="111" t="n">
        <x:f>H60-I60</x:f>
        <x:v>0</x:v>
      </x:c>
      <x:c r="K60" s="111" t="n">
        <x:f>K59+I60-G60</x:f>
        <x:v>11709.159106882917</x:v>
      </x:c>
      <x:c r="L60" s="111" t="n">
        <x:f>J60+K60</x:f>
        <x:v>11709.159106882917</x:v>
      </x:c>
      <x:c r="M60" s="109" t="n">
        <x:f>M59+IF(I60&gt;=5,1,0)</x:f>
        <x:v>9</x:v>
      </x:c>
      <x:c r="N60" s="112" t="str">
        <x:f>IF(I60&gt;0,"Invest cash as new 5-year tranche",IF(J60&gt;0,"Carry cash until £5 threshold",""))</x:f>
      </x:c>
      <x:c r="O60" s="113"/>
    </x:row>
    <x:row r="61" ht="15" hidden="0" customHeight="1">
      <x:c r="A61" s="108" t="n">
        <x:v>53</x:v>
      </x:c>
      <x:c r="B61" s="109" t="n">
        <x:f>INT(A61/12)+1</x:f>
        <x:v>5</x:v>
      </x:c>
      <x:c r="C61" s="110" t="n">
        <x:f>INDEX('Assumptions'!$B$12:$B$21,MIN(B61,ROWS('Assumptions'!$B$12:$B$21)))</x:f>
        <x:v>0.032</x:v>
      </x:c>
      <x:c r="D61" s="111" t="n">
        <x:f>IF(A61=0,'Assumptions'!$B$5,0)</x:f>
        <x:v>0</x:v>
      </x:c>
      <x:c r="E61" s="111" t="n">
        <x:f>J60</x:f>
        <x:v>0</x:v>
      </x:c>
      <x:c r="F61" s="111" t="n">
        <x:f>I55*C55/2+I49*C49/2+I43*C43/2+I37*C37/2+I31*C31/2+I25*C25/2+I19*C19/2+I13*C13/2+0+0</x:f>
        <x:v>0</x:v>
      </x:c>
      <x:c r="G61" s="111" t="n">
        <x:f>0</x:f>
        <x:v>0</x:v>
      </x:c>
      <x:c r="H61" s="111" t="n">
        <x:f>E61+D61+F61+G61</x:f>
        <x:v>0</x:v>
      </x:c>
      <x:c r="I61" s="111" t="n">
        <x:f>H61*(H61&gt;='Assumptions'!$B$9)</x:f>
        <x:v>0</x:v>
      </x:c>
      <x:c r="J61" s="111" t="n">
        <x:f>H61-I61</x:f>
        <x:v>0</x:v>
      </x:c>
      <x:c r="K61" s="111" t="n">
        <x:f>K60+I61-G61</x:f>
        <x:v>11709.159106882917</x:v>
      </x:c>
      <x:c r="L61" s="111" t="n">
        <x:f>J61+K61</x:f>
        <x:v>11709.159106882917</x:v>
      </x:c>
      <x:c r="M61" s="109" t="n">
        <x:f>M60+IF(I61&gt;=5,1,0)</x:f>
        <x:v>9</x:v>
      </x:c>
      <x:c r="N61" s="112" t="str">
        <x:f>IF(I61&gt;0,"Invest cash as new 5-year tranche",IF(J61&gt;0,"Carry cash until £5 threshold",""))</x:f>
      </x:c>
      <x:c r="O61" s="113"/>
    </x:row>
    <x:row r="62" ht="24" hidden="0" customHeight="1">
      <x:c r="A62" s="108" t="n">
        <x:v>54</x:v>
      </x:c>
      <x:c r="B62" s="109" t="n">
        <x:f>INT(A62/12)+1</x:f>
        <x:v>5</x:v>
      </x:c>
      <x:c r="C62" s="110" t="n">
        <x:f>INDEX('Assumptions'!$B$12:$B$21,MIN(B62,ROWS('Assumptions'!$B$12:$B$21)))</x:f>
        <x:v>0.032</x:v>
      </x:c>
      <x:c r="D62" s="111" t="n">
        <x:f>IF(A62=0,'Assumptions'!$B$5,0)</x:f>
        <x:v>0</x:v>
      </x:c>
      <x:c r="E62" s="111" t="n">
        <x:f>J61</x:f>
        <x:v>0</x:v>
      </x:c>
      <x:c r="F62" s="111" t="n">
        <x:f>I56*C56/2+I50*C50/2+I44*C44/2+I38*C38/2+I32*C32/2+I26*C26/2+I20*C20/2+I14*C14/2+I8*C8/2+0</x:f>
        <x:v>230.67987384667373</x:v>
      </x:c>
      <x:c r="G62" s="111" t="n">
        <x:f>0</x:f>
        <x:v>0</x:v>
      </x:c>
      <x:c r="H62" s="111" t="n">
        <x:f>E62+D62+F62+G62</x:f>
        <x:v>230.67987384667373</x:v>
      </x:c>
      <x:c r="I62" s="111" t="n">
        <x:f>H62*(H62&gt;='Assumptions'!$B$9)</x:f>
        <x:v>230.67987384667373</x:v>
      </x:c>
      <x:c r="J62" s="111" t="n">
        <x:f>H62-I62</x:f>
        <x:v>0</x:v>
      </x:c>
      <x:c r="K62" s="111" t="n">
        <x:f>K61+I62-G62</x:f>
        <x:v>11939.83898072959</x:v>
      </x:c>
      <x:c r="L62" s="111" t="n">
        <x:f>J62+K62</x:f>
        <x:v>11939.83898072959</x:v>
      </x:c>
      <x:c r="M62" s="109" t="n">
        <x:f>M61+IF(I62&gt;=5,1,0)</x:f>
        <x:v>10</x:v>
      </x:c>
      <x:c r="N62" s="112" t="str">
        <x:f>IF(I62&gt;0,"Invest cash as new 5-year tranche",IF(J62&gt;0,"Carry cash until £5 threshold",""))</x:f>
        <x:v>Invest cash as new 5-year tranche</x:v>
      </x:c>
      <x:c r="O62" s="113"/>
    </x:row>
    <x:row r="63" ht="15" hidden="0" customHeight="1">
      <x:c r="A63" s="108" t="n">
        <x:v>55</x:v>
      </x:c>
      <x:c r="B63" s="109" t="n">
        <x:f>INT(A63/12)+1</x:f>
        <x:v>5</x:v>
      </x:c>
      <x:c r="C63" s="110" t="n">
        <x:f>INDEX('Assumptions'!$B$12:$B$21,MIN(B63,ROWS('Assumptions'!$B$12:$B$21)))</x:f>
        <x:v>0.032</x:v>
      </x:c>
      <x:c r="D63" s="111" t="n">
        <x:f>IF(A63=0,'Assumptions'!$B$5,0)</x:f>
        <x:v>0</x:v>
      </x:c>
      <x:c r="E63" s="111" t="n">
        <x:f>J62</x:f>
        <x:v>0</x:v>
      </x:c>
      <x:c r="F63" s="111" t="n">
        <x:f>I57*C57/2+I51*C51/2+I45*C45/2+I39*C39/2+I33*C33/2+I27*C27/2+I21*C21/2+I15*C15/2+I9*C9/2+0</x:f>
        <x:v>0</x:v>
      </x:c>
      <x:c r="G63" s="111" t="n">
        <x:f>0</x:f>
        <x:v>0</x:v>
      </x:c>
      <x:c r="H63" s="111" t="n">
        <x:f>E63+D63+F63+G63</x:f>
        <x:v>0</x:v>
      </x:c>
      <x:c r="I63" s="111" t="n">
        <x:f>H63*(H63&gt;='Assumptions'!$B$9)</x:f>
        <x:v>0</x:v>
      </x:c>
      <x:c r="J63" s="111" t="n">
        <x:f>H63-I63</x:f>
        <x:v>0</x:v>
      </x:c>
      <x:c r="K63" s="111" t="n">
        <x:f>K62+I63-G63</x:f>
        <x:v>11939.83898072959</x:v>
      </x:c>
      <x:c r="L63" s="111" t="n">
        <x:f>J63+K63</x:f>
        <x:v>11939.83898072959</x:v>
      </x:c>
      <x:c r="M63" s="109" t="n">
        <x:f>M62+IF(I63&gt;=5,1,0)</x:f>
        <x:v>10</x:v>
      </x:c>
      <x:c r="N63" s="112" t="str">
        <x:f>IF(I63&gt;0,"Invest cash as new 5-year tranche",IF(J63&gt;0,"Carry cash until £5 threshold",""))</x:f>
      </x:c>
      <x:c r="O63" s="113"/>
    </x:row>
    <x:row r="64" ht="15" hidden="0" customHeight="1">
      <x:c r="A64" s="108" t="n">
        <x:v>56</x:v>
      </x:c>
      <x:c r="B64" s="109" t="n">
        <x:f>INT(A64/12)+1</x:f>
        <x:v>5</x:v>
      </x:c>
      <x:c r="C64" s="110" t="n">
        <x:f>INDEX('Assumptions'!$B$12:$B$21,MIN(B64,ROWS('Assumptions'!$B$12:$B$21)))</x:f>
        <x:v>0.032</x:v>
      </x:c>
      <x:c r="D64" s="111" t="n">
        <x:f>IF(A64=0,'Assumptions'!$B$5,0)</x:f>
        <x:v>0</x:v>
      </x:c>
      <x:c r="E64" s="111" t="n">
        <x:f>J63</x:f>
        <x:v>0</x:v>
      </x:c>
      <x:c r="F64" s="111" t="n">
        <x:f>I58*C58/2+I52*C52/2+I46*C46/2+I40*C40/2+I34*C34/2+I28*C28/2+I22*C22/2+I16*C16/2+I10*C10/2+0</x:f>
        <x:v>0</x:v>
      </x:c>
      <x:c r="G64" s="111" t="n">
        <x:f>0</x:f>
        <x:v>0</x:v>
      </x:c>
      <x:c r="H64" s="111" t="n">
        <x:f>E64+D64+F64+G64</x:f>
        <x:v>0</x:v>
      </x:c>
      <x:c r="I64" s="111" t="n">
        <x:f>H64*(H64&gt;='Assumptions'!$B$9)</x:f>
        <x:v>0</x:v>
      </x:c>
      <x:c r="J64" s="111" t="n">
        <x:f>H64-I64</x:f>
        <x:v>0</x:v>
      </x:c>
      <x:c r="K64" s="111" t="n">
        <x:f>K63+I64-G64</x:f>
        <x:v>11939.83898072959</x:v>
      </x:c>
      <x:c r="L64" s="111" t="n">
        <x:f>J64+K64</x:f>
        <x:v>11939.83898072959</x:v>
      </x:c>
      <x:c r="M64" s="109" t="n">
        <x:f>M63+IF(I64&gt;=5,1,0)</x:f>
        <x:v>10</x:v>
      </x:c>
      <x:c r="N64" s="112" t="str">
        <x:f>IF(I64&gt;0,"Invest cash as new 5-year tranche",IF(J64&gt;0,"Carry cash until £5 threshold",""))</x:f>
      </x:c>
      <x:c r="O64" s="113"/>
    </x:row>
    <x:row r="65" ht="15" hidden="0" customHeight="1">
      <x:c r="A65" s="108" t="n">
        <x:v>57</x:v>
      </x:c>
      <x:c r="B65" s="109" t="n">
        <x:f>INT(A65/12)+1</x:f>
        <x:v>5</x:v>
      </x:c>
      <x:c r="C65" s="110" t="n">
        <x:f>INDEX('Assumptions'!$B$12:$B$21,MIN(B65,ROWS('Assumptions'!$B$12:$B$21)))</x:f>
        <x:v>0.032</x:v>
      </x:c>
      <x:c r="D65" s="111" t="n">
        <x:f>IF(A65=0,'Assumptions'!$B$5,0)</x:f>
        <x:v>0</x:v>
      </x:c>
      <x:c r="E65" s="111" t="n">
        <x:f>J64</x:f>
        <x:v>0</x:v>
      </x:c>
      <x:c r="F65" s="111" t="n">
        <x:f>I59*C59/2+I53*C53/2+I47*C47/2+I41*C41/2+I35*C35/2+I29*C29/2+I23*C23/2+I17*C17/2+I11*C11/2+0</x:f>
        <x:v>0</x:v>
      </x:c>
      <x:c r="G65" s="111" t="n">
        <x:f>0</x:f>
        <x:v>0</x:v>
      </x:c>
      <x:c r="H65" s="111" t="n">
        <x:f>E65+D65+F65+G65</x:f>
        <x:v>0</x:v>
      </x:c>
      <x:c r="I65" s="111" t="n">
        <x:f>H65*(H65&gt;='Assumptions'!$B$9)</x:f>
        <x:v>0</x:v>
      </x:c>
      <x:c r="J65" s="111" t="n">
        <x:f>H65-I65</x:f>
        <x:v>0</x:v>
      </x:c>
      <x:c r="K65" s="111" t="n">
        <x:f>K64+I65-G65</x:f>
        <x:v>11939.83898072959</x:v>
      </x:c>
      <x:c r="L65" s="111" t="n">
        <x:f>J65+K65</x:f>
        <x:v>11939.83898072959</x:v>
      </x:c>
      <x:c r="M65" s="109" t="n">
        <x:f>M64+IF(I65&gt;=5,1,0)</x:f>
        <x:v>10</x:v>
      </x:c>
      <x:c r="N65" s="112" t="str">
        <x:f>IF(I65&gt;0,"Invest cash as new 5-year tranche",IF(J65&gt;0,"Carry cash until £5 threshold",""))</x:f>
      </x:c>
      <x:c r="O65" s="113"/>
    </x:row>
    <x:row r="66" ht="15" hidden="0" customHeight="1">
      <x:c r="A66" s="108" t="n">
        <x:v>58</x:v>
      </x:c>
      <x:c r="B66" s="109" t="n">
        <x:f>INT(A66/12)+1</x:f>
        <x:v>5</x:v>
      </x:c>
      <x:c r="C66" s="110" t="n">
        <x:f>INDEX('Assumptions'!$B$12:$B$21,MIN(B66,ROWS('Assumptions'!$B$12:$B$21)))</x:f>
        <x:v>0.032</x:v>
      </x:c>
      <x:c r="D66" s="111" t="n">
        <x:f>IF(A66=0,'Assumptions'!$B$5,0)</x:f>
        <x:v>0</x:v>
      </x:c>
      <x:c r="E66" s="111" t="n">
        <x:f>J65</x:f>
        <x:v>0</x:v>
      </x:c>
      <x:c r="F66" s="111" t="n">
        <x:f>I60*C60/2+I54*C54/2+I48*C48/2+I42*C42/2+I36*C36/2+I30*C30/2+I24*C24/2+I18*C18/2+I12*C12/2+0</x:f>
        <x:v>0</x:v>
      </x:c>
      <x:c r="G66" s="111" t="n">
        <x:f>0</x:f>
        <x:v>0</x:v>
      </x:c>
      <x:c r="H66" s="111" t="n">
        <x:f>E66+D66+F66+G66</x:f>
        <x:v>0</x:v>
      </x:c>
      <x:c r="I66" s="111" t="n">
        <x:f>H66*(H66&gt;='Assumptions'!$B$9)</x:f>
        <x:v>0</x:v>
      </x:c>
      <x:c r="J66" s="111" t="n">
        <x:f>H66-I66</x:f>
        <x:v>0</x:v>
      </x:c>
      <x:c r="K66" s="111" t="n">
        <x:f>K65+I66-G66</x:f>
        <x:v>11939.83898072959</x:v>
      </x:c>
      <x:c r="L66" s="111" t="n">
        <x:f>J66+K66</x:f>
        <x:v>11939.83898072959</x:v>
      </x:c>
      <x:c r="M66" s="109" t="n">
        <x:f>M65+IF(I66&gt;=5,1,0)</x:f>
        <x:v>10</x:v>
      </x:c>
      <x:c r="N66" s="112" t="str">
        <x:f>IF(I66&gt;0,"Invest cash as new 5-year tranche",IF(J66&gt;0,"Carry cash until £5 threshold",""))</x:f>
      </x:c>
      <x:c r="O66" s="113"/>
    </x:row>
    <x:row r="67" ht="15" hidden="0" customHeight="1">
      <x:c r="A67" s="108" t="n">
        <x:v>59</x:v>
      </x:c>
      <x:c r="B67" s="109" t="n">
        <x:f>INT(A67/12)+1</x:f>
        <x:v>5</x:v>
      </x:c>
      <x:c r="C67" s="110" t="n">
        <x:f>INDEX('Assumptions'!$B$12:$B$21,MIN(B67,ROWS('Assumptions'!$B$12:$B$21)))</x:f>
        <x:v>0.032</x:v>
      </x:c>
      <x:c r="D67" s="111" t="n">
        <x:f>IF(A67=0,'Assumptions'!$B$5,0)</x:f>
        <x:v>0</x:v>
      </x:c>
      <x:c r="E67" s="111" t="n">
        <x:f>J66</x:f>
        <x:v>0</x:v>
      </x:c>
      <x:c r="F67" s="111" t="n">
        <x:f>I61*C61/2+I55*C55/2+I49*C49/2+I43*C43/2+I37*C37/2+I31*C31/2+I25*C25/2+I19*C19/2+I13*C13/2+0</x:f>
        <x:v>0</x:v>
      </x:c>
      <x:c r="G67" s="111" t="n">
        <x:f>0</x:f>
        <x:v>0</x:v>
      </x:c>
      <x:c r="H67" s="111" t="n">
        <x:f>E67+D67+F67+G67</x:f>
        <x:v>0</x:v>
      </x:c>
      <x:c r="I67" s="111" t="n">
        <x:f>H67*(H67&gt;='Assumptions'!$B$9)</x:f>
        <x:v>0</x:v>
      </x:c>
      <x:c r="J67" s="111" t="n">
        <x:f>H67-I67</x:f>
        <x:v>0</x:v>
      </x:c>
      <x:c r="K67" s="111" t="n">
        <x:f>K66+I67-G67</x:f>
        <x:v>11939.83898072959</x:v>
      </x:c>
      <x:c r="L67" s="111" t="n">
        <x:f>J67+K67</x:f>
        <x:v>11939.83898072959</x:v>
      </x:c>
      <x:c r="M67" s="109" t="n">
        <x:f>M66+IF(I67&gt;=5,1,0)</x:f>
        <x:v>10</x:v>
      </x:c>
      <x:c r="N67" s="112" t="str">
        <x:f>IF(I67&gt;0,"Invest cash as new 5-year tranche",IF(J67&gt;0,"Carry cash until £5 threshold",""))</x:f>
      </x:c>
      <x:c r="O67" s="113"/>
    </x:row>
    <x:row r="68" ht="24" hidden="0" customHeight="1">
      <x:c r="A68" s="108" t="n">
        <x:v>60</x:v>
      </x:c>
      <x:c r="B68" s="109" t="n">
        <x:f>INT(A68/12)+1</x:f>
        <x:v>6</x:v>
      </x:c>
      <x:c r="C68" s="110" t="n">
        <x:f>INDEX('Assumptions'!$B$12:$B$21,MIN(B68,ROWS('Assumptions'!$B$12:$B$21)))</x:f>
        <x:v>0.03</x:v>
      </x:c>
      <x:c r="D68" s="111" t="n">
        <x:f>IF(A68=0,'Assumptions'!$B$5,0)</x:f>
        <x:v>0</x:v>
      </x:c>
      <x:c r="E68" s="111" t="n">
        <x:f>J67</x:f>
        <x:v>0</x:v>
      </x:c>
      <x:c r="F68" s="111" t="n">
        <x:f>I62*C62/2+I56*C56/2+I50*C50/2+I44*C44/2+I38*C38/2+I32*C32/2+I26*C26/2+I20*C20/2+I14*C14/2+I8*C8/2</x:f>
        <x:v>234.37075182822053</x:v>
      </x:c>
      <x:c r="G68" s="111" t="n">
        <x:f>I8</x:f>
        <x:v>10000</x:v>
      </x:c>
      <x:c r="H68" s="111" t="n">
        <x:f>E68+D68+F68+G68</x:f>
        <x:v>10234.37075182822</x:v>
      </x:c>
      <x:c r="I68" s="111" t="n">
        <x:f>H68*(H68&gt;='Assumptions'!$B$9)</x:f>
        <x:v>10234.37075182822</x:v>
      </x:c>
      <x:c r="J68" s="111" t="n">
        <x:f>H68-I68</x:f>
        <x:v>0</x:v>
      </x:c>
      <x:c r="K68" s="111" t="n">
        <x:f>K67+I68-G68</x:f>
        <x:v>12174.20973255781</x:v>
      </x:c>
      <x:c r="L68" s="111" t="n">
        <x:f>J68+K68</x:f>
        <x:v>12174.20973255781</x:v>
      </x:c>
      <x:c r="M68" s="109" t="n">
        <x:f>M67+IF(I68&gt;=5,1,0)</x:f>
        <x:v>11</x:v>
      </x:c>
      <x:c r="N68" s="112" t="str">
        <x:f>IF(I68&gt;0,"Invest cash as new 5-year tranche",IF(J68&gt;0,"Carry cash until £5 threshold",""))</x:f>
        <x:v>Invest cash as new 5-year tranche</x:v>
      </x:c>
      <x:c r="O68" s="113"/>
    </x:row>
    <x:row r="69" ht="15" hidden="0" customHeight="1">
      <x:c r="A69" s="108" t="n">
        <x:v>61</x:v>
      </x:c>
      <x:c r="B69" s="109" t="n">
        <x:f>INT(A69/12)+1</x:f>
        <x:v>6</x:v>
      </x:c>
      <x:c r="C69" s="110" t="n">
        <x:f>INDEX('Assumptions'!$B$12:$B$21,MIN(B69,ROWS('Assumptions'!$B$12:$B$21)))</x:f>
        <x:v>0.03</x:v>
      </x:c>
      <x:c r="D69" s="111" t="n">
        <x:f>IF(A69=0,'Assumptions'!$B$5,0)</x:f>
        <x:v>0</x:v>
      </x:c>
      <x:c r="E69" s="111" t="n">
        <x:f>J68</x:f>
        <x:v>0</x:v>
      </x:c>
      <x:c r="F69" s="111" t="n">
        <x:f>I63*C63/2+I57*C57/2+I51*C51/2+I45*C45/2+I39*C39/2+I33*C33/2+I27*C27/2+I21*C21/2+I15*C15/2+I9*C9/2</x:f>
        <x:v>0</x:v>
      </x:c>
      <x:c r="G69" s="111" t="n">
        <x:f>I9</x:f>
        <x:v>0</x:v>
      </x:c>
      <x:c r="H69" s="111" t="n">
        <x:f>E69+D69+F69+G69</x:f>
        <x:v>0</x:v>
      </x:c>
      <x:c r="I69" s="111" t="n">
        <x:f>H69*(H69&gt;='Assumptions'!$B$9)</x:f>
        <x:v>0</x:v>
      </x:c>
      <x:c r="J69" s="111" t="n">
        <x:f>H69-I69</x:f>
        <x:v>0</x:v>
      </x:c>
      <x:c r="K69" s="111" t="n">
        <x:f>K68+I69-G69</x:f>
        <x:v>12174.20973255781</x:v>
      </x:c>
      <x:c r="L69" s="111" t="n">
        <x:f>J69+K69</x:f>
        <x:v>12174.20973255781</x:v>
      </x:c>
      <x:c r="M69" s="109" t="n">
        <x:f>M68+IF(I69&gt;=5,1,0)</x:f>
        <x:v>11</x:v>
      </x:c>
      <x:c r="N69" s="112" t="str">
        <x:f>IF(I69&gt;0,"Invest cash as new 5-year tranche",IF(J69&gt;0,"Carry cash until £5 threshold",""))</x:f>
      </x:c>
      <x:c r="O69" s="113"/>
    </x:row>
    <x:row r="70" ht="15" hidden="0" customHeight="1">
      <x:c r="A70" s="108" t="n">
        <x:v>62</x:v>
      </x:c>
      <x:c r="B70" s="109" t="n">
        <x:f>INT(A70/12)+1</x:f>
        <x:v>6</x:v>
      </x:c>
      <x:c r="C70" s="110" t="n">
        <x:f>INDEX('Assumptions'!$B$12:$B$21,MIN(B70,ROWS('Assumptions'!$B$12:$B$21)))</x:f>
        <x:v>0.03</x:v>
      </x:c>
      <x:c r="D70" s="111" t="n">
        <x:f>IF(A70=0,'Assumptions'!$B$5,0)</x:f>
        <x:v>0</x:v>
      </x:c>
      <x:c r="E70" s="111" t="n">
        <x:f>J69</x:f>
        <x:v>0</x:v>
      </x:c>
      <x:c r="F70" s="111" t="n">
        <x:f>I64*C64/2+I58*C58/2+I52*C52/2+I46*C46/2+I40*C40/2+I34*C34/2+I28*C28/2+I22*C22/2+I16*C16/2+I10*C10/2</x:f>
        <x:v>0</x:v>
      </x:c>
      <x:c r="G70" s="111" t="n">
        <x:f>I10</x:f>
        <x:v>0</x:v>
      </x:c>
      <x:c r="H70" s="111" t="n">
        <x:f>E70+D70+F70+G70</x:f>
        <x:v>0</x:v>
      </x:c>
      <x:c r="I70" s="111" t="n">
        <x:f>H70*(H70&gt;='Assumptions'!$B$9)</x:f>
        <x:v>0</x:v>
      </x:c>
      <x:c r="J70" s="111" t="n">
        <x:f>H70-I70</x:f>
        <x:v>0</x:v>
      </x:c>
      <x:c r="K70" s="111" t="n">
        <x:f>K69+I70-G70</x:f>
        <x:v>12174.20973255781</x:v>
      </x:c>
      <x:c r="L70" s="111" t="n">
        <x:f>J70+K70</x:f>
        <x:v>12174.20973255781</x:v>
      </x:c>
      <x:c r="M70" s="109" t="n">
        <x:f>M69+IF(I70&gt;=5,1,0)</x:f>
        <x:v>11</x:v>
      </x:c>
      <x:c r="N70" s="112" t="str">
        <x:f>IF(I70&gt;0,"Invest cash as new 5-year tranche",IF(J70&gt;0,"Carry cash until £5 threshold",""))</x:f>
      </x:c>
      <x:c r="O70" s="113"/>
    </x:row>
    <x:row r="71" ht="15" hidden="0" customHeight="1">
      <x:c r="A71" s="108" t="n">
        <x:v>63</x:v>
      </x:c>
      <x:c r="B71" s="109" t="n">
        <x:f>INT(A71/12)+1</x:f>
        <x:v>6</x:v>
      </x:c>
      <x:c r="C71" s="110" t="n">
        <x:f>INDEX('Assumptions'!$B$12:$B$21,MIN(B71,ROWS('Assumptions'!$B$12:$B$21)))</x:f>
        <x:v>0.03</x:v>
      </x:c>
      <x:c r="D71" s="111" t="n">
        <x:f>IF(A71=0,'Assumptions'!$B$5,0)</x:f>
        <x:v>0</x:v>
      </x:c>
      <x:c r="E71" s="111" t="n">
        <x:f>J70</x:f>
        <x:v>0</x:v>
      </x:c>
      <x:c r="F71" s="111" t="n">
        <x:f>I65*C65/2+I59*C59/2+I53*C53/2+I47*C47/2+I41*C41/2+I35*C35/2+I29*C29/2+I23*C23/2+I17*C17/2+I11*C11/2</x:f>
        <x:v>0</x:v>
      </x:c>
      <x:c r="G71" s="111" t="n">
        <x:f>I11</x:f>
        <x:v>0</x:v>
      </x:c>
      <x:c r="H71" s="111" t="n">
        <x:f>E71+D71+F71+G71</x:f>
        <x:v>0</x:v>
      </x:c>
      <x:c r="I71" s="111" t="n">
        <x:f>H71*(H71&gt;='Assumptions'!$B$9)</x:f>
        <x:v>0</x:v>
      </x:c>
      <x:c r="J71" s="111" t="n">
        <x:f>H71-I71</x:f>
        <x:v>0</x:v>
      </x:c>
      <x:c r="K71" s="111" t="n">
        <x:f>K70+I71-G71</x:f>
        <x:v>12174.20973255781</x:v>
      </x:c>
      <x:c r="L71" s="111" t="n">
        <x:f>J71+K71</x:f>
        <x:v>12174.20973255781</x:v>
      </x:c>
      <x:c r="M71" s="109" t="n">
        <x:f>M70+IF(I71&gt;=5,1,0)</x:f>
        <x:v>11</x:v>
      </x:c>
      <x:c r="N71" s="112" t="str">
        <x:f>IF(I71&gt;0,"Invest cash as new 5-year tranche",IF(J71&gt;0,"Carry cash until £5 threshold",""))</x:f>
      </x:c>
      <x:c r="O71" s="113"/>
    </x:row>
    <x:row r="72" ht="15" hidden="0" customHeight="1">
      <x:c r="A72" s="108" t="n">
        <x:v>64</x:v>
      </x:c>
      <x:c r="B72" s="109" t="n">
        <x:f>INT(A72/12)+1</x:f>
        <x:v>6</x:v>
      </x:c>
      <x:c r="C72" s="110" t="n">
        <x:f>INDEX('Assumptions'!$B$12:$B$21,MIN(B72,ROWS('Assumptions'!$B$12:$B$21)))</x:f>
        <x:v>0.03</x:v>
      </x:c>
      <x:c r="D72" s="111" t="n">
        <x:f>IF(A72=0,'Assumptions'!$B$5,0)</x:f>
        <x:v>0</x:v>
      </x:c>
      <x:c r="E72" s="111" t="n">
        <x:f>J71</x:f>
        <x:v>0</x:v>
      </x:c>
      <x:c r="F72" s="111" t="n">
        <x:f>I66*C66/2+I60*C60/2+I54*C54/2+I48*C48/2+I42*C42/2+I36*C36/2+I30*C30/2+I24*C24/2+I18*C18/2+I12*C12/2</x:f>
        <x:v>0</x:v>
      </x:c>
      <x:c r="G72" s="111" t="n">
        <x:f>I12</x:f>
        <x:v>0</x:v>
      </x:c>
      <x:c r="H72" s="111" t="n">
        <x:f>E72+D72+F72+G72</x:f>
        <x:v>0</x:v>
      </x:c>
      <x:c r="I72" s="111" t="n">
        <x:f>H72*(H72&gt;='Assumptions'!$B$9)</x:f>
        <x:v>0</x:v>
      </x:c>
      <x:c r="J72" s="111" t="n">
        <x:f>H72-I72</x:f>
        <x:v>0</x:v>
      </x:c>
      <x:c r="K72" s="111" t="n">
        <x:f>K71+I72-G72</x:f>
        <x:v>12174.20973255781</x:v>
      </x:c>
      <x:c r="L72" s="111" t="n">
        <x:f>J72+K72</x:f>
        <x:v>12174.20973255781</x:v>
      </x:c>
      <x:c r="M72" s="109" t="n">
        <x:f>M71+IF(I72&gt;=5,1,0)</x:f>
        <x:v>11</x:v>
      </x:c>
      <x:c r="N72" s="112" t="str">
        <x:f>IF(I72&gt;0,"Invest cash as new 5-year tranche",IF(J72&gt;0,"Carry cash until £5 threshold",""))</x:f>
      </x:c>
      <x:c r="O72" s="113"/>
    </x:row>
    <x:row r="73" ht="15" hidden="0" customHeight="1">
      <x:c r="A73" s="108" t="n">
        <x:v>65</x:v>
      </x:c>
      <x:c r="B73" s="109" t="n">
        <x:f>INT(A73/12)+1</x:f>
        <x:v>6</x:v>
      </x:c>
      <x:c r="C73" s="110" t="n">
        <x:f>INDEX('Assumptions'!$B$12:$B$21,MIN(B73,ROWS('Assumptions'!$B$12:$B$21)))</x:f>
        <x:v>0.03</x:v>
      </x:c>
      <x:c r="D73" s="111" t="n">
        <x:f>IF(A73=0,'Assumptions'!$B$5,0)</x:f>
        <x:v>0</x:v>
      </x:c>
      <x:c r="E73" s="111" t="n">
        <x:f>J72</x:f>
        <x:v>0</x:v>
      </x:c>
      <x:c r="F73" s="111" t="n">
        <x:f>I67*C67/2+I61*C61/2+I55*C55/2+I49*C49/2+I43*C43/2+I37*C37/2+I31*C31/2+I25*C25/2+I19*C19/2+I13*C13/2</x:f>
        <x:v>0</x:v>
      </x:c>
      <x:c r="G73" s="111" t="n">
        <x:f>I13</x:f>
        <x:v>0</x:v>
      </x:c>
      <x:c r="H73" s="111" t="n">
        <x:f>E73+D73+F73+G73</x:f>
        <x:v>0</x:v>
      </x:c>
      <x:c r="I73" s="111" t="n">
        <x:f>H73*(H73&gt;='Assumptions'!$B$9)</x:f>
        <x:v>0</x:v>
      </x:c>
      <x:c r="J73" s="111" t="n">
        <x:f>H73-I73</x:f>
        <x:v>0</x:v>
      </x:c>
      <x:c r="K73" s="111" t="n">
        <x:f>K72+I73-G73</x:f>
        <x:v>12174.20973255781</x:v>
      </x:c>
      <x:c r="L73" s="111" t="n">
        <x:f>J73+K73</x:f>
        <x:v>12174.20973255781</x:v>
      </x:c>
      <x:c r="M73" s="109" t="n">
        <x:f>M72+IF(I73&gt;=5,1,0)</x:f>
        <x:v>11</x:v>
      </x:c>
      <x:c r="N73" s="112" t="str">
        <x:f>IF(I73&gt;0,"Invest cash as new 5-year tranche",IF(J73&gt;0,"Carry cash until £5 threshold",""))</x:f>
      </x:c>
      <x:c r="O73" s="113"/>
    </x:row>
    <x:row r="74" ht="24" hidden="0" customHeight="1">
      <x:c r="A74" s="108" t="n">
        <x:v>66</x:v>
      </x:c>
      <x:c r="B74" s="109" t="n">
        <x:f>INT(A74/12)+1</x:f>
        <x:v>6</x:v>
      </x:c>
      <x:c r="C74" s="110" t="n">
        <x:f>INDEX('Assumptions'!$B$12:$B$21,MIN(B74,ROWS('Assumptions'!$B$12:$B$21)))</x:f>
        <x:v>0.03</x:v>
      </x:c>
      <x:c r="D74" s="111" t="n">
        <x:f>IF(A74=0,'Assumptions'!$B$5,0)</x:f>
        <x:v>0</x:v>
      </x:c>
      <x:c r="E74" s="111" t="n">
        <x:f>J73</x:f>
        <x:v>0</x:v>
      </x:c>
      <x:c r="F74" s="111" t="n">
        <x:f>I68*C68/2+I62*C62/2+I56*C56/2+I50*C50/2+I44*C44/2+I38*C38/2+I32*C32/2+I26*C26/2+I20*C20/2+I14*C14/2</x:f>
        <x:v>187.88631310564384</x:v>
      </x:c>
      <x:c r="G74" s="111" t="n">
        <x:f>I14</x:f>
        <x:v>200</x:v>
      </x:c>
      <x:c r="H74" s="111" t="n">
        <x:f>E74+D74+F74+G74</x:f>
        <x:v>387.8863131056438</x:v>
      </x:c>
      <x:c r="I74" s="111" t="n">
        <x:f>H74*(H74&gt;='Assumptions'!$B$9)</x:f>
        <x:v>387.8863131056438</x:v>
      </x:c>
      <x:c r="J74" s="111" t="n">
        <x:f>H74-I74</x:f>
        <x:v>0</x:v>
      </x:c>
      <x:c r="K74" s="111" t="n">
        <x:f>K73+I74-G74</x:f>
        <x:v>12362.096045663455</x:v>
      </x:c>
      <x:c r="L74" s="111" t="n">
        <x:f>J74+K74</x:f>
        <x:v>12362.096045663455</x:v>
      </x:c>
      <x:c r="M74" s="109" t="n">
        <x:f>M73+IF(I74&gt;=5,1,0)</x:f>
        <x:v>12</x:v>
      </x:c>
      <x:c r="N74" s="112" t="str">
        <x:f>IF(I74&gt;0,"Invest cash as new 5-year tranche",IF(J74&gt;0,"Carry cash until £5 threshold",""))</x:f>
        <x:v>Invest cash as new 5-year tranche</x:v>
      </x:c>
      <x:c r="O74" s="113"/>
    </x:row>
    <x:row r="75" ht="15" hidden="0" customHeight="1">
      <x:c r="A75" s="108" t="n">
        <x:v>67</x:v>
      </x:c>
      <x:c r="B75" s="109" t="n">
        <x:f>INT(A75/12)+1</x:f>
        <x:v>6</x:v>
      </x:c>
      <x:c r="C75" s="110" t="n">
        <x:f>INDEX('Assumptions'!$B$12:$B$21,MIN(B75,ROWS('Assumptions'!$B$12:$B$21)))</x:f>
        <x:v>0.03</x:v>
      </x:c>
      <x:c r="D75" s="111" t="n">
        <x:f>IF(A75=0,'Assumptions'!$B$5,0)</x:f>
        <x:v>0</x:v>
      </x:c>
      <x:c r="E75" s="111" t="n">
        <x:f>J74</x:f>
        <x:v>0</x:v>
      </x:c>
      <x:c r="F75" s="111" t="n">
        <x:f>I69*C69/2+I63*C63/2+I57*C57/2+I51*C51/2+I45*C45/2+I39*C39/2+I33*C33/2+I27*C27/2+I21*C21/2+I15*C15/2</x:f>
        <x:v>0</x:v>
      </x:c>
      <x:c r="G75" s="111" t="n">
        <x:f>I15</x:f>
        <x:v>0</x:v>
      </x:c>
      <x:c r="H75" s="111" t="n">
        <x:f>E75+D75+F75+G75</x:f>
        <x:v>0</x:v>
      </x:c>
      <x:c r="I75" s="111" t="n">
        <x:f>H75*(H75&gt;='Assumptions'!$B$9)</x:f>
        <x:v>0</x:v>
      </x:c>
      <x:c r="J75" s="111" t="n">
        <x:f>H75-I75</x:f>
        <x:v>0</x:v>
      </x:c>
      <x:c r="K75" s="111" t="n">
        <x:f>K74+I75-G75</x:f>
        <x:v>12362.096045663455</x:v>
      </x:c>
      <x:c r="L75" s="111" t="n">
        <x:f>J75+K75</x:f>
        <x:v>12362.096045663455</x:v>
      </x:c>
      <x:c r="M75" s="109" t="n">
        <x:f>M74+IF(I75&gt;=5,1,0)</x:f>
        <x:v>12</x:v>
      </x:c>
      <x:c r="N75" s="112" t="str">
        <x:f>IF(I75&gt;0,"Invest cash as new 5-year tranche",IF(J75&gt;0,"Carry cash until £5 threshold",""))</x:f>
      </x:c>
      <x:c r="O75" s="113"/>
    </x:row>
    <x:row r="76" ht="15" hidden="0" customHeight="1">
      <x:c r="A76" s="108" t="n">
        <x:v>68</x:v>
      </x:c>
      <x:c r="B76" s="109" t="n">
        <x:f>INT(A76/12)+1</x:f>
        <x:v>6</x:v>
      </x:c>
      <x:c r="C76" s="110" t="n">
        <x:f>INDEX('Assumptions'!$B$12:$B$21,MIN(B76,ROWS('Assumptions'!$B$12:$B$21)))</x:f>
        <x:v>0.03</x:v>
      </x:c>
      <x:c r="D76" s="111" t="n">
        <x:f>IF(A76=0,'Assumptions'!$B$5,0)</x:f>
        <x:v>0</x:v>
      </x:c>
      <x:c r="E76" s="111" t="n">
        <x:f>J75</x:f>
        <x:v>0</x:v>
      </x:c>
      <x:c r="F76" s="111" t="n">
        <x:f>I70*C70/2+I64*C64/2+I58*C58/2+I52*C52/2+I46*C46/2+I40*C40/2+I34*C34/2+I28*C28/2+I22*C22/2+I16*C16/2</x:f>
        <x:v>0</x:v>
      </x:c>
      <x:c r="G76" s="111" t="n">
        <x:f>I16</x:f>
        <x:v>0</x:v>
      </x:c>
      <x:c r="H76" s="111" t="n">
        <x:f>E76+D76+F76+G76</x:f>
        <x:v>0</x:v>
      </x:c>
      <x:c r="I76" s="111" t="n">
        <x:f>H76*(H76&gt;='Assumptions'!$B$9)</x:f>
        <x:v>0</x:v>
      </x:c>
      <x:c r="J76" s="111" t="n">
        <x:f>H76-I76</x:f>
        <x:v>0</x:v>
      </x:c>
      <x:c r="K76" s="111" t="n">
        <x:f>K75+I76-G76</x:f>
        <x:v>12362.096045663455</x:v>
      </x:c>
      <x:c r="L76" s="111" t="n">
        <x:f>J76+K76</x:f>
        <x:v>12362.096045663455</x:v>
      </x:c>
      <x:c r="M76" s="109" t="n">
        <x:f>M75+IF(I76&gt;=5,1,0)</x:f>
        <x:v>12</x:v>
      </x:c>
      <x:c r="N76" s="112" t="str">
        <x:f>IF(I76&gt;0,"Invest cash as new 5-year tranche",IF(J76&gt;0,"Carry cash until £5 threshold",""))</x:f>
      </x:c>
      <x:c r="O76" s="113"/>
    </x:row>
    <x:row r="77" ht="15" hidden="0" customHeight="1">
      <x:c r="A77" s="108" t="n">
        <x:v>69</x:v>
      </x:c>
      <x:c r="B77" s="109" t="n">
        <x:f>INT(A77/12)+1</x:f>
        <x:v>6</x:v>
      </x:c>
      <x:c r="C77" s="110" t="n">
        <x:f>INDEX('Assumptions'!$B$12:$B$21,MIN(B77,ROWS('Assumptions'!$B$12:$B$21)))</x:f>
        <x:v>0.03</x:v>
      </x:c>
      <x:c r="D77" s="111" t="n">
        <x:f>IF(A77=0,'Assumptions'!$B$5,0)</x:f>
        <x:v>0</x:v>
      </x:c>
      <x:c r="E77" s="111" t="n">
        <x:f>J76</x:f>
        <x:v>0</x:v>
      </x:c>
      <x:c r="F77" s="111" t="n">
        <x:f>I71*C71/2+I65*C65/2+I59*C59/2+I53*C53/2+I47*C47/2+I41*C41/2+I35*C35/2+I29*C29/2+I23*C23/2+I17*C17/2</x:f>
        <x:v>0</x:v>
      </x:c>
      <x:c r="G77" s="111" t="n">
        <x:f>I17</x:f>
        <x:v>0</x:v>
      </x:c>
      <x:c r="H77" s="111" t="n">
        <x:f>E77+D77+F77+G77</x:f>
        <x:v>0</x:v>
      </x:c>
      <x:c r="I77" s="111" t="n">
        <x:f>H77*(H77&gt;='Assumptions'!$B$9)</x:f>
        <x:v>0</x:v>
      </x:c>
      <x:c r="J77" s="111" t="n">
        <x:f>H77-I77</x:f>
        <x:v>0</x:v>
      </x:c>
      <x:c r="K77" s="111" t="n">
        <x:f>K76+I77-G77</x:f>
        <x:v>12362.096045663455</x:v>
      </x:c>
      <x:c r="L77" s="111" t="n">
        <x:f>J77+K77</x:f>
        <x:v>12362.096045663455</x:v>
      </x:c>
      <x:c r="M77" s="109" t="n">
        <x:f>M76+IF(I77&gt;=5,1,0)</x:f>
        <x:v>12</x:v>
      </x:c>
      <x:c r="N77" s="112" t="str">
        <x:f>IF(I77&gt;0,"Invest cash as new 5-year tranche",IF(J77&gt;0,"Carry cash until £5 threshold",""))</x:f>
      </x:c>
      <x:c r="O77" s="113"/>
    </x:row>
    <x:row r="78" ht="15" hidden="0" customHeight="1">
      <x:c r="A78" s="108" t="n">
        <x:v>70</x:v>
      </x:c>
      <x:c r="B78" s="109" t="n">
        <x:f>INT(A78/12)+1</x:f>
        <x:v>6</x:v>
      </x:c>
      <x:c r="C78" s="110" t="n">
        <x:f>INDEX('Assumptions'!$B$12:$B$21,MIN(B78,ROWS('Assumptions'!$B$12:$B$21)))</x:f>
        <x:v>0.03</x:v>
      </x:c>
      <x:c r="D78" s="111" t="n">
        <x:f>IF(A78=0,'Assumptions'!$B$5,0)</x:f>
        <x:v>0</x:v>
      </x:c>
      <x:c r="E78" s="111" t="n">
        <x:f>J77</x:f>
        <x:v>0</x:v>
      </x:c>
      <x:c r="F78" s="111" t="n">
        <x:f>I72*C72/2+I66*C66/2+I60*C60/2+I54*C54/2+I48*C48/2+I42*C42/2+I36*C36/2+I30*C30/2+I24*C24/2+I18*C18/2</x:f>
        <x:v>0</x:v>
      </x:c>
      <x:c r="G78" s="111" t="n">
        <x:f>I18</x:f>
        <x:v>0</x:v>
      </x:c>
      <x:c r="H78" s="111" t="n">
        <x:f>E78+D78+F78+G78</x:f>
        <x:v>0</x:v>
      </x:c>
      <x:c r="I78" s="111" t="n">
        <x:f>H78*(H78&gt;='Assumptions'!$B$9)</x:f>
        <x:v>0</x:v>
      </x:c>
      <x:c r="J78" s="111" t="n">
        <x:f>H78-I78</x:f>
        <x:v>0</x:v>
      </x:c>
      <x:c r="K78" s="111" t="n">
        <x:f>K77+I78-G78</x:f>
        <x:v>12362.096045663455</x:v>
      </x:c>
      <x:c r="L78" s="111" t="n">
        <x:f>J78+K78</x:f>
        <x:v>12362.096045663455</x:v>
      </x:c>
      <x:c r="M78" s="109" t="n">
        <x:f>M77+IF(I78&gt;=5,1,0)</x:f>
        <x:v>12</x:v>
      </x:c>
      <x:c r="N78" s="112" t="str">
        <x:f>IF(I78&gt;0,"Invest cash as new 5-year tranche",IF(J78&gt;0,"Carry cash until £5 threshold",""))</x:f>
      </x:c>
      <x:c r="O78" s="113"/>
    </x:row>
    <x:row r="79" ht="15" hidden="0" customHeight="1">
      <x:c r="A79" s="108" t="n">
        <x:v>71</x:v>
      </x:c>
      <x:c r="B79" s="109" t="n">
        <x:f>INT(A79/12)+1</x:f>
        <x:v>6</x:v>
      </x:c>
      <x:c r="C79" s="110" t="n">
        <x:f>INDEX('Assumptions'!$B$12:$B$21,MIN(B79,ROWS('Assumptions'!$B$12:$B$21)))</x:f>
        <x:v>0.03</x:v>
      </x:c>
      <x:c r="D79" s="111" t="n">
        <x:f>IF(A79=0,'Assumptions'!$B$5,0)</x:f>
        <x:v>0</x:v>
      </x:c>
      <x:c r="E79" s="111" t="n">
        <x:f>J78</x:f>
        <x:v>0</x:v>
      </x:c>
      <x:c r="F79" s="111" t="n">
        <x:f>I73*C73/2+I67*C67/2+I61*C61/2+I55*C55/2+I49*C49/2+I43*C43/2+I37*C37/2+I31*C31/2+I25*C25/2+I19*C19/2</x:f>
        <x:v>0</x:v>
      </x:c>
      <x:c r="G79" s="111" t="n">
        <x:f>I19</x:f>
        <x:v>0</x:v>
      </x:c>
      <x:c r="H79" s="111" t="n">
        <x:f>E79+D79+F79+G79</x:f>
        <x:v>0</x:v>
      </x:c>
      <x:c r="I79" s="111" t="n">
        <x:f>H79*(H79&gt;='Assumptions'!$B$9)</x:f>
        <x:v>0</x:v>
      </x:c>
      <x:c r="J79" s="111" t="n">
        <x:f>H79-I79</x:f>
        <x:v>0</x:v>
      </x:c>
      <x:c r="K79" s="111" t="n">
        <x:f>K78+I79-G79</x:f>
        <x:v>12362.096045663455</x:v>
      </x:c>
      <x:c r="L79" s="111" t="n">
        <x:f>J79+K79</x:f>
        <x:v>12362.096045663455</x:v>
      </x:c>
      <x:c r="M79" s="109" t="n">
        <x:f>M78+IF(I79&gt;=5,1,0)</x:f>
        <x:v>12</x:v>
      </x:c>
      <x:c r="N79" s="112" t="str">
        <x:f>IF(I79&gt;0,"Invest cash as new 5-year tranche",IF(J79&gt;0,"Carry cash until £5 threshold",""))</x:f>
      </x:c>
      <x:c r="O79" s="113"/>
    </x:row>
    <x:row r="80" ht="24" hidden="0" customHeight="1">
      <x:c r="A80" s="108" t="n">
        <x:v>72</x:v>
      </x:c>
      <x:c r="B80" s="109" t="n">
        <x:f>INT(A80/12)+1</x:f>
        <x:v>7</x:v>
      </x:c>
      <x:c r="C80" s="110" t="n">
        <x:f>INDEX('Assumptions'!$B$12:$B$21,MIN(B80,ROWS('Assumptions'!$B$12:$B$21)))</x:f>
        <x:v>0.03</x:v>
      </x:c>
      <x:c r="D80" s="111" t="n">
        <x:f>IF(A80=0,'Assumptions'!$B$5,0)</x:f>
        <x:v>0</x:v>
      </x:c>
      <x:c r="E80" s="111" t="n">
        <x:f>J79</x:f>
        <x:v>0</x:v>
      </x:c>
      <x:c r="F80" s="111" t="n">
        <x:f>I74*C74/2+I68*C68/2+I62*C62/2+I56*C56/2+I50*C50/2+I44*C44/2+I38*C38/2+I32*C32/2+I26*C26/2+I20*C20/2</x:f>
        <x:v>189.70460780222848</x:v>
      </x:c>
      <x:c r="G80" s="111" t="n">
        <x:f>I20</x:f>
        <x:v>204</x:v>
      </x:c>
      <x:c r="H80" s="111" t="n">
        <x:f>E80+D80+F80+G80</x:f>
        <x:v>393.70460780222845</x:v>
      </x:c>
      <x:c r="I80" s="111" t="n">
        <x:f>H80*(H80&gt;='Assumptions'!$B$9)</x:f>
        <x:v>393.70460780222845</x:v>
      </x:c>
      <x:c r="J80" s="111" t="n">
        <x:f>H80-I80</x:f>
        <x:v>0</x:v>
      </x:c>
      <x:c r="K80" s="111" t="n">
        <x:f>K79+I80-G80</x:f>
        <x:v>12551.800653465683</x:v>
      </x:c>
      <x:c r="L80" s="111" t="n">
        <x:f>J80+K80</x:f>
        <x:v>12551.800653465683</x:v>
      </x:c>
      <x:c r="M80" s="109" t="n">
        <x:f>M79+IF(I80&gt;=5,1,0)</x:f>
        <x:v>13</x:v>
      </x:c>
      <x:c r="N80" s="112" t="str">
        <x:f>IF(I80&gt;0,"Invest cash as new 5-year tranche",IF(J80&gt;0,"Carry cash until £5 threshold",""))</x:f>
        <x:v>Invest cash as new 5-year tranche</x:v>
      </x:c>
      <x:c r="O80" s="113"/>
    </x:row>
    <x:row r="81" ht="15" hidden="0" customHeight="1">
      <x:c r="A81" s="108" t="n">
        <x:v>73</x:v>
      </x:c>
      <x:c r="B81" s="109" t="n">
        <x:f>INT(A81/12)+1</x:f>
        <x:v>7</x:v>
      </x:c>
      <x:c r="C81" s="110" t="n">
        <x:f>INDEX('Assumptions'!$B$12:$B$21,MIN(B81,ROWS('Assumptions'!$B$12:$B$21)))</x:f>
        <x:v>0.03</x:v>
      </x:c>
      <x:c r="D81" s="111" t="n">
        <x:f>IF(A81=0,'Assumptions'!$B$5,0)</x:f>
        <x:v>0</x:v>
      </x:c>
      <x:c r="E81" s="111" t="n">
        <x:f>J80</x:f>
        <x:v>0</x:v>
      </x:c>
      <x:c r="F81" s="111" t="n">
        <x:f>I75*C75/2+I69*C69/2+I63*C63/2+I57*C57/2+I51*C51/2+I45*C45/2+I39*C39/2+I33*C33/2+I27*C27/2+I21*C21/2</x:f>
        <x:v>0</x:v>
      </x:c>
      <x:c r="G81" s="111" t="n">
        <x:f>I21</x:f>
        <x:v>0</x:v>
      </x:c>
      <x:c r="H81" s="111" t="n">
        <x:f>E81+D81+F81+G81</x:f>
        <x:v>0</x:v>
      </x:c>
      <x:c r="I81" s="111" t="n">
        <x:f>H81*(H81&gt;='Assumptions'!$B$9)</x:f>
        <x:v>0</x:v>
      </x:c>
      <x:c r="J81" s="111" t="n">
        <x:f>H81-I81</x:f>
        <x:v>0</x:v>
      </x:c>
      <x:c r="K81" s="111" t="n">
        <x:f>K80+I81-G81</x:f>
        <x:v>12551.800653465683</x:v>
      </x:c>
      <x:c r="L81" s="111" t="n">
        <x:f>J81+K81</x:f>
        <x:v>12551.800653465683</x:v>
      </x:c>
      <x:c r="M81" s="109" t="n">
        <x:f>M80+IF(I81&gt;=5,1,0)</x:f>
        <x:v>13</x:v>
      </x:c>
      <x:c r="N81" s="112" t="str">
        <x:f>IF(I81&gt;0,"Invest cash as new 5-year tranche",IF(J81&gt;0,"Carry cash until £5 threshold",""))</x:f>
      </x:c>
      <x:c r="O81" s="113"/>
    </x:row>
    <x:row r="82" ht="15" hidden="0" customHeight="1">
      <x:c r="A82" s="108" t="n">
        <x:v>74</x:v>
      </x:c>
      <x:c r="B82" s="109" t="n">
        <x:f>INT(A82/12)+1</x:f>
        <x:v>7</x:v>
      </x:c>
      <x:c r="C82" s="110" t="n">
        <x:f>INDEX('Assumptions'!$B$12:$B$21,MIN(B82,ROWS('Assumptions'!$B$12:$B$21)))</x:f>
        <x:v>0.03</x:v>
      </x:c>
      <x:c r="D82" s="111" t="n">
        <x:f>IF(A82=0,'Assumptions'!$B$5,0)</x:f>
        <x:v>0</x:v>
      </x:c>
      <x:c r="E82" s="111" t="n">
        <x:f>J81</x:f>
        <x:v>0</x:v>
      </x:c>
      <x:c r="F82" s="111" t="n">
        <x:f>I76*C76/2+I70*C70/2+I64*C64/2+I58*C58/2+I52*C52/2+I46*C46/2+I40*C40/2+I34*C34/2+I28*C28/2+I22*C22/2</x:f>
        <x:v>0</x:v>
      </x:c>
      <x:c r="G82" s="111" t="n">
        <x:f>I22</x:f>
        <x:v>0</x:v>
      </x:c>
      <x:c r="H82" s="111" t="n">
        <x:f>E82+D82+F82+G82</x:f>
        <x:v>0</x:v>
      </x:c>
      <x:c r="I82" s="111" t="n">
        <x:f>H82*(H82&gt;='Assumptions'!$B$9)</x:f>
        <x:v>0</x:v>
      </x:c>
      <x:c r="J82" s="111" t="n">
        <x:f>H82-I82</x:f>
        <x:v>0</x:v>
      </x:c>
      <x:c r="K82" s="111" t="n">
        <x:f>K81+I82-G82</x:f>
        <x:v>12551.800653465683</x:v>
      </x:c>
      <x:c r="L82" s="111" t="n">
        <x:f>J82+K82</x:f>
        <x:v>12551.800653465683</x:v>
      </x:c>
      <x:c r="M82" s="109" t="n">
        <x:f>M81+IF(I82&gt;=5,1,0)</x:f>
        <x:v>13</x:v>
      </x:c>
      <x:c r="N82" s="112" t="str">
        <x:f>IF(I82&gt;0,"Invest cash as new 5-year tranche",IF(J82&gt;0,"Carry cash until £5 threshold",""))</x:f>
      </x:c>
      <x:c r="O82" s="113"/>
    </x:row>
    <x:row r="83" ht="15" hidden="0" customHeight="1">
      <x:c r="A83" s="108" t="n">
        <x:v>75</x:v>
      </x:c>
      <x:c r="B83" s="109" t="n">
        <x:f>INT(A83/12)+1</x:f>
        <x:v>7</x:v>
      </x:c>
      <x:c r="C83" s="110" t="n">
        <x:f>INDEX('Assumptions'!$B$12:$B$21,MIN(B83,ROWS('Assumptions'!$B$12:$B$21)))</x:f>
        <x:v>0.03</x:v>
      </x:c>
      <x:c r="D83" s="111" t="n">
        <x:f>IF(A83=0,'Assumptions'!$B$5,0)</x:f>
        <x:v>0</x:v>
      </x:c>
      <x:c r="E83" s="111" t="n">
        <x:f>J82</x:f>
        <x:v>0</x:v>
      </x:c>
      <x:c r="F83" s="111" t="n">
        <x:f>I77*C77/2+I71*C71/2+I65*C65/2+I59*C59/2+I53*C53/2+I47*C47/2+I41*C41/2+I35*C35/2+I29*C29/2+I23*C23/2</x:f>
        <x:v>0</x:v>
      </x:c>
      <x:c r="G83" s="111" t="n">
        <x:f>I23</x:f>
        <x:v>0</x:v>
      </x:c>
      <x:c r="H83" s="111" t="n">
        <x:f>E83+D83+F83+G83</x:f>
        <x:v>0</x:v>
      </x:c>
      <x:c r="I83" s="111" t="n">
        <x:f>H83*(H83&gt;='Assumptions'!$B$9)</x:f>
        <x:v>0</x:v>
      </x:c>
      <x:c r="J83" s="111" t="n">
        <x:f>H83-I83</x:f>
        <x:v>0</x:v>
      </x:c>
      <x:c r="K83" s="111" t="n">
        <x:f>K82+I83-G83</x:f>
        <x:v>12551.800653465683</x:v>
      </x:c>
      <x:c r="L83" s="111" t="n">
        <x:f>J83+K83</x:f>
        <x:v>12551.800653465683</x:v>
      </x:c>
      <x:c r="M83" s="109" t="n">
        <x:f>M82+IF(I83&gt;=5,1,0)</x:f>
        <x:v>13</x:v>
      </x:c>
      <x:c r="N83" s="112" t="str">
        <x:f>IF(I83&gt;0,"Invest cash as new 5-year tranche",IF(J83&gt;0,"Carry cash until £5 threshold",""))</x:f>
      </x:c>
      <x:c r="O83" s="113"/>
    </x:row>
    <x:row r="84" ht="15" hidden="0" customHeight="1">
      <x:c r="A84" s="108" t="n">
        <x:v>76</x:v>
      </x:c>
      <x:c r="B84" s="109" t="n">
        <x:f>INT(A84/12)+1</x:f>
        <x:v>7</x:v>
      </x:c>
      <x:c r="C84" s="110" t="n">
        <x:f>INDEX('Assumptions'!$B$12:$B$21,MIN(B84,ROWS('Assumptions'!$B$12:$B$21)))</x:f>
        <x:v>0.03</x:v>
      </x:c>
      <x:c r="D84" s="111" t="n">
        <x:f>IF(A84=0,'Assumptions'!$B$5,0)</x:f>
        <x:v>0</x:v>
      </x:c>
      <x:c r="E84" s="111" t="n">
        <x:f>J83</x:f>
        <x:v>0</x:v>
      </x:c>
      <x:c r="F84" s="111" t="n">
        <x:f>I78*C78/2+I72*C72/2+I66*C66/2+I60*C60/2+I54*C54/2+I48*C48/2+I42*C42/2+I36*C36/2+I30*C30/2+I24*C24/2</x:f>
        <x:v>0</x:v>
      </x:c>
      <x:c r="G84" s="111" t="n">
        <x:f>I24</x:f>
        <x:v>0</x:v>
      </x:c>
      <x:c r="H84" s="111" t="n">
        <x:f>E84+D84+F84+G84</x:f>
        <x:v>0</x:v>
      </x:c>
      <x:c r="I84" s="111" t="n">
        <x:f>H84*(H84&gt;='Assumptions'!$B$9)</x:f>
        <x:v>0</x:v>
      </x:c>
      <x:c r="J84" s="111" t="n">
        <x:f>H84-I84</x:f>
        <x:v>0</x:v>
      </x:c>
      <x:c r="K84" s="111" t="n">
        <x:f>K83+I84-G84</x:f>
        <x:v>12551.800653465683</x:v>
      </x:c>
      <x:c r="L84" s="111" t="n">
        <x:f>J84+K84</x:f>
        <x:v>12551.800653465683</x:v>
      </x:c>
      <x:c r="M84" s="109" t="n">
        <x:f>M83+IF(I84&gt;=5,1,0)</x:f>
        <x:v>13</x:v>
      </x:c>
      <x:c r="N84" s="112" t="str">
        <x:f>IF(I84&gt;0,"Invest cash as new 5-year tranche",IF(J84&gt;0,"Carry cash until £5 threshold",""))</x:f>
      </x:c>
      <x:c r="O84" s="113"/>
    </x:row>
    <x:row r="85" ht="15" hidden="0" customHeight="1">
      <x:c r="A85" s="108" t="n">
        <x:v>77</x:v>
      </x:c>
      <x:c r="B85" s="109" t="n">
        <x:f>INT(A85/12)+1</x:f>
        <x:v>7</x:v>
      </x:c>
      <x:c r="C85" s="110" t="n">
        <x:f>INDEX('Assumptions'!$B$12:$B$21,MIN(B85,ROWS('Assumptions'!$B$12:$B$21)))</x:f>
        <x:v>0.03</x:v>
      </x:c>
      <x:c r="D85" s="111" t="n">
        <x:f>IF(A85=0,'Assumptions'!$B$5,0)</x:f>
        <x:v>0</x:v>
      </x:c>
      <x:c r="E85" s="111" t="n">
        <x:f>J84</x:f>
        <x:v>0</x:v>
      </x:c>
      <x:c r="F85" s="111" t="n">
        <x:f>I79*C79/2+I73*C73/2+I67*C67/2+I61*C61/2+I55*C55/2+I49*C49/2+I43*C43/2+I37*C37/2+I31*C31/2+I25*C25/2</x:f>
        <x:v>0</x:v>
      </x:c>
      <x:c r="G85" s="111" t="n">
        <x:f>I25</x:f>
        <x:v>0</x:v>
      </x:c>
      <x:c r="H85" s="111" t="n">
        <x:f>E85+D85+F85+G85</x:f>
        <x:v>0</x:v>
      </x:c>
      <x:c r="I85" s="111" t="n">
        <x:f>H85*(H85&gt;='Assumptions'!$B$9)</x:f>
        <x:v>0</x:v>
      </x:c>
      <x:c r="J85" s="111" t="n">
        <x:f>H85-I85</x:f>
        <x:v>0</x:v>
      </x:c>
      <x:c r="K85" s="111" t="n">
        <x:f>K84+I85-G85</x:f>
        <x:v>12551.800653465683</x:v>
      </x:c>
      <x:c r="L85" s="111" t="n">
        <x:f>J85+K85</x:f>
        <x:v>12551.800653465683</x:v>
      </x:c>
      <x:c r="M85" s="109" t="n">
        <x:f>M84+IF(I85&gt;=5,1,0)</x:f>
        <x:v>13</x:v>
      </x:c>
      <x:c r="N85" s="112" t="str">
        <x:f>IF(I85&gt;0,"Invest cash as new 5-year tranche",IF(J85&gt;0,"Carry cash until £5 threshold",""))</x:f>
      </x:c>
      <x:c r="O85" s="113"/>
    </x:row>
    <x:row r="86" ht="24" hidden="0" customHeight="1">
      <x:c r="A86" s="108" t="n">
        <x:v>78</x:v>
      </x:c>
      <x:c r="B86" s="109" t="n">
        <x:f>INT(A86/12)+1</x:f>
        <x:v>7</x:v>
      </x:c>
      <x:c r="C86" s="110" t="n">
        <x:f>INDEX('Assumptions'!$B$12:$B$21,MIN(B86,ROWS('Assumptions'!$B$12:$B$21)))</x:f>
        <x:v>0.03</x:v>
      </x:c>
      <x:c r="D86" s="111" t="n">
        <x:f>IF(A86=0,'Assumptions'!$B$5,0)</x:f>
        <x:v>0</x:v>
      </x:c>
      <x:c r="E86" s="111" t="n">
        <x:f>J85</x:f>
        <x:v>0</x:v>
      </x:c>
      <x:c r="F86" s="111" t="n">
        <x:f>I80*C80/2+I74*C74/2+I68*C68/2+I62*C62/2+I56*C56/2+I50*C50/2+I44*C44/2+I38*C38/2+I32*C32/2+I26*C26/2</x:f>
        <x:v>191.73417691926193</x:v>
      </x:c>
      <x:c r="G86" s="111" t="n">
        <x:f>I26</x:f>
        <x:v>207.876</x:v>
      </x:c>
      <x:c r="H86" s="111" t="n">
        <x:f>E86+D86+F86+G86</x:f>
        <x:v>399.6101769192619</x:v>
      </x:c>
      <x:c r="I86" s="111" t="n">
        <x:f>H86*(H86&gt;='Assumptions'!$B$9)</x:f>
        <x:v>399.6101769192619</x:v>
      </x:c>
      <x:c r="J86" s="111" t="n">
        <x:f>H86-I86</x:f>
        <x:v>0</x:v>
      </x:c>
      <x:c r="K86" s="111" t="n">
        <x:f>K85+I86-G86</x:f>
        <x:v>12743.534830384946</x:v>
      </x:c>
      <x:c r="L86" s="111" t="n">
        <x:f>J86+K86</x:f>
        <x:v>12743.534830384946</x:v>
      </x:c>
      <x:c r="M86" s="109" t="n">
        <x:f>M85+IF(I86&gt;=5,1,0)</x:f>
        <x:v>14</x:v>
      </x:c>
      <x:c r="N86" s="112" t="str">
        <x:f>IF(I86&gt;0,"Invest cash as new 5-year tranche",IF(J86&gt;0,"Carry cash until £5 threshold",""))</x:f>
        <x:v>Invest cash as new 5-year tranche</x:v>
      </x:c>
      <x:c r="O86" s="113"/>
    </x:row>
    <x:row r="87" ht="15" hidden="0" customHeight="1">
      <x:c r="A87" s="108" t="n">
        <x:v>79</x:v>
      </x:c>
      <x:c r="B87" s="109" t="n">
        <x:f>INT(A87/12)+1</x:f>
        <x:v>7</x:v>
      </x:c>
      <x:c r="C87" s="110" t="n">
        <x:f>INDEX('Assumptions'!$B$12:$B$21,MIN(B87,ROWS('Assumptions'!$B$12:$B$21)))</x:f>
        <x:v>0.03</x:v>
      </x:c>
      <x:c r="D87" s="111" t="n">
        <x:f>IF(A87=0,'Assumptions'!$B$5,0)</x:f>
        <x:v>0</x:v>
      </x:c>
      <x:c r="E87" s="111" t="n">
        <x:f>J86</x:f>
        <x:v>0</x:v>
      </x:c>
      <x:c r="F87" s="111" t="n">
        <x:f>I81*C81/2+I75*C75/2+I69*C69/2+I63*C63/2+I57*C57/2+I51*C51/2+I45*C45/2+I39*C39/2+I33*C33/2+I27*C27/2</x:f>
        <x:v>0</x:v>
      </x:c>
      <x:c r="G87" s="111" t="n">
        <x:f>I27</x:f>
        <x:v>0</x:v>
      </x:c>
      <x:c r="H87" s="111" t="n">
        <x:f>E87+D87+F87+G87</x:f>
        <x:v>0</x:v>
      </x:c>
      <x:c r="I87" s="111" t="n">
        <x:f>H87*(H87&gt;='Assumptions'!$B$9)</x:f>
        <x:v>0</x:v>
      </x:c>
      <x:c r="J87" s="111" t="n">
        <x:f>H87-I87</x:f>
        <x:v>0</x:v>
      </x:c>
      <x:c r="K87" s="111" t="n">
        <x:f>K86+I87-G87</x:f>
        <x:v>12743.534830384946</x:v>
      </x:c>
      <x:c r="L87" s="111" t="n">
        <x:f>J87+K87</x:f>
        <x:v>12743.534830384946</x:v>
      </x:c>
      <x:c r="M87" s="109" t="n">
        <x:f>M86+IF(I87&gt;=5,1,0)</x:f>
        <x:v>14</x:v>
      </x:c>
      <x:c r="N87" s="112" t="str">
        <x:f>IF(I87&gt;0,"Invest cash as new 5-year tranche",IF(J87&gt;0,"Carry cash until £5 threshold",""))</x:f>
      </x:c>
      <x:c r="O87" s="113"/>
    </x:row>
    <x:row r="88" ht="15" hidden="0" customHeight="1">
      <x:c r="A88" s="108" t="n">
        <x:v>80</x:v>
      </x:c>
      <x:c r="B88" s="109" t="n">
        <x:f>INT(A88/12)+1</x:f>
        <x:v>7</x:v>
      </x:c>
      <x:c r="C88" s="110" t="n">
        <x:f>INDEX('Assumptions'!$B$12:$B$21,MIN(B88,ROWS('Assumptions'!$B$12:$B$21)))</x:f>
        <x:v>0.03</x:v>
      </x:c>
      <x:c r="D88" s="111" t="n">
        <x:f>IF(A88=0,'Assumptions'!$B$5,0)</x:f>
        <x:v>0</x:v>
      </x:c>
      <x:c r="E88" s="111" t="n">
        <x:f>J87</x:f>
        <x:v>0</x:v>
      </x:c>
      <x:c r="F88" s="111" t="n">
        <x:f>I82*C82/2+I76*C76/2+I70*C70/2+I64*C64/2+I58*C58/2+I52*C52/2+I46*C46/2+I40*C40/2+I34*C34/2+I28*C28/2</x:f>
        <x:v>0</x:v>
      </x:c>
      <x:c r="G88" s="111" t="n">
        <x:f>I28</x:f>
        <x:v>0</x:v>
      </x:c>
      <x:c r="H88" s="111" t="n">
        <x:f>E88+D88+F88+G88</x:f>
        <x:v>0</x:v>
      </x:c>
      <x:c r="I88" s="111" t="n">
        <x:f>H88*(H88&gt;='Assumptions'!$B$9)</x:f>
        <x:v>0</x:v>
      </x:c>
      <x:c r="J88" s="111" t="n">
        <x:f>H88-I88</x:f>
        <x:v>0</x:v>
      </x:c>
      <x:c r="K88" s="111" t="n">
        <x:f>K87+I88-G88</x:f>
        <x:v>12743.534830384946</x:v>
      </x:c>
      <x:c r="L88" s="111" t="n">
        <x:f>J88+K88</x:f>
        <x:v>12743.534830384946</x:v>
      </x:c>
      <x:c r="M88" s="109" t="n">
        <x:f>M87+IF(I88&gt;=5,1,0)</x:f>
        <x:v>14</x:v>
      </x:c>
      <x:c r="N88" s="112" t="str">
        <x:f>IF(I88&gt;0,"Invest cash as new 5-year tranche",IF(J88&gt;0,"Carry cash until £5 threshold",""))</x:f>
      </x:c>
      <x:c r="O88" s="113"/>
    </x:row>
    <x:row r="89" ht="15" hidden="0" customHeight="1">
      <x:c r="A89" s="108" t="n">
        <x:v>81</x:v>
      </x:c>
      <x:c r="B89" s="109" t="n">
        <x:f>INT(A89/12)+1</x:f>
        <x:v>7</x:v>
      </x:c>
      <x:c r="C89" s="110" t="n">
        <x:f>INDEX('Assumptions'!$B$12:$B$21,MIN(B89,ROWS('Assumptions'!$B$12:$B$21)))</x:f>
        <x:v>0.03</x:v>
      </x:c>
      <x:c r="D89" s="111" t="n">
        <x:f>IF(A89=0,'Assumptions'!$B$5,0)</x:f>
        <x:v>0</x:v>
      </x:c>
      <x:c r="E89" s="111" t="n">
        <x:f>J88</x:f>
        <x:v>0</x:v>
      </x:c>
      <x:c r="F89" s="111" t="n">
        <x:f>I83*C83/2+I77*C77/2+I71*C71/2+I65*C65/2+I59*C59/2+I53*C53/2+I47*C47/2+I41*C41/2+I35*C35/2+I29*C29/2</x:f>
        <x:v>0</x:v>
      </x:c>
      <x:c r="G89" s="111" t="n">
        <x:f>I29</x:f>
        <x:v>0</x:v>
      </x:c>
      <x:c r="H89" s="111" t="n">
        <x:f>E89+D89+F89+G89</x:f>
        <x:v>0</x:v>
      </x:c>
      <x:c r="I89" s="111" t="n">
        <x:f>H89*(H89&gt;='Assumptions'!$B$9)</x:f>
        <x:v>0</x:v>
      </x:c>
      <x:c r="J89" s="111" t="n">
        <x:f>H89-I89</x:f>
        <x:v>0</x:v>
      </x:c>
      <x:c r="K89" s="111" t="n">
        <x:f>K88+I89-G89</x:f>
        <x:v>12743.534830384946</x:v>
      </x:c>
      <x:c r="L89" s="111" t="n">
        <x:f>J89+K89</x:f>
        <x:v>12743.534830384946</x:v>
      </x:c>
      <x:c r="M89" s="109" t="n">
        <x:f>M88+IF(I89&gt;=5,1,0)</x:f>
        <x:v>14</x:v>
      </x:c>
      <x:c r="N89" s="112" t="str">
        <x:f>IF(I89&gt;0,"Invest cash as new 5-year tranche",IF(J89&gt;0,"Carry cash until £5 threshold",""))</x:f>
      </x:c>
      <x:c r="O89" s="113"/>
    </x:row>
    <x:row r="90" ht="15" hidden="0" customHeight="1">
      <x:c r="A90" s="108" t="n">
        <x:v>82</x:v>
      </x:c>
      <x:c r="B90" s="109" t="n">
        <x:f>INT(A90/12)+1</x:f>
        <x:v>7</x:v>
      </x:c>
      <x:c r="C90" s="110" t="n">
        <x:f>INDEX('Assumptions'!$B$12:$B$21,MIN(B90,ROWS('Assumptions'!$B$12:$B$21)))</x:f>
        <x:v>0.03</x:v>
      </x:c>
      <x:c r="D90" s="111" t="n">
        <x:f>IF(A90=0,'Assumptions'!$B$5,0)</x:f>
        <x:v>0</x:v>
      </x:c>
      <x:c r="E90" s="111" t="n">
        <x:f>J89</x:f>
        <x:v>0</x:v>
      </x:c>
      <x:c r="F90" s="111" t="n">
        <x:f>I84*C84/2+I78*C78/2+I72*C72/2+I66*C66/2+I60*C60/2+I54*C54/2+I48*C48/2+I42*C42/2+I36*C36/2+I30*C30/2</x:f>
        <x:v>0</x:v>
      </x:c>
      <x:c r="G90" s="111" t="n">
        <x:f>I30</x:f>
        <x:v>0</x:v>
      </x:c>
      <x:c r="H90" s="111" t="n">
        <x:f>E90+D90+F90+G90</x:f>
        <x:v>0</x:v>
      </x:c>
      <x:c r="I90" s="111" t="n">
        <x:f>H90*(H90&gt;='Assumptions'!$B$9)</x:f>
        <x:v>0</x:v>
      </x:c>
      <x:c r="J90" s="111" t="n">
        <x:f>H90-I90</x:f>
        <x:v>0</x:v>
      </x:c>
      <x:c r="K90" s="111" t="n">
        <x:f>K89+I90-G90</x:f>
        <x:v>12743.534830384946</x:v>
      </x:c>
      <x:c r="L90" s="111" t="n">
        <x:f>J90+K90</x:f>
        <x:v>12743.534830384946</x:v>
      </x:c>
      <x:c r="M90" s="109" t="n">
        <x:f>M89+IF(I90&gt;=5,1,0)</x:f>
        <x:v>14</x:v>
      </x:c>
      <x:c r="N90" s="112" t="str">
        <x:f>IF(I90&gt;0,"Invest cash as new 5-year tranche",IF(J90&gt;0,"Carry cash until £5 threshold",""))</x:f>
      </x:c>
      <x:c r="O90" s="113"/>
    </x:row>
    <x:row r="91" ht="15" hidden="0" customHeight="1">
      <x:c r="A91" s="108" t="n">
        <x:v>83</x:v>
      </x:c>
      <x:c r="B91" s="109" t="n">
        <x:f>INT(A91/12)+1</x:f>
        <x:v>7</x:v>
      </x:c>
      <x:c r="C91" s="110" t="n">
        <x:f>INDEX('Assumptions'!$B$12:$B$21,MIN(B91,ROWS('Assumptions'!$B$12:$B$21)))</x:f>
        <x:v>0.03</x:v>
      </x:c>
      <x:c r="D91" s="111" t="n">
        <x:f>IF(A91=0,'Assumptions'!$B$5,0)</x:f>
        <x:v>0</x:v>
      </x:c>
      <x:c r="E91" s="111" t="n">
        <x:f>J90</x:f>
        <x:v>0</x:v>
      </x:c>
      <x:c r="F91" s="111" t="n">
        <x:f>I85*C85/2+I79*C79/2+I73*C73/2+I67*C67/2+I61*C61/2+I55*C55/2+I49*C49/2+I43*C43/2+I37*C37/2+I31*C31/2</x:f>
        <x:v>0</x:v>
      </x:c>
      <x:c r="G91" s="111" t="n">
        <x:f>I31</x:f>
        <x:v>0</x:v>
      </x:c>
      <x:c r="H91" s="111" t="n">
        <x:f>E91+D91+F91+G91</x:f>
        <x:v>0</x:v>
      </x:c>
      <x:c r="I91" s="111" t="n">
        <x:f>H91*(H91&gt;='Assumptions'!$B$9)</x:f>
        <x:v>0</x:v>
      </x:c>
      <x:c r="J91" s="111" t="n">
        <x:f>H91-I91</x:f>
        <x:v>0</x:v>
      </x:c>
      <x:c r="K91" s="111" t="n">
        <x:f>K90+I91-G91</x:f>
        <x:v>12743.534830384946</x:v>
      </x:c>
      <x:c r="L91" s="111" t="n">
        <x:f>J91+K91</x:f>
        <x:v>12743.534830384946</x:v>
      </x:c>
      <x:c r="M91" s="109" t="n">
        <x:f>M90+IF(I91&gt;=5,1,0)</x:f>
        <x:v>14</x:v>
      </x:c>
      <x:c r="N91" s="112" t="str">
        <x:f>IF(I91&gt;0,"Invest cash as new 5-year tranche",IF(J91&gt;0,"Carry cash until £5 threshold",""))</x:f>
      </x:c>
      <x:c r="O91" s="113"/>
    </x:row>
    <x:row r="92" ht="24" hidden="0" customHeight="1">
      <x:c r="A92" s="108" t="n">
        <x:v>84</x:v>
      </x:c>
      <x:c r="B92" s="109" t="n">
        <x:f>INT(A92/12)+1</x:f>
        <x:v>8</x:v>
      </x:c>
      <x:c r="C92" s="110" t="n">
        <x:f>INDEX('Assumptions'!$B$12:$B$21,MIN(B92,ROWS('Assumptions'!$B$12:$B$21)))</x:f>
        <x:v>0.03</x:v>
      </x:c>
      <x:c r="D92" s="111" t="n">
        <x:f>IF(A92=0,'Assumptions'!$B$5,0)</x:f>
        <x:v>0</x:v>
      </x:c>
      <x:c r="E92" s="111" t="n">
        <x:f>J91</x:f>
        <x:v>0</x:v>
      </x:c>
      <x:c r="F92" s="111" t="n">
        <x:f>I86*C86/2+I80*C80/2+I74*C74/2+I68*C68/2+I62*C62/2+I56*C56/2+I50*C50/2+I44*C44/2+I38*C38/2+I32*C32/2</x:f>
        <x:v>193.7786855730508</x:v>
      </x:c>
      <x:c r="G92" s="111" t="n">
        <x:f>I32</x:f>
        <x:v>211.825644</x:v>
      </x:c>
      <x:c r="H92" s="111" t="n">
        <x:f>E92+D92+F92+G92</x:f>
        <x:v>405.6043295730508</x:v>
      </x:c>
      <x:c r="I92" s="111" t="n">
        <x:f>H92*(H92&gt;='Assumptions'!$B$9)</x:f>
        <x:v>405.6043295730508</x:v>
      </x:c>
      <x:c r="J92" s="111" t="n">
        <x:f>H92-I92</x:f>
        <x:v>0</x:v>
      </x:c>
      <x:c r="K92" s="111" t="n">
        <x:f>K91+I92-G92</x:f>
        <x:v>12937.313515957996</x:v>
      </x:c>
      <x:c r="L92" s="111" t="n">
        <x:f>J92+K92</x:f>
        <x:v>12937.313515957996</x:v>
      </x:c>
      <x:c r="M92" s="109" t="n">
        <x:f>M91+IF(I92&gt;=5,1,0)</x:f>
        <x:v>15</x:v>
      </x:c>
      <x:c r="N92" s="112" t="str">
        <x:f>IF(I92&gt;0,"Invest cash as new 5-year tranche",IF(J92&gt;0,"Carry cash until £5 threshold",""))</x:f>
        <x:v>Invest cash as new 5-year tranche</x:v>
      </x:c>
      <x:c r="O92" s="113"/>
    </x:row>
    <x:row r="93" ht="15" hidden="0" customHeight="1">
      <x:c r="A93" s="108" t="n">
        <x:v>85</x:v>
      </x:c>
      <x:c r="B93" s="109" t="n">
        <x:f>INT(A93/12)+1</x:f>
        <x:v>8</x:v>
      </x:c>
      <x:c r="C93" s="110" t="n">
        <x:f>INDEX('Assumptions'!$B$12:$B$21,MIN(B93,ROWS('Assumptions'!$B$12:$B$21)))</x:f>
        <x:v>0.03</x:v>
      </x:c>
      <x:c r="D93" s="111" t="n">
        <x:f>IF(A93=0,'Assumptions'!$B$5,0)</x:f>
        <x:v>0</x:v>
      </x:c>
      <x:c r="E93" s="111" t="n">
        <x:f>J92</x:f>
        <x:v>0</x:v>
      </x:c>
      <x:c r="F93" s="111" t="n">
        <x:f>I87*C87/2+I81*C81/2+I75*C75/2+I69*C69/2+I63*C63/2+I57*C57/2+I51*C51/2+I45*C45/2+I39*C39/2+I33*C33/2</x:f>
        <x:v>0</x:v>
      </x:c>
      <x:c r="G93" s="111" t="n">
        <x:f>I33</x:f>
        <x:v>0</x:v>
      </x:c>
      <x:c r="H93" s="111" t="n">
        <x:f>E93+D93+F93+G93</x:f>
        <x:v>0</x:v>
      </x:c>
      <x:c r="I93" s="111" t="n">
        <x:f>H93*(H93&gt;='Assumptions'!$B$9)</x:f>
        <x:v>0</x:v>
      </x:c>
      <x:c r="J93" s="111" t="n">
        <x:f>H93-I93</x:f>
        <x:v>0</x:v>
      </x:c>
      <x:c r="K93" s="111" t="n">
        <x:f>K92+I93-G93</x:f>
        <x:v>12937.313515957996</x:v>
      </x:c>
      <x:c r="L93" s="111" t="n">
        <x:f>J93+K93</x:f>
        <x:v>12937.313515957996</x:v>
      </x:c>
      <x:c r="M93" s="109" t="n">
        <x:f>M92+IF(I93&gt;=5,1,0)</x:f>
        <x:v>15</x:v>
      </x:c>
      <x:c r="N93" s="112" t="str">
        <x:f>IF(I93&gt;0,"Invest cash as new 5-year tranche",IF(J93&gt;0,"Carry cash until £5 threshold",""))</x:f>
      </x:c>
      <x:c r="O93" s="113"/>
    </x:row>
    <x:row r="94" ht="15" hidden="0" customHeight="1">
      <x:c r="A94" s="108" t="n">
        <x:v>86</x:v>
      </x:c>
      <x:c r="B94" s="109" t="n">
        <x:f>INT(A94/12)+1</x:f>
        <x:v>8</x:v>
      </x:c>
      <x:c r="C94" s="110" t="n">
        <x:f>INDEX('Assumptions'!$B$12:$B$21,MIN(B94,ROWS('Assumptions'!$B$12:$B$21)))</x:f>
        <x:v>0.03</x:v>
      </x:c>
      <x:c r="D94" s="111" t="n">
        <x:f>IF(A94=0,'Assumptions'!$B$5,0)</x:f>
        <x:v>0</x:v>
      </x:c>
      <x:c r="E94" s="111" t="n">
        <x:f>J93</x:f>
        <x:v>0</x:v>
      </x:c>
      <x:c r="F94" s="111" t="n">
        <x:f>I88*C88/2+I82*C82/2+I76*C76/2+I70*C70/2+I64*C64/2+I58*C58/2+I52*C52/2+I46*C46/2+I40*C40/2+I34*C34/2</x:f>
        <x:v>0</x:v>
      </x:c>
      <x:c r="G94" s="111" t="n">
        <x:f>I34</x:f>
        <x:v>0</x:v>
      </x:c>
      <x:c r="H94" s="111" t="n">
        <x:f>E94+D94+F94+G94</x:f>
        <x:v>0</x:v>
      </x:c>
      <x:c r="I94" s="111" t="n">
        <x:f>H94*(H94&gt;='Assumptions'!$B$9)</x:f>
        <x:v>0</x:v>
      </x:c>
      <x:c r="J94" s="111" t="n">
        <x:f>H94-I94</x:f>
        <x:v>0</x:v>
      </x:c>
      <x:c r="K94" s="111" t="n">
        <x:f>K93+I94-G94</x:f>
        <x:v>12937.313515957996</x:v>
      </x:c>
      <x:c r="L94" s="111" t="n">
        <x:f>J94+K94</x:f>
        <x:v>12937.313515957996</x:v>
      </x:c>
      <x:c r="M94" s="109" t="n">
        <x:f>M93+IF(I94&gt;=5,1,0)</x:f>
        <x:v>15</x:v>
      </x:c>
      <x:c r="N94" s="112" t="str">
        <x:f>IF(I94&gt;0,"Invest cash as new 5-year tranche",IF(J94&gt;0,"Carry cash until £5 threshold",""))</x:f>
      </x:c>
      <x:c r="O94" s="113"/>
    </x:row>
    <x:row r="95" ht="15" hidden="0" customHeight="1">
      <x:c r="A95" s="108" t="n">
        <x:v>87</x:v>
      </x:c>
      <x:c r="B95" s="109" t="n">
        <x:f>INT(A95/12)+1</x:f>
        <x:v>8</x:v>
      </x:c>
      <x:c r="C95" s="110" t="n">
        <x:f>INDEX('Assumptions'!$B$12:$B$21,MIN(B95,ROWS('Assumptions'!$B$12:$B$21)))</x:f>
        <x:v>0.03</x:v>
      </x:c>
      <x:c r="D95" s="111" t="n">
        <x:f>IF(A95=0,'Assumptions'!$B$5,0)</x:f>
        <x:v>0</x:v>
      </x:c>
      <x:c r="E95" s="111" t="n">
        <x:f>J94</x:f>
        <x:v>0</x:v>
      </x:c>
      <x:c r="F95" s="111" t="n">
        <x:f>I89*C89/2+I83*C83/2+I77*C77/2+I71*C71/2+I65*C65/2+I59*C59/2+I53*C53/2+I47*C47/2+I41*C41/2+I35*C35/2</x:f>
        <x:v>0</x:v>
      </x:c>
      <x:c r="G95" s="111" t="n">
        <x:f>I35</x:f>
        <x:v>0</x:v>
      </x:c>
      <x:c r="H95" s="111" t="n">
        <x:f>E95+D95+F95+G95</x:f>
        <x:v>0</x:v>
      </x:c>
      <x:c r="I95" s="111" t="n">
        <x:f>H95*(H95&gt;='Assumptions'!$B$9)</x:f>
        <x:v>0</x:v>
      </x:c>
      <x:c r="J95" s="111" t="n">
        <x:f>H95-I95</x:f>
        <x:v>0</x:v>
      </x:c>
      <x:c r="K95" s="111" t="n">
        <x:f>K94+I95-G95</x:f>
        <x:v>12937.313515957996</x:v>
      </x:c>
      <x:c r="L95" s="111" t="n">
        <x:f>J95+K95</x:f>
        <x:v>12937.313515957996</x:v>
      </x:c>
      <x:c r="M95" s="109" t="n">
        <x:f>M94+IF(I95&gt;=5,1,0)</x:f>
        <x:v>15</x:v>
      </x:c>
      <x:c r="N95" s="112" t="str">
        <x:f>IF(I95&gt;0,"Invest cash as new 5-year tranche",IF(J95&gt;0,"Carry cash until £5 threshold",""))</x:f>
      </x:c>
      <x:c r="O95" s="113"/>
    </x:row>
    <x:row r="96" ht="15" hidden="0" customHeight="1">
      <x:c r="A96" s="108" t="n">
        <x:v>88</x:v>
      </x:c>
      <x:c r="B96" s="109" t="n">
        <x:f>INT(A96/12)+1</x:f>
        <x:v>8</x:v>
      </x:c>
      <x:c r="C96" s="110" t="n">
        <x:f>INDEX('Assumptions'!$B$12:$B$21,MIN(B96,ROWS('Assumptions'!$B$12:$B$21)))</x:f>
        <x:v>0.03</x:v>
      </x:c>
      <x:c r="D96" s="111" t="n">
        <x:f>IF(A96=0,'Assumptions'!$B$5,0)</x:f>
        <x:v>0</x:v>
      </x:c>
      <x:c r="E96" s="111" t="n">
        <x:f>J95</x:f>
        <x:v>0</x:v>
      </x:c>
      <x:c r="F96" s="111" t="n">
        <x:f>I90*C90/2+I84*C84/2+I78*C78/2+I72*C72/2+I66*C66/2+I60*C60/2+I54*C54/2+I48*C48/2+I42*C42/2+I36*C36/2</x:f>
        <x:v>0</x:v>
      </x:c>
      <x:c r="G96" s="111" t="n">
        <x:f>I36</x:f>
        <x:v>0</x:v>
      </x:c>
      <x:c r="H96" s="111" t="n">
        <x:f>E96+D96+F96+G96</x:f>
        <x:v>0</x:v>
      </x:c>
      <x:c r="I96" s="111" t="n">
        <x:f>H96*(H96&gt;='Assumptions'!$B$9)</x:f>
        <x:v>0</x:v>
      </x:c>
      <x:c r="J96" s="111" t="n">
        <x:f>H96-I96</x:f>
        <x:v>0</x:v>
      </x:c>
      <x:c r="K96" s="111" t="n">
        <x:f>K95+I96-G96</x:f>
        <x:v>12937.313515957996</x:v>
      </x:c>
      <x:c r="L96" s="111" t="n">
        <x:f>J96+K96</x:f>
        <x:v>12937.313515957996</x:v>
      </x:c>
      <x:c r="M96" s="109" t="n">
        <x:f>M95+IF(I96&gt;=5,1,0)</x:f>
        <x:v>15</x:v>
      </x:c>
      <x:c r="N96" s="112" t="str">
        <x:f>IF(I96&gt;0,"Invest cash as new 5-year tranche",IF(J96&gt;0,"Carry cash until £5 threshold",""))</x:f>
      </x:c>
      <x:c r="O96" s="113"/>
    </x:row>
    <x:row r="97" ht="15" hidden="0" customHeight="1">
      <x:c r="A97" s="108" t="n">
        <x:v>89</x:v>
      </x:c>
      <x:c r="B97" s="109" t="n">
        <x:f>INT(A97/12)+1</x:f>
        <x:v>8</x:v>
      </x:c>
      <x:c r="C97" s="110" t="n">
        <x:f>INDEX('Assumptions'!$B$12:$B$21,MIN(B97,ROWS('Assumptions'!$B$12:$B$21)))</x:f>
        <x:v>0.03</x:v>
      </x:c>
      <x:c r="D97" s="111" t="n">
        <x:f>IF(A97=0,'Assumptions'!$B$5,0)</x:f>
        <x:v>0</x:v>
      </x:c>
      <x:c r="E97" s="111" t="n">
        <x:f>J96</x:f>
        <x:v>0</x:v>
      </x:c>
      <x:c r="F97" s="111" t="n">
        <x:f>I91*C91/2+I85*C85/2+I79*C79/2+I73*C73/2+I67*C67/2+I61*C61/2+I55*C55/2+I49*C49/2+I43*C43/2+I37*C37/2</x:f>
        <x:v>0</x:v>
      </x:c>
      <x:c r="G97" s="111" t="n">
        <x:f>I37</x:f>
        <x:v>0</x:v>
      </x:c>
      <x:c r="H97" s="111" t="n">
        <x:f>E97+D97+F97+G97</x:f>
        <x:v>0</x:v>
      </x:c>
      <x:c r="I97" s="111" t="n">
        <x:f>H97*(H97&gt;='Assumptions'!$B$9)</x:f>
        <x:v>0</x:v>
      </x:c>
      <x:c r="J97" s="111" t="n">
        <x:f>H97-I97</x:f>
        <x:v>0</x:v>
      </x:c>
      <x:c r="K97" s="111" t="n">
        <x:f>K96+I97-G97</x:f>
        <x:v>12937.313515957996</x:v>
      </x:c>
      <x:c r="L97" s="111" t="n">
        <x:f>J97+K97</x:f>
        <x:v>12937.313515957996</x:v>
      </x:c>
      <x:c r="M97" s="109" t="n">
        <x:f>M96+IF(I97&gt;=5,1,0)</x:f>
        <x:v>15</x:v>
      </x:c>
      <x:c r="N97" s="112" t="str">
        <x:f>IF(I97&gt;0,"Invest cash as new 5-year tranche",IF(J97&gt;0,"Carry cash until £5 threshold",""))</x:f>
      </x:c>
      <x:c r="O97" s="113"/>
    </x:row>
    <x:row r="98" ht="24" hidden="0" customHeight="1">
      <x:c r="A98" s="108" t="n">
        <x:v>90</x:v>
      </x:c>
      <x:c r="B98" s="109" t="n">
        <x:f>INT(A98/12)+1</x:f>
        <x:v>8</x:v>
      </x:c>
      <x:c r="C98" s="110" t="n">
        <x:f>INDEX('Assumptions'!$B$12:$B$21,MIN(B98,ROWS('Assumptions'!$B$12:$B$21)))</x:f>
        <x:v>0.03</x:v>
      </x:c>
      <x:c r="D98" s="111" t="n">
        <x:f>IF(A98=0,'Assumptions'!$B$5,0)</x:f>
        <x:v>0</x:v>
      </x:c>
      <x:c r="E98" s="111" t="n">
        <x:f>J97</x:f>
        <x:v>0</x:v>
      </x:c>
      <x:c r="F98" s="111" t="n">
        <x:f>I92*C92/2+I86*C86/2+I80*C80/2+I74*C74/2+I68*C68/2+I62*C62/2+I56*C56/2+I50*C50/2+I44*C44/2+I38*C38/2</x:f>
        <x:v>196.04988892464658</x:v>
      </x:c>
      <x:c r="G98" s="111" t="n">
        <x:f>I38</x:f>
        <x:v>215.638505592</x:v>
      </x:c>
      <x:c r="H98" s="111" t="n">
        <x:f>E98+D98+F98+G98</x:f>
        <x:v>411.68839451664655</x:v>
      </x:c>
      <x:c r="I98" s="111" t="n">
        <x:f>H98*(H98&gt;='Assumptions'!$B$9)</x:f>
        <x:v>411.68839451664655</x:v>
      </x:c>
      <x:c r="J98" s="111" t="n">
        <x:f>H98-I98</x:f>
        <x:v>0</x:v>
      </x:c>
      <x:c r="K98" s="111" t="n">
        <x:f>K97+I98-G98</x:f>
        <x:v>13133.363404882642</x:v>
      </x:c>
      <x:c r="L98" s="111" t="n">
        <x:f>J98+K98</x:f>
        <x:v>13133.363404882642</x:v>
      </x:c>
      <x:c r="M98" s="109" t="n">
        <x:f>M97+IF(I98&gt;=5,1,0)</x:f>
        <x:v>16</x:v>
      </x:c>
      <x:c r="N98" s="112" t="str">
        <x:f>IF(I98&gt;0,"Invest cash as new 5-year tranche",IF(J98&gt;0,"Carry cash until £5 threshold",""))</x:f>
        <x:v>Invest cash as new 5-year tranche</x:v>
      </x:c>
      <x:c r="O98" s="113"/>
    </x:row>
    <x:row r="99" ht="15" hidden="0" customHeight="1">
      <x:c r="A99" s="108" t="n">
        <x:v>91</x:v>
      </x:c>
      <x:c r="B99" s="109" t="n">
        <x:f>INT(A99/12)+1</x:f>
        <x:v>8</x:v>
      </x:c>
      <x:c r="C99" s="110" t="n">
        <x:f>INDEX('Assumptions'!$B$12:$B$21,MIN(B99,ROWS('Assumptions'!$B$12:$B$21)))</x:f>
        <x:v>0.03</x:v>
      </x:c>
      <x:c r="D99" s="111" t="n">
        <x:f>IF(A99=0,'Assumptions'!$B$5,0)</x:f>
        <x:v>0</x:v>
      </x:c>
      <x:c r="E99" s="111" t="n">
        <x:f>J98</x:f>
        <x:v>0</x:v>
      </x:c>
      <x:c r="F99" s="111" t="n">
        <x:f>I93*C93/2+I87*C87/2+I81*C81/2+I75*C75/2+I69*C69/2+I63*C63/2+I57*C57/2+I51*C51/2+I45*C45/2+I39*C39/2</x:f>
        <x:v>0</x:v>
      </x:c>
      <x:c r="G99" s="111" t="n">
        <x:f>I39</x:f>
        <x:v>0</x:v>
      </x:c>
      <x:c r="H99" s="111" t="n">
        <x:f>E99+D99+F99+G99</x:f>
        <x:v>0</x:v>
      </x:c>
      <x:c r="I99" s="111" t="n">
        <x:f>H99*(H99&gt;='Assumptions'!$B$9)</x:f>
        <x:v>0</x:v>
      </x:c>
      <x:c r="J99" s="111" t="n">
        <x:f>H99-I99</x:f>
        <x:v>0</x:v>
      </x:c>
      <x:c r="K99" s="111" t="n">
        <x:f>K98+I99-G99</x:f>
        <x:v>13133.363404882642</x:v>
      </x:c>
      <x:c r="L99" s="111" t="n">
        <x:f>J99+K99</x:f>
        <x:v>13133.363404882642</x:v>
      </x:c>
      <x:c r="M99" s="109" t="n">
        <x:f>M98+IF(I99&gt;=5,1,0)</x:f>
        <x:v>16</x:v>
      </x:c>
      <x:c r="N99" s="112" t="str">
        <x:f>IF(I99&gt;0,"Invest cash as new 5-year tranche",IF(J99&gt;0,"Carry cash until £5 threshold",""))</x:f>
      </x:c>
      <x:c r="O99" s="113"/>
    </x:row>
    <x:row r="100" ht="15" hidden="0" customHeight="1">
      <x:c r="A100" s="108" t="n">
        <x:v>92</x:v>
      </x:c>
      <x:c r="B100" s="109" t="n">
        <x:f>INT(A100/12)+1</x:f>
        <x:v>8</x:v>
      </x:c>
      <x:c r="C100" s="110" t="n">
        <x:f>INDEX('Assumptions'!$B$12:$B$21,MIN(B100,ROWS('Assumptions'!$B$12:$B$21)))</x:f>
        <x:v>0.03</x:v>
      </x:c>
      <x:c r="D100" s="111" t="n">
        <x:f>IF(A100=0,'Assumptions'!$B$5,0)</x:f>
        <x:v>0</x:v>
      </x:c>
      <x:c r="E100" s="111" t="n">
        <x:f>J99</x:f>
        <x:v>0</x:v>
      </x:c>
      <x:c r="F100" s="111" t="n">
        <x:f>I94*C94/2+I88*C88/2+I82*C82/2+I76*C76/2+I70*C70/2+I64*C64/2+I58*C58/2+I52*C52/2+I46*C46/2+I40*C40/2</x:f>
        <x:v>0</x:v>
      </x:c>
      <x:c r="G100" s="111" t="n">
        <x:f>I40</x:f>
        <x:v>0</x:v>
      </x:c>
      <x:c r="H100" s="111" t="n">
        <x:f>E100+D100+F100+G100</x:f>
        <x:v>0</x:v>
      </x:c>
      <x:c r="I100" s="111" t="n">
        <x:f>H100*(H100&gt;='Assumptions'!$B$9)</x:f>
        <x:v>0</x:v>
      </x:c>
      <x:c r="J100" s="111" t="n">
        <x:f>H100-I100</x:f>
        <x:v>0</x:v>
      </x:c>
      <x:c r="K100" s="111" t="n">
        <x:f>K99+I100-G100</x:f>
        <x:v>13133.363404882642</x:v>
      </x:c>
      <x:c r="L100" s="111" t="n">
        <x:f>J100+K100</x:f>
        <x:v>13133.363404882642</x:v>
      </x:c>
      <x:c r="M100" s="109" t="n">
        <x:f>M99+IF(I100&gt;=5,1,0)</x:f>
        <x:v>16</x:v>
      </x:c>
      <x:c r="N100" s="112" t="str">
        <x:f>IF(I100&gt;0,"Invest cash as new 5-year tranche",IF(J100&gt;0,"Carry cash until £5 threshold",""))</x:f>
      </x:c>
      <x:c r="O100" s="113"/>
    </x:row>
    <x:row r="101" ht="15" hidden="0" customHeight="1">
      <x:c r="A101" s="108" t="n">
        <x:v>93</x:v>
      </x:c>
      <x:c r="B101" s="109" t="n">
        <x:f>INT(A101/12)+1</x:f>
        <x:v>8</x:v>
      </x:c>
      <x:c r="C101" s="110" t="n">
        <x:f>INDEX('Assumptions'!$B$12:$B$21,MIN(B101,ROWS('Assumptions'!$B$12:$B$21)))</x:f>
        <x:v>0.03</x:v>
      </x:c>
      <x:c r="D101" s="111" t="n">
        <x:f>IF(A101=0,'Assumptions'!$B$5,0)</x:f>
        <x:v>0</x:v>
      </x:c>
      <x:c r="E101" s="111" t="n">
        <x:f>J100</x:f>
        <x:v>0</x:v>
      </x:c>
      <x:c r="F101" s="111" t="n">
        <x:f>I95*C95/2+I89*C89/2+I83*C83/2+I77*C77/2+I71*C71/2+I65*C65/2+I59*C59/2+I53*C53/2+I47*C47/2+I41*C41/2</x:f>
        <x:v>0</x:v>
      </x:c>
      <x:c r="G101" s="111" t="n">
        <x:f>I41</x:f>
        <x:v>0</x:v>
      </x:c>
      <x:c r="H101" s="111" t="n">
        <x:f>E101+D101+F101+G101</x:f>
        <x:v>0</x:v>
      </x:c>
      <x:c r="I101" s="111" t="n">
        <x:f>H101*(H101&gt;='Assumptions'!$B$9)</x:f>
        <x:v>0</x:v>
      </x:c>
      <x:c r="J101" s="111" t="n">
        <x:f>H101-I101</x:f>
        <x:v>0</x:v>
      </x:c>
      <x:c r="K101" s="111" t="n">
        <x:f>K100+I101-G101</x:f>
        <x:v>13133.363404882642</x:v>
      </x:c>
      <x:c r="L101" s="111" t="n">
        <x:f>J101+K101</x:f>
        <x:v>13133.363404882642</x:v>
      </x:c>
      <x:c r="M101" s="109" t="n">
        <x:f>M100+IF(I101&gt;=5,1,0)</x:f>
        <x:v>16</x:v>
      </x:c>
      <x:c r="N101" s="112" t="str">
        <x:f>IF(I101&gt;0,"Invest cash as new 5-year tranche",IF(J101&gt;0,"Carry cash until £5 threshold",""))</x:f>
      </x:c>
      <x:c r="O101" s="113"/>
    </x:row>
    <x:row r="102" ht="15" hidden="0" customHeight="1">
      <x:c r="A102" s="108" t="n">
        <x:v>94</x:v>
      </x:c>
      <x:c r="B102" s="109" t="n">
        <x:f>INT(A102/12)+1</x:f>
        <x:v>8</x:v>
      </x:c>
      <x:c r="C102" s="110" t="n">
        <x:f>INDEX('Assumptions'!$B$12:$B$21,MIN(B102,ROWS('Assumptions'!$B$12:$B$21)))</x:f>
        <x:v>0.03</x:v>
      </x:c>
      <x:c r="D102" s="111" t="n">
        <x:f>IF(A102=0,'Assumptions'!$B$5,0)</x:f>
        <x:v>0</x:v>
      </x:c>
      <x:c r="E102" s="111" t="n">
        <x:f>J101</x:f>
        <x:v>0</x:v>
      </x:c>
      <x:c r="F102" s="111" t="n">
        <x:f>I96*C96/2+I90*C90/2+I84*C84/2+I78*C78/2+I72*C72/2+I66*C66/2+I60*C60/2+I54*C54/2+I48*C48/2+I42*C42/2</x:f>
        <x:v>0</x:v>
      </x:c>
      <x:c r="G102" s="111" t="n">
        <x:f>I42</x:f>
        <x:v>0</x:v>
      </x:c>
      <x:c r="H102" s="111" t="n">
        <x:f>E102+D102+F102+G102</x:f>
        <x:v>0</x:v>
      </x:c>
      <x:c r="I102" s="111" t="n">
        <x:f>H102*(H102&gt;='Assumptions'!$B$9)</x:f>
        <x:v>0</x:v>
      </x:c>
      <x:c r="J102" s="111" t="n">
        <x:f>H102-I102</x:f>
        <x:v>0</x:v>
      </x:c>
      <x:c r="K102" s="111" t="n">
        <x:f>K101+I102-G102</x:f>
        <x:v>13133.363404882642</x:v>
      </x:c>
      <x:c r="L102" s="111" t="n">
        <x:f>J102+K102</x:f>
        <x:v>13133.363404882642</x:v>
      </x:c>
      <x:c r="M102" s="109" t="n">
        <x:f>M101+IF(I102&gt;=5,1,0)</x:f>
        <x:v>16</x:v>
      </x:c>
      <x:c r="N102" s="112" t="str">
        <x:f>IF(I102&gt;0,"Invest cash as new 5-year tranche",IF(J102&gt;0,"Carry cash until £5 threshold",""))</x:f>
      </x:c>
      <x:c r="O102" s="113"/>
    </x:row>
    <x:row r="103" ht="15" hidden="0" customHeight="1">
      <x:c r="A103" s="108" t="n">
        <x:v>95</x:v>
      </x:c>
      <x:c r="B103" s="109" t="n">
        <x:f>INT(A103/12)+1</x:f>
        <x:v>8</x:v>
      </x:c>
      <x:c r="C103" s="110" t="n">
        <x:f>INDEX('Assumptions'!$B$12:$B$21,MIN(B103,ROWS('Assumptions'!$B$12:$B$21)))</x:f>
        <x:v>0.03</x:v>
      </x:c>
      <x:c r="D103" s="111" t="n">
        <x:f>IF(A103=0,'Assumptions'!$B$5,0)</x:f>
        <x:v>0</x:v>
      </x:c>
      <x:c r="E103" s="111" t="n">
        <x:f>J102</x:f>
        <x:v>0</x:v>
      </x:c>
      <x:c r="F103" s="111" t="n">
        <x:f>I97*C97/2+I91*C91/2+I85*C85/2+I79*C79/2+I73*C73/2+I67*C67/2+I61*C61/2+I55*C55/2+I49*C49/2+I43*C43/2</x:f>
        <x:v>0</x:v>
      </x:c>
      <x:c r="G103" s="111" t="n">
        <x:f>I43</x:f>
        <x:v>0</x:v>
      </x:c>
      <x:c r="H103" s="111" t="n">
        <x:f>E103+D103+F103+G103</x:f>
        <x:v>0</x:v>
      </x:c>
      <x:c r="I103" s="111" t="n">
        <x:f>H103*(H103&gt;='Assumptions'!$B$9)</x:f>
        <x:v>0</x:v>
      </x:c>
      <x:c r="J103" s="111" t="n">
        <x:f>H103-I103</x:f>
        <x:v>0</x:v>
      </x:c>
      <x:c r="K103" s="111" t="n">
        <x:f>K102+I103-G103</x:f>
        <x:v>13133.363404882642</x:v>
      </x:c>
      <x:c r="L103" s="111" t="n">
        <x:f>J103+K103</x:f>
        <x:v>13133.363404882642</x:v>
      </x:c>
      <x:c r="M103" s="109" t="n">
        <x:f>M102+IF(I103&gt;=5,1,0)</x:f>
        <x:v>16</x:v>
      </x:c>
      <x:c r="N103" s="112" t="str">
        <x:f>IF(I103&gt;0,"Invest cash as new 5-year tranche",IF(J103&gt;0,"Carry cash until £5 threshold",""))</x:f>
      </x:c>
      <x:c r="O103" s="113"/>
    </x:row>
    <x:row r="104" ht="24" hidden="0" customHeight="1">
      <x:c r="A104" s="108" t="n">
        <x:v>96</x:v>
      </x:c>
      <x:c r="B104" s="109" t="n">
        <x:f>INT(A104/12)+1</x:f>
        <x:v>9</x:v>
      </x:c>
      <x:c r="C104" s="110" t="n">
        <x:f>INDEX('Assumptions'!$B$12:$B$21,MIN(B104,ROWS('Assumptions'!$B$12:$B$21)))</x:f>
        <x:v>0.03</x:v>
      </x:c>
      <x:c r="D104" s="111" t="n">
        <x:f>IF(A104=0,'Assumptions'!$B$5,0)</x:f>
        <x:v>0</x:v>
      </x:c>
      <x:c r="E104" s="111" t="n">
        <x:f>J103</x:f>
        <x:v>0</x:v>
      </x:c>
      <x:c r="F104" s="111" t="n">
        <x:f>I98*C98/2+I92*C92/2+I86*C86/2+I80*C80/2+I74*C74/2+I68*C68/2+I62*C62/2+I56*C56/2+I50*C50/2+I44*C44/2</x:f>
        <x:v>198.3437217417403</x:v>
      </x:c>
      <x:c r="G104" s="111" t="n">
        <x:f>I44</x:f>
        <x:v>219.519998692656</x:v>
      </x:c>
      <x:c r="H104" s="111" t="n">
        <x:f>E104+D104+F104+G104</x:f>
        <x:v>417.8637204343963</x:v>
      </x:c>
      <x:c r="I104" s="111" t="n">
        <x:f>H104*(H104&gt;='Assumptions'!$B$9)</x:f>
        <x:v>417.8637204343963</x:v>
      </x:c>
      <x:c r="J104" s="111" t="n">
        <x:f>H104-I104</x:f>
        <x:v>0</x:v>
      </x:c>
      <x:c r="K104" s="111" t="n">
        <x:f>K103+I104-G104</x:f>
        <x:v>13331.707126624382</x:v>
      </x:c>
      <x:c r="L104" s="111" t="n">
        <x:f>J104+K104</x:f>
        <x:v>13331.707126624382</x:v>
      </x:c>
      <x:c r="M104" s="109" t="n">
        <x:f>M103+IF(I104&gt;=5,1,0)</x:f>
        <x:v>17</x:v>
      </x:c>
      <x:c r="N104" s="112" t="str">
        <x:f>IF(I104&gt;0,"Invest cash as new 5-year tranche",IF(J104&gt;0,"Carry cash until £5 threshold",""))</x:f>
        <x:v>Invest cash as new 5-year tranche</x:v>
      </x:c>
      <x:c r="O104" s="113"/>
    </x:row>
    <x:row r="105" ht="15" hidden="0" customHeight="1">
      <x:c r="A105" s="108" t="n">
        <x:v>97</x:v>
      </x:c>
      <x:c r="B105" s="109" t="n">
        <x:f>INT(A105/12)+1</x:f>
        <x:v>9</x:v>
      </x:c>
      <x:c r="C105" s="110" t="n">
        <x:f>INDEX('Assumptions'!$B$12:$B$21,MIN(B105,ROWS('Assumptions'!$B$12:$B$21)))</x:f>
        <x:v>0.03</x:v>
      </x:c>
      <x:c r="D105" s="111" t="n">
        <x:f>IF(A105=0,'Assumptions'!$B$5,0)</x:f>
        <x:v>0</x:v>
      </x:c>
      <x:c r="E105" s="111" t="n">
        <x:f>J104</x:f>
        <x:v>0</x:v>
      </x:c>
      <x:c r="F105" s="111" t="n">
        <x:f>I99*C99/2+I93*C93/2+I87*C87/2+I81*C81/2+I75*C75/2+I69*C69/2+I63*C63/2+I57*C57/2+I51*C51/2+I45*C45/2</x:f>
        <x:v>0</x:v>
      </x:c>
      <x:c r="G105" s="111" t="n">
        <x:f>I45</x:f>
        <x:v>0</x:v>
      </x:c>
      <x:c r="H105" s="111" t="n">
        <x:f>E105+D105+F105+G105</x:f>
        <x:v>0</x:v>
      </x:c>
      <x:c r="I105" s="111" t="n">
        <x:f>H105*(H105&gt;='Assumptions'!$B$9)</x:f>
        <x:v>0</x:v>
      </x:c>
      <x:c r="J105" s="111" t="n">
        <x:f>H105-I105</x:f>
        <x:v>0</x:v>
      </x:c>
      <x:c r="K105" s="111" t="n">
        <x:f>K104+I105-G105</x:f>
        <x:v>13331.707126624382</x:v>
      </x:c>
      <x:c r="L105" s="111" t="n">
        <x:f>J105+K105</x:f>
        <x:v>13331.707126624382</x:v>
      </x:c>
      <x:c r="M105" s="109" t="n">
        <x:f>M104+IF(I105&gt;=5,1,0)</x:f>
        <x:v>17</x:v>
      </x:c>
      <x:c r="N105" s="112" t="str">
        <x:f>IF(I105&gt;0,"Invest cash as new 5-year tranche",IF(J105&gt;0,"Carry cash until £5 threshold",""))</x:f>
      </x:c>
      <x:c r="O105" s="113"/>
    </x:row>
    <x:row r="106" ht="15" hidden="0" customHeight="1">
      <x:c r="A106" s="108" t="n">
        <x:v>98</x:v>
      </x:c>
      <x:c r="B106" s="109" t="n">
        <x:f>INT(A106/12)+1</x:f>
        <x:v>9</x:v>
      </x:c>
      <x:c r="C106" s="110" t="n">
        <x:f>INDEX('Assumptions'!$B$12:$B$21,MIN(B106,ROWS('Assumptions'!$B$12:$B$21)))</x:f>
        <x:v>0.03</x:v>
      </x:c>
      <x:c r="D106" s="111" t="n">
        <x:f>IF(A106=0,'Assumptions'!$B$5,0)</x:f>
        <x:v>0</x:v>
      </x:c>
      <x:c r="E106" s="111" t="n">
        <x:f>J105</x:f>
        <x:v>0</x:v>
      </x:c>
      <x:c r="F106" s="111" t="n">
        <x:f>I100*C100/2+I94*C94/2+I88*C88/2+I82*C82/2+I76*C76/2+I70*C70/2+I64*C64/2+I58*C58/2+I52*C52/2+I46*C46/2</x:f>
        <x:v>0</x:v>
      </x:c>
      <x:c r="G106" s="111" t="n">
        <x:f>I46</x:f>
        <x:v>0</x:v>
      </x:c>
      <x:c r="H106" s="111" t="n">
        <x:f>E106+D106+F106+G106</x:f>
        <x:v>0</x:v>
      </x:c>
      <x:c r="I106" s="111" t="n">
        <x:f>H106*(H106&gt;='Assumptions'!$B$9)</x:f>
        <x:v>0</x:v>
      </x:c>
      <x:c r="J106" s="111" t="n">
        <x:f>H106-I106</x:f>
        <x:v>0</x:v>
      </x:c>
      <x:c r="K106" s="111" t="n">
        <x:f>K105+I106-G106</x:f>
        <x:v>13331.707126624382</x:v>
      </x:c>
      <x:c r="L106" s="111" t="n">
        <x:f>J106+K106</x:f>
        <x:v>13331.707126624382</x:v>
      </x:c>
      <x:c r="M106" s="109" t="n">
        <x:f>M105+IF(I106&gt;=5,1,0)</x:f>
        <x:v>17</x:v>
      </x:c>
      <x:c r="N106" s="112" t="str">
        <x:f>IF(I106&gt;0,"Invest cash as new 5-year tranche",IF(J106&gt;0,"Carry cash until £5 threshold",""))</x:f>
      </x:c>
      <x:c r="O106" s="113"/>
    </x:row>
    <x:row r="107" ht="15" hidden="0" customHeight="1">
      <x:c r="A107" s="108" t="n">
        <x:v>99</x:v>
      </x:c>
      <x:c r="B107" s="109" t="n">
        <x:f>INT(A107/12)+1</x:f>
        <x:v>9</x:v>
      </x:c>
      <x:c r="C107" s="110" t="n">
        <x:f>INDEX('Assumptions'!$B$12:$B$21,MIN(B107,ROWS('Assumptions'!$B$12:$B$21)))</x:f>
        <x:v>0.03</x:v>
      </x:c>
      <x:c r="D107" s="111" t="n">
        <x:f>IF(A107=0,'Assumptions'!$B$5,0)</x:f>
        <x:v>0</x:v>
      </x:c>
      <x:c r="E107" s="111" t="n">
        <x:f>J106</x:f>
        <x:v>0</x:v>
      </x:c>
      <x:c r="F107" s="111" t="n">
        <x:f>I101*C101/2+I95*C95/2+I89*C89/2+I83*C83/2+I77*C77/2+I71*C71/2+I65*C65/2+I59*C59/2+I53*C53/2+I47*C47/2</x:f>
        <x:v>0</x:v>
      </x:c>
      <x:c r="G107" s="111" t="n">
        <x:f>I47</x:f>
        <x:v>0</x:v>
      </x:c>
      <x:c r="H107" s="111" t="n">
        <x:f>E107+D107+F107+G107</x:f>
        <x:v>0</x:v>
      </x:c>
      <x:c r="I107" s="111" t="n">
        <x:f>H107*(H107&gt;='Assumptions'!$B$9)</x:f>
        <x:v>0</x:v>
      </x:c>
      <x:c r="J107" s="111" t="n">
        <x:f>H107-I107</x:f>
        <x:v>0</x:v>
      </x:c>
      <x:c r="K107" s="111" t="n">
        <x:f>K106+I107-G107</x:f>
        <x:v>13331.707126624382</x:v>
      </x:c>
      <x:c r="L107" s="111" t="n">
        <x:f>J107+K107</x:f>
        <x:v>13331.707126624382</x:v>
      </x:c>
      <x:c r="M107" s="109" t="n">
        <x:f>M106+IF(I107&gt;=5,1,0)</x:f>
        <x:v>17</x:v>
      </x:c>
      <x:c r="N107" s="112" t="str">
        <x:f>IF(I107&gt;0,"Invest cash as new 5-year tranche",IF(J107&gt;0,"Carry cash until £5 threshold",""))</x:f>
      </x:c>
      <x:c r="O107" s="113"/>
    </x:row>
    <x:row r="108" ht="15" hidden="0" customHeight="1">
      <x:c r="A108" s="108" t="n">
        <x:v>100</x:v>
      </x:c>
      <x:c r="B108" s="109" t="n">
        <x:f>INT(A108/12)+1</x:f>
        <x:v>9</x:v>
      </x:c>
      <x:c r="C108" s="110" t="n">
        <x:f>INDEX('Assumptions'!$B$12:$B$21,MIN(B108,ROWS('Assumptions'!$B$12:$B$21)))</x:f>
        <x:v>0.03</x:v>
      </x:c>
      <x:c r="D108" s="111" t="n">
        <x:f>IF(A108=0,'Assumptions'!$B$5,0)</x:f>
        <x:v>0</x:v>
      </x:c>
      <x:c r="E108" s="111" t="n">
        <x:f>J107</x:f>
        <x:v>0</x:v>
      </x:c>
      <x:c r="F108" s="111" t="n">
        <x:f>I102*C102/2+I96*C96/2+I90*C90/2+I84*C84/2+I78*C78/2+I72*C72/2+I66*C66/2+I60*C60/2+I54*C54/2+I48*C48/2</x:f>
        <x:v>0</x:v>
      </x:c>
      <x:c r="G108" s="111" t="n">
        <x:f>I48</x:f>
        <x:v>0</x:v>
      </x:c>
      <x:c r="H108" s="111" t="n">
        <x:f>E108+D108+F108+G108</x:f>
        <x:v>0</x:v>
      </x:c>
      <x:c r="I108" s="111" t="n">
        <x:f>H108*(H108&gt;='Assumptions'!$B$9)</x:f>
        <x:v>0</x:v>
      </x:c>
      <x:c r="J108" s="111" t="n">
        <x:f>H108-I108</x:f>
        <x:v>0</x:v>
      </x:c>
      <x:c r="K108" s="111" t="n">
        <x:f>K107+I108-G108</x:f>
        <x:v>13331.707126624382</x:v>
      </x:c>
      <x:c r="L108" s="111" t="n">
        <x:f>J108+K108</x:f>
        <x:v>13331.707126624382</x:v>
      </x:c>
      <x:c r="M108" s="109" t="n">
        <x:f>M107+IF(I108&gt;=5,1,0)</x:f>
        <x:v>17</x:v>
      </x:c>
      <x:c r="N108" s="112" t="str">
        <x:f>IF(I108&gt;0,"Invest cash as new 5-year tranche",IF(J108&gt;0,"Carry cash until £5 threshold",""))</x:f>
      </x:c>
      <x:c r="O108" s="113"/>
    </x:row>
    <x:row r="109" ht="15" hidden="0" customHeight="1">
      <x:c r="A109" s="108" t="n">
        <x:v>101</x:v>
      </x:c>
      <x:c r="B109" s="109" t="n">
        <x:f>INT(A109/12)+1</x:f>
        <x:v>9</x:v>
      </x:c>
      <x:c r="C109" s="110" t="n">
        <x:f>INDEX('Assumptions'!$B$12:$B$21,MIN(B109,ROWS('Assumptions'!$B$12:$B$21)))</x:f>
        <x:v>0.03</x:v>
      </x:c>
      <x:c r="D109" s="111" t="n">
        <x:f>IF(A109=0,'Assumptions'!$B$5,0)</x:f>
        <x:v>0</x:v>
      </x:c>
      <x:c r="E109" s="111" t="n">
        <x:f>J108</x:f>
        <x:v>0</x:v>
      </x:c>
      <x:c r="F109" s="111" t="n">
        <x:f>I103*C103/2+I97*C97/2+I91*C91/2+I85*C85/2+I79*C79/2+I73*C73/2+I67*C67/2+I61*C61/2+I55*C55/2+I49*C49/2</x:f>
        <x:v>0</x:v>
      </x:c>
      <x:c r="G109" s="111" t="n">
        <x:f>I49</x:f>
        <x:v>0</x:v>
      </x:c>
      <x:c r="H109" s="111" t="n">
        <x:f>E109+D109+F109+G109</x:f>
        <x:v>0</x:v>
      </x:c>
      <x:c r="I109" s="111" t="n">
        <x:f>H109*(H109&gt;='Assumptions'!$B$9)</x:f>
        <x:v>0</x:v>
      </x:c>
      <x:c r="J109" s="111" t="n">
        <x:f>H109-I109</x:f>
        <x:v>0</x:v>
      </x:c>
      <x:c r="K109" s="111" t="n">
        <x:f>K108+I109-G109</x:f>
        <x:v>13331.707126624382</x:v>
      </x:c>
      <x:c r="L109" s="111" t="n">
        <x:f>J109+K109</x:f>
        <x:v>13331.707126624382</x:v>
      </x:c>
      <x:c r="M109" s="109" t="n">
        <x:f>M108+IF(I109&gt;=5,1,0)</x:f>
        <x:v>17</x:v>
      </x:c>
      <x:c r="N109" s="112" t="str">
        <x:f>IF(I109&gt;0,"Invest cash as new 5-year tranche",IF(J109&gt;0,"Carry cash until £5 threshold",""))</x:f>
      </x:c>
      <x:c r="O109" s="113"/>
    </x:row>
    <x:row r="110" ht="24" hidden="0" customHeight="1">
      <x:c r="A110" s="108" t="n">
        <x:v>102</x:v>
      </x:c>
      <x:c r="B110" s="109" t="n">
        <x:f>INT(A110/12)+1</x:f>
        <x:v>9</x:v>
      </x:c>
      <x:c r="C110" s="110" t="n">
        <x:f>INDEX('Assumptions'!$B$12:$B$21,MIN(B110,ROWS('Assumptions'!$B$12:$B$21)))</x:f>
        <x:v>0.03</x:v>
      </x:c>
      <x:c r="D110" s="111" t="n">
        <x:f>IF(A110=0,'Assumptions'!$B$5,0)</x:f>
        <x:v>0</x:v>
      </x:c>
      <x:c r="E110" s="111" t="n">
        <x:f>J109</x:f>
        <x:v>0</x:v>
      </x:c>
      <x:c r="F110" s="111" t="n">
        <x:f>I104*C104/2+I98*C98/2+I92*C92/2+I86*C86/2+I80*C80/2+I74*C74/2+I68*C68/2+I62*C62/2+I56*C56/2+I50*C50/2</x:f>
        <x:v>200.87983757048107</x:v>
      </x:c>
      <x:c r="G110" s="111" t="n">
        <x:f>I50</x:f>
        <x:v>223.25183867043114</x:v>
      </x:c>
      <x:c r="H110" s="111" t="n">
        <x:f>E110+D110+F110+G110</x:f>
        <x:v>424.1316762409122</x:v>
      </x:c>
      <x:c r="I110" s="111" t="n">
        <x:f>H110*(H110&gt;='Assumptions'!$B$9)</x:f>
        <x:v>424.1316762409122</x:v>
      </x:c>
      <x:c r="J110" s="111" t="n">
        <x:f>H110-I110</x:f>
        <x:v>0</x:v>
      </x:c>
      <x:c r="K110" s="111" t="n">
        <x:f>K109+I110-G110</x:f>
        <x:v>13532.586964194863</x:v>
      </x:c>
      <x:c r="L110" s="111" t="n">
        <x:f>J110+K110</x:f>
        <x:v>13532.586964194863</x:v>
      </x:c>
      <x:c r="M110" s="109" t="n">
        <x:f>M109+IF(I110&gt;=5,1,0)</x:f>
        <x:v>18</x:v>
      </x:c>
      <x:c r="N110" s="112" t="str">
        <x:f>IF(I110&gt;0,"Invest cash as new 5-year tranche",IF(J110&gt;0,"Carry cash until £5 threshold",""))</x:f>
        <x:v>Invest cash as new 5-year tranche</x:v>
      </x:c>
      <x:c r="O110" s="113"/>
    </x:row>
    <x:row r="111" ht="15" hidden="0" customHeight="1">
      <x:c r="A111" s="108" t="n">
        <x:v>103</x:v>
      </x:c>
      <x:c r="B111" s="109" t="n">
        <x:f>INT(A111/12)+1</x:f>
        <x:v>9</x:v>
      </x:c>
      <x:c r="C111" s="110" t="n">
        <x:f>INDEX('Assumptions'!$B$12:$B$21,MIN(B111,ROWS('Assumptions'!$B$12:$B$21)))</x:f>
        <x:v>0.03</x:v>
      </x:c>
      <x:c r="D111" s="111" t="n">
        <x:f>IF(A111=0,'Assumptions'!$B$5,0)</x:f>
        <x:v>0</x:v>
      </x:c>
      <x:c r="E111" s="111" t="n">
        <x:f>J110</x:f>
        <x:v>0</x:v>
      </x:c>
      <x:c r="F111" s="111" t="n">
        <x:f>I105*C105/2+I99*C99/2+I93*C93/2+I87*C87/2+I81*C81/2+I75*C75/2+I69*C69/2+I63*C63/2+I57*C57/2+I51*C51/2</x:f>
        <x:v>0</x:v>
      </x:c>
      <x:c r="G111" s="111" t="n">
        <x:f>I51</x:f>
        <x:v>0</x:v>
      </x:c>
      <x:c r="H111" s="111" t="n">
        <x:f>E111+D111+F111+G111</x:f>
        <x:v>0</x:v>
      </x:c>
      <x:c r="I111" s="111" t="n">
        <x:f>H111*(H111&gt;='Assumptions'!$B$9)</x:f>
        <x:v>0</x:v>
      </x:c>
      <x:c r="J111" s="111" t="n">
        <x:f>H111-I111</x:f>
        <x:v>0</x:v>
      </x:c>
      <x:c r="K111" s="111" t="n">
        <x:f>K110+I111-G111</x:f>
        <x:v>13532.586964194863</x:v>
      </x:c>
      <x:c r="L111" s="111" t="n">
        <x:f>J111+K111</x:f>
        <x:v>13532.586964194863</x:v>
      </x:c>
      <x:c r="M111" s="109" t="n">
        <x:f>M110+IF(I111&gt;=5,1,0)</x:f>
        <x:v>18</x:v>
      </x:c>
      <x:c r="N111" s="112" t="str">
        <x:f>IF(I111&gt;0,"Invest cash as new 5-year tranche",IF(J111&gt;0,"Carry cash until £5 threshold",""))</x:f>
      </x:c>
      <x:c r="O111" s="113"/>
    </x:row>
    <x:row r="112" ht="15" hidden="0" customHeight="1">
      <x:c r="A112" s="108" t="n">
        <x:v>104</x:v>
      </x:c>
      <x:c r="B112" s="109" t="n">
        <x:f>INT(A112/12)+1</x:f>
        <x:v>9</x:v>
      </x:c>
      <x:c r="C112" s="110" t="n">
        <x:f>INDEX('Assumptions'!$B$12:$B$21,MIN(B112,ROWS('Assumptions'!$B$12:$B$21)))</x:f>
        <x:v>0.03</x:v>
      </x:c>
      <x:c r="D112" s="111" t="n">
        <x:f>IF(A112=0,'Assumptions'!$B$5,0)</x:f>
        <x:v>0</x:v>
      </x:c>
      <x:c r="E112" s="111" t="n">
        <x:f>J111</x:f>
        <x:v>0</x:v>
      </x:c>
      <x:c r="F112" s="111" t="n">
        <x:f>I106*C106/2+I100*C100/2+I94*C94/2+I88*C88/2+I82*C82/2+I76*C76/2+I70*C70/2+I64*C64/2+I58*C58/2+I52*C52/2</x:f>
        <x:v>0</x:v>
      </x:c>
      <x:c r="G112" s="111" t="n">
        <x:f>I52</x:f>
        <x:v>0</x:v>
      </x:c>
      <x:c r="H112" s="111" t="n">
        <x:f>E112+D112+F112+G112</x:f>
        <x:v>0</x:v>
      </x:c>
      <x:c r="I112" s="111" t="n">
        <x:f>H112*(H112&gt;='Assumptions'!$B$9)</x:f>
        <x:v>0</x:v>
      </x:c>
      <x:c r="J112" s="111" t="n">
        <x:f>H112-I112</x:f>
        <x:v>0</x:v>
      </x:c>
      <x:c r="K112" s="111" t="n">
        <x:f>K111+I112-G112</x:f>
        <x:v>13532.586964194863</x:v>
      </x:c>
      <x:c r="L112" s="111" t="n">
        <x:f>J112+K112</x:f>
        <x:v>13532.586964194863</x:v>
      </x:c>
      <x:c r="M112" s="109" t="n">
        <x:f>M111+IF(I112&gt;=5,1,0)</x:f>
        <x:v>18</x:v>
      </x:c>
      <x:c r="N112" s="112" t="str">
        <x:f>IF(I112&gt;0,"Invest cash as new 5-year tranche",IF(J112&gt;0,"Carry cash until £5 threshold",""))</x:f>
      </x:c>
      <x:c r="O112" s="113"/>
    </x:row>
    <x:row r="113" ht="15" hidden="0" customHeight="1">
      <x:c r="A113" s="108" t="n">
        <x:v>105</x:v>
      </x:c>
      <x:c r="B113" s="109" t="n">
        <x:f>INT(A113/12)+1</x:f>
        <x:v>9</x:v>
      </x:c>
      <x:c r="C113" s="110" t="n">
        <x:f>INDEX('Assumptions'!$B$12:$B$21,MIN(B113,ROWS('Assumptions'!$B$12:$B$21)))</x:f>
        <x:v>0.03</x:v>
      </x:c>
      <x:c r="D113" s="111" t="n">
        <x:f>IF(A113=0,'Assumptions'!$B$5,0)</x:f>
        <x:v>0</x:v>
      </x:c>
      <x:c r="E113" s="111" t="n">
        <x:f>J112</x:f>
        <x:v>0</x:v>
      </x:c>
      <x:c r="F113" s="111" t="n">
        <x:f>I107*C107/2+I101*C101/2+I95*C95/2+I89*C89/2+I83*C83/2+I77*C77/2+I71*C71/2+I65*C65/2+I59*C59/2+I53*C53/2</x:f>
        <x:v>0</x:v>
      </x:c>
      <x:c r="G113" s="111" t="n">
        <x:f>I53</x:f>
        <x:v>0</x:v>
      </x:c>
      <x:c r="H113" s="111" t="n">
        <x:f>E113+D113+F113+G113</x:f>
        <x:v>0</x:v>
      </x:c>
      <x:c r="I113" s="111" t="n">
        <x:f>H113*(H113&gt;='Assumptions'!$B$9)</x:f>
        <x:v>0</x:v>
      </x:c>
      <x:c r="J113" s="111" t="n">
        <x:f>H113-I113</x:f>
        <x:v>0</x:v>
      </x:c>
      <x:c r="K113" s="111" t="n">
        <x:f>K112+I113-G113</x:f>
        <x:v>13532.586964194863</x:v>
      </x:c>
      <x:c r="L113" s="111" t="n">
        <x:f>J113+K113</x:f>
        <x:v>13532.586964194863</x:v>
      </x:c>
      <x:c r="M113" s="109" t="n">
        <x:f>M112+IF(I113&gt;=5,1,0)</x:f>
        <x:v>18</x:v>
      </x:c>
      <x:c r="N113" s="112" t="str">
        <x:f>IF(I113&gt;0,"Invest cash as new 5-year tranche",IF(J113&gt;0,"Carry cash until £5 threshold",""))</x:f>
      </x:c>
      <x:c r="O113" s="113"/>
    </x:row>
    <x:row r="114" ht="15" hidden="0" customHeight="1">
      <x:c r="A114" s="108" t="n">
        <x:v>106</x:v>
      </x:c>
      <x:c r="B114" s="109" t="n">
        <x:f>INT(A114/12)+1</x:f>
        <x:v>9</x:v>
      </x:c>
      <x:c r="C114" s="110" t="n">
        <x:f>INDEX('Assumptions'!$B$12:$B$21,MIN(B114,ROWS('Assumptions'!$B$12:$B$21)))</x:f>
        <x:v>0.03</x:v>
      </x:c>
      <x:c r="D114" s="111" t="n">
        <x:f>IF(A114=0,'Assumptions'!$B$5,0)</x:f>
        <x:v>0</x:v>
      </x:c>
      <x:c r="E114" s="111" t="n">
        <x:f>J113</x:f>
        <x:v>0</x:v>
      </x:c>
      <x:c r="F114" s="111" t="n">
        <x:f>I108*C108/2+I102*C102/2+I96*C96/2+I90*C90/2+I84*C84/2+I78*C78/2+I72*C72/2+I66*C66/2+I60*C60/2+I54*C54/2</x:f>
        <x:v>0</x:v>
      </x:c>
      <x:c r="G114" s="111" t="n">
        <x:f>I54</x:f>
        <x:v>0</x:v>
      </x:c>
      <x:c r="H114" s="111" t="n">
        <x:f>E114+D114+F114+G114</x:f>
        <x:v>0</x:v>
      </x:c>
      <x:c r="I114" s="111" t="n">
        <x:f>H114*(H114&gt;='Assumptions'!$B$9)</x:f>
        <x:v>0</x:v>
      </x:c>
      <x:c r="J114" s="111" t="n">
        <x:f>H114-I114</x:f>
        <x:v>0</x:v>
      </x:c>
      <x:c r="K114" s="111" t="n">
        <x:f>K113+I114-G114</x:f>
        <x:v>13532.586964194863</x:v>
      </x:c>
      <x:c r="L114" s="111" t="n">
        <x:f>J114+K114</x:f>
        <x:v>13532.586964194863</x:v>
      </x:c>
      <x:c r="M114" s="109" t="n">
        <x:f>M113+IF(I114&gt;=5,1,0)</x:f>
        <x:v>18</x:v>
      </x:c>
      <x:c r="N114" s="112" t="str">
        <x:f>IF(I114&gt;0,"Invest cash as new 5-year tranche",IF(J114&gt;0,"Carry cash until £5 threshold",""))</x:f>
      </x:c>
      <x:c r="O114" s="113"/>
    </x:row>
    <x:row r="115" ht="15" hidden="0" customHeight="1">
      <x:c r="A115" s="108" t="n">
        <x:v>107</x:v>
      </x:c>
      <x:c r="B115" s="109" t="n">
        <x:f>INT(A115/12)+1</x:f>
        <x:v>9</x:v>
      </x:c>
      <x:c r="C115" s="110" t="n">
        <x:f>INDEX('Assumptions'!$B$12:$B$21,MIN(B115,ROWS('Assumptions'!$B$12:$B$21)))</x:f>
        <x:v>0.03</x:v>
      </x:c>
      <x:c r="D115" s="111" t="n">
        <x:f>IF(A115=0,'Assumptions'!$B$5,0)</x:f>
        <x:v>0</x:v>
      </x:c>
      <x:c r="E115" s="111" t="n">
        <x:f>J114</x:f>
        <x:v>0</x:v>
      </x:c>
      <x:c r="F115" s="111" t="n">
        <x:f>I109*C109/2+I103*C103/2+I97*C97/2+I91*C91/2+I85*C85/2+I79*C79/2+I73*C73/2+I67*C67/2+I61*C61/2+I55*C55/2</x:f>
        <x:v>0</x:v>
      </x:c>
      <x:c r="G115" s="111" t="n">
        <x:f>I55</x:f>
        <x:v>0</x:v>
      </x:c>
      <x:c r="H115" s="111" t="n">
        <x:f>E115+D115+F115+G115</x:f>
        <x:v>0</x:v>
      </x:c>
      <x:c r="I115" s="111" t="n">
        <x:f>H115*(H115&gt;='Assumptions'!$B$9)</x:f>
        <x:v>0</x:v>
      </x:c>
      <x:c r="J115" s="111" t="n">
        <x:f>H115-I115</x:f>
        <x:v>0</x:v>
      </x:c>
      <x:c r="K115" s="111" t="n">
        <x:f>K114+I115-G115</x:f>
        <x:v>13532.586964194863</x:v>
      </x:c>
      <x:c r="L115" s="111" t="n">
        <x:f>J115+K115</x:f>
        <x:v>13532.586964194863</x:v>
      </x:c>
      <x:c r="M115" s="109" t="n">
        <x:f>M114+IF(I115&gt;=5,1,0)</x:f>
        <x:v>18</x:v>
      </x:c>
      <x:c r="N115" s="112" t="str">
        <x:f>IF(I115&gt;0,"Invest cash as new 5-year tranche",IF(J115&gt;0,"Carry cash until £5 threshold",""))</x:f>
      </x:c>
      <x:c r="O115" s="113"/>
    </x:row>
    <x:row r="116" ht="24" hidden="0" customHeight="1">
      <x:c r="A116" s="108" t="n">
        <x:v>108</x:v>
      </x:c>
      <x:c r="B116" s="109" t="n">
        <x:f>INT(A116/12)+1</x:f>
        <x:v>10</x:v>
      </x:c>
      <x:c r="C116" s="110" t="n">
        <x:f>INDEX('Assumptions'!$B$12:$B$21,MIN(B116,ROWS('Assumptions'!$B$12:$B$21)))</x:f>
        <x:v>0.03</x:v>
      </x:c>
      <x:c r="D116" s="111" t="n">
        <x:f>IF(A116=0,'Assumptions'!$B$5,0)</x:f>
        <x:v>0</x:v>
      </x:c>
      <x:c r="E116" s="111" t="n">
        <x:f>J115</x:f>
        <x:v>0</x:v>
      </x:c>
      <x:c r="F116" s="111" t="n">
        <x:f>I110*C110/2+I104*C104/2+I98*C98/2+I92*C92/2+I86*C86/2+I80*C80/2+I74*C74/2+I68*C68/2+I62*C62/2+I56*C56/2</x:f>
        <x:v>203.44653145669744</x:v>
      </x:c>
      <x:c r="G116" s="111" t="n">
        <x:f>I56</x:f>
        <x:v>227.04711992782848</x:v>
      </x:c>
      <x:c r="H116" s="111" t="n">
        <x:f>E116+D116+F116+G116</x:f>
        <x:v>430.49365138452595</x:v>
      </x:c>
      <x:c r="I116" s="111" t="n">
        <x:f>H116*(H116&gt;='Assumptions'!$B$9)</x:f>
        <x:v>430.49365138452595</x:v>
      </x:c>
      <x:c r="J116" s="111" t="n">
        <x:f>H116-I116</x:f>
        <x:v>0</x:v>
      </x:c>
      <x:c r="K116" s="111" t="n">
        <x:f>K115+I116-G116</x:f>
        <x:v>13736.03349565156</x:v>
      </x:c>
      <x:c r="L116" s="111" t="n">
        <x:f>J116+K116</x:f>
        <x:v>13736.03349565156</x:v>
      </x:c>
      <x:c r="M116" s="109" t="n">
        <x:f>M115+IF(I116&gt;=5,1,0)</x:f>
        <x:v>19</x:v>
      </x:c>
      <x:c r="N116" s="112" t="str">
        <x:f>IF(I116&gt;0,"Invest cash as new 5-year tranche",IF(J116&gt;0,"Carry cash until £5 threshold",""))</x:f>
        <x:v>Invest cash as new 5-year tranche</x:v>
      </x:c>
      <x:c r="O116" s="113"/>
    </x:row>
    <x:row r="117" ht="15" hidden="0" customHeight="1">
      <x:c r="A117" s="108" t="n">
        <x:v>109</x:v>
      </x:c>
      <x:c r="B117" s="109" t="n">
        <x:f>INT(A117/12)+1</x:f>
        <x:v>10</x:v>
      </x:c>
      <x:c r="C117" s="110" t="n">
        <x:f>INDEX('Assumptions'!$B$12:$B$21,MIN(B117,ROWS('Assumptions'!$B$12:$B$21)))</x:f>
        <x:v>0.03</x:v>
      </x:c>
      <x:c r="D117" s="111" t="n">
        <x:f>IF(A117=0,'Assumptions'!$B$5,0)</x:f>
        <x:v>0</x:v>
      </x:c>
      <x:c r="E117" s="111" t="n">
        <x:f>J116</x:f>
        <x:v>0</x:v>
      </x:c>
      <x:c r="F117" s="111" t="n">
        <x:f>I111*C111/2+I105*C105/2+I99*C99/2+I93*C93/2+I87*C87/2+I81*C81/2+I75*C75/2+I69*C69/2+I63*C63/2+I57*C57/2</x:f>
        <x:v>0</x:v>
      </x:c>
      <x:c r="G117" s="111" t="n">
        <x:f>I57</x:f>
        <x:v>0</x:v>
      </x:c>
      <x:c r="H117" s="111" t="n">
        <x:f>E117+D117+F117+G117</x:f>
        <x:v>0</x:v>
      </x:c>
      <x:c r="I117" s="111" t="n">
        <x:f>H117*(H117&gt;='Assumptions'!$B$9)</x:f>
        <x:v>0</x:v>
      </x:c>
      <x:c r="J117" s="111" t="n">
        <x:f>H117-I117</x:f>
        <x:v>0</x:v>
      </x:c>
      <x:c r="K117" s="111" t="n">
        <x:f>K116+I117-G117</x:f>
        <x:v>13736.03349565156</x:v>
      </x:c>
      <x:c r="L117" s="111" t="n">
        <x:f>J117+K117</x:f>
        <x:v>13736.03349565156</x:v>
      </x:c>
      <x:c r="M117" s="109" t="n">
        <x:f>M116+IF(I117&gt;=5,1,0)</x:f>
        <x:v>19</x:v>
      </x:c>
      <x:c r="N117" s="112" t="str">
        <x:f>IF(I117&gt;0,"Invest cash as new 5-year tranche",IF(J117&gt;0,"Carry cash until £5 threshold",""))</x:f>
      </x:c>
      <x:c r="O117" s="113"/>
    </x:row>
    <x:row r="118" ht="15" hidden="0" customHeight="1">
      <x:c r="A118" s="108" t="n">
        <x:v>110</x:v>
      </x:c>
      <x:c r="B118" s="109" t="n">
        <x:f>INT(A118/12)+1</x:f>
        <x:v>10</x:v>
      </x:c>
      <x:c r="C118" s="110" t="n">
        <x:f>INDEX('Assumptions'!$B$12:$B$21,MIN(B118,ROWS('Assumptions'!$B$12:$B$21)))</x:f>
        <x:v>0.03</x:v>
      </x:c>
      <x:c r="D118" s="111" t="n">
        <x:f>IF(A118=0,'Assumptions'!$B$5,0)</x:f>
        <x:v>0</x:v>
      </x:c>
      <x:c r="E118" s="111" t="n">
        <x:f>J117</x:f>
        <x:v>0</x:v>
      </x:c>
      <x:c r="F118" s="111" t="n">
        <x:f>I112*C112/2+I106*C106/2+I100*C100/2+I94*C94/2+I88*C88/2+I82*C82/2+I76*C76/2+I70*C70/2+I64*C64/2+I58*C58/2</x:f>
        <x:v>0</x:v>
      </x:c>
      <x:c r="G118" s="111" t="n">
        <x:f>I58</x:f>
        <x:v>0</x:v>
      </x:c>
      <x:c r="H118" s="111" t="n">
        <x:f>E118+D118+F118+G118</x:f>
        <x:v>0</x:v>
      </x:c>
      <x:c r="I118" s="111" t="n">
        <x:f>H118*(H118&gt;='Assumptions'!$B$9)</x:f>
        <x:v>0</x:v>
      </x:c>
      <x:c r="J118" s="111" t="n">
        <x:f>H118-I118</x:f>
        <x:v>0</x:v>
      </x:c>
      <x:c r="K118" s="111" t="n">
        <x:f>K117+I118-G118</x:f>
        <x:v>13736.03349565156</x:v>
      </x:c>
      <x:c r="L118" s="111" t="n">
        <x:f>J118+K118</x:f>
        <x:v>13736.03349565156</x:v>
      </x:c>
      <x:c r="M118" s="109" t="n">
        <x:f>M117+IF(I118&gt;=5,1,0)</x:f>
        <x:v>19</x:v>
      </x:c>
      <x:c r="N118" s="112" t="str">
        <x:f>IF(I118&gt;0,"Invest cash as new 5-year tranche",IF(J118&gt;0,"Carry cash until £5 threshold",""))</x:f>
      </x:c>
      <x:c r="O118" s="113"/>
    </x:row>
    <x:row r="119" ht="15" hidden="0" customHeight="1">
      <x:c r="A119" s="108" t="n">
        <x:v>111</x:v>
      </x:c>
      <x:c r="B119" s="109" t="n">
        <x:f>INT(A119/12)+1</x:f>
        <x:v>10</x:v>
      </x:c>
      <x:c r="C119" s="110" t="n">
        <x:f>INDEX('Assumptions'!$B$12:$B$21,MIN(B119,ROWS('Assumptions'!$B$12:$B$21)))</x:f>
        <x:v>0.03</x:v>
      </x:c>
      <x:c r="D119" s="111" t="n">
        <x:f>IF(A119=0,'Assumptions'!$B$5,0)</x:f>
        <x:v>0</x:v>
      </x:c>
      <x:c r="E119" s="111" t="n">
        <x:f>J118</x:f>
        <x:v>0</x:v>
      </x:c>
      <x:c r="F119" s="111" t="n">
        <x:f>I113*C113/2+I107*C107/2+I101*C101/2+I95*C95/2+I89*C89/2+I83*C83/2+I77*C77/2+I71*C71/2+I65*C65/2+I59*C59/2</x:f>
        <x:v>0</x:v>
      </x:c>
      <x:c r="G119" s="111" t="n">
        <x:f>I59</x:f>
        <x:v>0</x:v>
      </x:c>
      <x:c r="H119" s="111" t="n">
        <x:f>E119+D119+F119+G119</x:f>
        <x:v>0</x:v>
      </x:c>
      <x:c r="I119" s="111" t="n">
        <x:f>H119*(H119&gt;='Assumptions'!$B$9)</x:f>
        <x:v>0</x:v>
      </x:c>
      <x:c r="J119" s="111" t="n">
        <x:f>H119-I119</x:f>
        <x:v>0</x:v>
      </x:c>
      <x:c r="K119" s="111" t="n">
        <x:f>K118+I119-G119</x:f>
        <x:v>13736.03349565156</x:v>
      </x:c>
      <x:c r="L119" s="111" t="n">
        <x:f>J119+K119</x:f>
        <x:v>13736.03349565156</x:v>
      </x:c>
      <x:c r="M119" s="109" t="n">
        <x:f>M118+IF(I119&gt;=5,1,0)</x:f>
        <x:v>19</x:v>
      </x:c>
      <x:c r="N119" s="112" t="str">
        <x:f>IF(I119&gt;0,"Invest cash as new 5-year tranche",IF(J119&gt;0,"Carry cash until £5 threshold",""))</x:f>
      </x:c>
      <x:c r="O119" s="113"/>
    </x:row>
    <x:row r="120" ht="15" hidden="0" customHeight="1">
      <x:c r="A120" s="108" t="n">
        <x:v>112</x:v>
      </x:c>
      <x:c r="B120" s="109" t="n">
        <x:f>INT(A120/12)+1</x:f>
        <x:v>10</x:v>
      </x:c>
      <x:c r="C120" s="110" t="n">
        <x:f>INDEX('Assumptions'!$B$12:$B$21,MIN(B120,ROWS('Assumptions'!$B$12:$B$21)))</x:f>
        <x:v>0.03</x:v>
      </x:c>
      <x:c r="D120" s="111" t="n">
        <x:f>IF(A120=0,'Assumptions'!$B$5,0)</x:f>
        <x:v>0</x:v>
      </x:c>
      <x:c r="E120" s="111" t="n">
        <x:f>J119</x:f>
        <x:v>0</x:v>
      </x:c>
      <x:c r="F120" s="111" t="n">
        <x:f>I114*C114/2+I108*C108/2+I102*C102/2+I96*C96/2+I90*C90/2+I84*C84/2+I78*C78/2+I72*C72/2+I66*C66/2+I60*C60/2</x:f>
        <x:v>0</x:v>
      </x:c>
      <x:c r="G120" s="111" t="n">
        <x:f>I60</x:f>
        <x:v>0</x:v>
      </x:c>
      <x:c r="H120" s="111" t="n">
        <x:f>E120+D120+F120+G120</x:f>
        <x:v>0</x:v>
      </x:c>
      <x:c r="I120" s="111" t="n">
        <x:f>H120*(H120&gt;='Assumptions'!$B$9)</x:f>
        <x:v>0</x:v>
      </x:c>
      <x:c r="J120" s="111" t="n">
        <x:f>H120-I120</x:f>
        <x:v>0</x:v>
      </x:c>
      <x:c r="K120" s="111" t="n">
        <x:f>K119+I120-G120</x:f>
        <x:v>13736.03349565156</x:v>
      </x:c>
      <x:c r="L120" s="111" t="n">
        <x:f>J120+K120</x:f>
        <x:v>13736.03349565156</x:v>
      </x:c>
      <x:c r="M120" s="109" t="n">
        <x:f>M119+IF(I120&gt;=5,1,0)</x:f>
        <x:v>19</x:v>
      </x:c>
      <x:c r="N120" s="112" t="str">
        <x:f>IF(I120&gt;0,"Invest cash as new 5-year tranche",IF(J120&gt;0,"Carry cash until £5 threshold",""))</x:f>
      </x:c>
      <x:c r="O120" s="113"/>
    </x:row>
    <x:row r="121" ht="15" hidden="0" customHeight="1">
      <x:c r="A121" s="108" t="n">
        <x:v>113</x:v>
      </x:c>
      <x:c r="B121" s="109" t="n">
        <x:f>INT(A121/12)+1</x:f>
        <x:v>10</x:v>
      </x:c>
      <x:c r="C121" s="110" t="n">
        <x:f>INDEX('Assumptions'!$B$12:$B$21,MIN(B121,ROWS('Assumptions'!$B$12:$B$21)))</x:f>
        <x:v>0.03</x:v>
      </x:c>
      <x:c r="D121" s="111" t="n">
        <x:f>IF(A121=0,'Assumptions'!$B$5,0)</x:f>
        <x:v>0</x:v>
      </x:c>
      <x:c r="E121" s="111" t="n">
        <x:f>J120</x:f>
        <x:v>0</x:v>
      </x:c>
      <x:c r="F121" s="111" t="n">
        <x:f>I115*C115/2+I109*C109/2+I103*C103/2+I97*C97/2+I91*C91/2+I85*C85/2+I79*C79/2+I73*C73/2+I67*C67/2+I61*C61/2</x:f>
        <x:v>0</x:v>
      </x:c>
      <x:c r="G121" s="111" t="n">
        <x:f>I61</x:f>
        <x:v>0</x:v>
      </x:c>
      <x:c r="H121" s="111" t="n">
        <x:f>E121+D121+F121+G121</x:f>
        <x:v>0</x:v>
      </x:c>
      <x:c r="I121" s="111" t="n">
        <x:f>H121*(H121&gt;='Assumptions'!$B$9)</x:f>
        <x:v>0</x:v>
      </x:c>
      <x:c r="J121" s="111" t="n">
        <x:f>H121-I121</x:f>
        <x:v>0</x:v>
      </x:c>
      <x:c r="K121" s="111" t="n">
        <x:f>K120+I121-G121</x:f>
        <x:v>13736.03349565156</x:v>
      </x:c>
      <x:c r="L121" s="111" t="n">
        <x:f>J121+K121</x:f>
        <x:v>13736.03349565156</x:v>
      </x:c>
      <x:c r="M121" s="109" t="n">
        <x:f>M120+IF(I121&gt;=5,1,0)</x:f>
        <x:v>19</x:v>
      </x:c>
      <x:c r="N121" s="112" t="str">
        <x:f>IF(I121&gt;0,"Invest cash as new 5-year tranche",IF(J121&gt;0,"Carry cash until £5 threshold",""))</x:f>
      </x:c>
      <x:c r="O121" s="113"/>
    </x:row>
    <x:row r="122" ht="24" hidden="0" customHeight="1">
      <x:c r="A122" s="108" t="n">
        <x:v>114</x:v>
      </x:c>
      <x:c r="B122" s="109" t="n">
        <x:f>INT(A122/12)+1</x:f>
        <x:v>10</x:v>
      </x:c>
      <x:c r="C122" s="110" t="n">
        <x:f>INDEX('Assumptions'!$B$12:$B$21,MIN(B122,ROWS('Assumptions'!$B$12:$B$21)))</x:f>
        <x:v>0.03</x:v>
      </x:c>
      <x:c r="D122" s="111" t="n">
        <x:f>IF(A122=0,'Assumptions'!$B$5,0)</x:f>
        <x:v>0</x:v>
      </x:c>
      <x:c r="E122" s="111" t="n">
        <x:f>J121</x:f>
        <x:v>0</x:v>
      </x:c>
      <x:c r="F122" s="111" t="n">
        <x:f>I116*C116/2+I110*C110/2+I104*C104/2+I98*C98/2+I92*C92/2+I86*C86/2+I80*C80/2+I74*C74/2+I68*C68/2+I62*C62/2</x:f>
        <x:v>206.27118230862007</x:v>
      </x:c>
      <x:c r="G122" s="111" t="n">
        <x:f>I62</x:f>
        <x:v>230.67987384667373</x:v>
      </x:c>
      <x:c r="H122" s="111" t="n">
        <x:f>E122+D122+F122+G122</x:f>
        <x:v>436.9510561552938</x:v>
      </x:c>
      <x:c r="I122" s="111" t="n">
        <x:f>H122*(H122&gt;='Assumptions'!$B$9)</x:f>
        <x:v>436.9510561552938</x:v>
      </x:c>
      <x:c r="J122" s="111" t="n">
        <x:f>H122-I122</x:f>
        <x:v>0</x:v>
      </x:c>
      <x:c r="K122" s="111" t="n">
        <x:f>K121+I122-G122</x:f>
        <x:v>13942.304677960181</x:v>
      </x:c>
      <x:c r="L122" s="111" t="n">
        <x:f>J122+K122</x:f>
        <x:v>13942.304677960181</x:v>
      </x:c>
      <x:c r="M122" s="109" t="n">
        <x:f>M121+IF(I122&gt;=5,1,0)</x:f>
        <x:v>20</x:v>
      </x:c>
      <x:c r="N122" s="112" t="str">
        <x:f>IF(I122&gt;0,"Invest cash as new 5-year tranche",IF(J122&gt;0,"Carry cash until £5 threshold",""))</x:f>
        <x:v>Invest cash as new 5-year tranche</x:v>
      </x:c>
      <x:c r="O122" s="113"/>
    </x:row>
    <x:row r="123" ht="15" hidden="0" customHeight="1">
      <x:c r="A123" s="108" t="n">
        <x:v>115</x:v>
      </x:c>
      <x:c r="B123" s="109" t="n">
        <x:f>INT(A123/12)+1</x:f>
        <x:v>10</x:v>
      </x:c>
      <x:c r="C123" s="110" t="n">
        <x:f>INDEX('Assumptions'!$B$12:$B$21,MIN(B123,ROWS('Assumptions'!$B$12:$B$21)))</x:f>
        <x:v>0.03</x:v>
      </x:c>
      <x:c r="D123" s="111" t="n">
        <x:f>IF(A123=0,'Assumptions'!$B$5,0)</x:f>
        <x:v>0</x:v>
      </x:c>
      <x:c r="E123" s="111" t="n">
        <x:f>J122</x:f>
        <x:v>0</x:v>
      </x:c>
      <x:c r="F123" s="111" t="n">
        <x:f>I117*C117/2+I111*C111/2+I105*C105/2+I99*C99/2+I93*C93/2+I87*C87/2+I81*C81/2+I75*C75/2+I69*C69/2+I63*C63/2</x:f>
        <x:v>0</x:v>
      </x:c>
      <x:c r="G123" s="111" t="n">
        <x:f>I63</x:f>
        <x:v>0</x:v>
      </x:c>
      <x:c r="H123" s="111" t="n">
        <x:f>E123+D123+F123+G123</x:f>
        <x:v>0</x:v>
      </x:c>
      <x:c r="I123" s="111" t="n">
        <x:f>H123*(H123&gt;='Assumptions'!$B$9)</x:f>
        <x:v>0</x:v>
      </x:c>
      <x:c r="J123" s="111" t="n">
        <x:f>H123-I123</x:f>
        <x:v>0</x:v>
      </x:c>
      <x:c r="K123" s="111" t="n">
        <x:f>K122+I123-G123</x:f>
        <x:v>13942.304677960181</x:v>
      </x:c>
      <x:c r="L123" s="111" t="n">
        <x:f>J123+K123</x:f>
        <x:v>13942.304677960181</x:v>
      </x:c>
      <x:c r="M123" s="109" t="n">
        <x:f>M122+IF(I123&gt;=5,1,0)</x:f>
        <x:v>20</x:v>
      </x:c>
      <x:c r="N123" s="112" t="str">
        <x:f>IF(I123&gt;0,"Invest cash as new 5-year tranche",IF(J123&gt;0,"Carry cash until £5 threshold",""))</x:f>
      </x:c>
      <x:c r="O123" s="113"/>
    </x:row>
    <x:row r="124" ht="15" hidden="0" customHeight="1">
      <x:c r="A124" s="108" t="n">
        <x:v>116</x:v>
      </x:c>
      <x:c r="B124" s="109" t="n">
        <x:f>INT(A124/12)+1</x:f>
        <x:v>10</x:v>
      </x:c>
      <x:c r="C124" s="110" t="n">
        <x:f>INDEX('Assumptions'!$B$12:$B$21,MIN(B124,ROWS('Assumptions'!$B$12:$B$21)))</x:f>
        <x:v>0.03</x:v>
      </x:c>
      <x:c r="D124" s="111" t="n">
        <x:f>IF(A124=0,'Assumptions'!$B$5,0)</x:f>
        <x:v>0</x:v>
      </x:c>
      <x:c r="E124" s="111" t="n">
        <x:f>J123</x:f>
        <x:v>0</x:v>
      </x:c>
      <x:c r="F124" s="111" t="n">
        <x:f>I118*C118/2+I112*C112/2+I106*C106/2+I100*C100/2+I94*C94/2+I88*C88/2+I82*C82/2+I76*C76/2+I70*C70/2+I64*C64/2</x:f>
        <x:v>0</x:v>
      </x:c>
      <x:c r="G124" s="111" t="n">
        <x:f>I64</x:f>
        <x:v>0</x:v>
      </x:c>
      <x:c r="H124" s="111" t="n">
        <x:f>E124+D124+F124+G124</x:f>
        <x:v>0</x:v>
      </x:c>
      <x:c r="I124" s="111" t="n">
        <x:f>H124*(H124&gt;='Assumptions'!$B$9)</x:f>
        <x:v>0</x:v>
      </x:c>
      <x:c r="J124" s="111" t="n">
        <x:f>H124-I124</x:f>
        <x:v>0</x:v>
      </x:c>
      <x:c r="K124" s="111" t="n">
        <x:f>K123+I124-G124</x:f>
        <x:v>13942.304677960181</x:v>
      </x:c>
      <x:c r="L124" s="111" t="n">
        <x:f>J124+K124</x:f>
        <x:v>13942.304677960181</x:v>
      </x:c>
      <x:c r="M124" s="109" t="n">
        <x:f>M123+IF(I124&gt;=5,1,0)</x:f>
        <x:v>20</x:v>
      </x:c>
      <x:c r="N124" s="112" t="str">
        <x:f>IF(I124&gt;0,"Invest cash as new 5-year tranche",IF(J124&gt;0,"Carry cash until £5 threshold",""))</x:f>
      </x:c>
      <x:c r="O124" s="113"/>
    </x:row>
    <x:row r="125" ht="15" hidden="0" customHeight="1">
      <x:c r="A125" s="108" t="n">
        <x:v>117</x:v>
      </x:c>
      <x:c r="B125" s="109" t="n">
        <x:f>INT(A125/12)+1</x:f>
        <x:v>10</x:v>
      </x:c>
      <x:c r="C125" s="110" t="n">
        <x:f>INDEX('Assumptions'!$B$12:$B$21,MIN(B125,ROWS('Assumptions'!$B$12:$B$21)))</x:f>
        <x:v>0.03</x:v>
      </x:c>
      <x:c r="D125" s="111" t="n">
        <x:f>IF(A125=0,'Assumptions'!$B$5,0)</x:f>
        <x:v>0</x:v>
      </x:c>
      <x:c r="E125" s="111" t="n">
        <x:f>J124</x:f>
        <x:v>0</x:v>
      </x:c>
      <x:c r="F125" s="111" t="n">
        <x:f>I119*C119/2+I113*C113/2+I107*C107/2+I101*C101/2+I95*C95/2+I89*C89/2+I83*C83/2+I77*C77/2+I71*C71/2+I65*C65/2</x:f>
        <x:v>0</x:v>
      </x:c>
      <x:c r="G125" s="111" t="n">
        <x:f>I65</x:f>
        <x:v>0</x:v>
      </x:c>
      <x:c r="H125" s="111" t="n">
        <x:f>E125+D125+F125+G125</x:f>
        <x:v>0</x:v>
      </x:c>
      <x:c r="I125" s="111" t="n">
        <x:f>H125*(H125&gt;='Assumptions'!$B$9)</x:f>
        <x:v>0</x:v>
      </x:c>
      <x:c r="J125" s="111" t="n">
        <x:f>H125-I125</x:f>
        <x:v>0</x:v>
      </x:c>
      <x:c r="K125" s="111" t="n">
        <x:f>K124+I125-G125</x:f>
        <x:v>13942.304677960181</x:v>
      </x:c>
      <x:c r="L125" s="111" t="n">
        <x:f>J125+K125</x:f>
        <x:v>13942.304677960181</x:v>
      </x:c>
      <x:c r="M125" s="109" t="n">
        <x:f>M124+IF(I125&gt;=5,1,0)</x:f>
        <x:v>20</x:v>
      </x:c>
      <x:c r="N125" s="112" t="str">
        <x:f>IF(I125&gt;0,"Invest cash as new 5-year tranche",IF(J125&gt;0,"Carry cash until £5 threshold",""))</x:f>
      </x:c>
      <x:c r="O125" s="113"/>
    </x:row>
    <x:row r="126" ht="15" hidden="0" customHeight="1">
      <x:c r="A126" s="108" t="n">
        <x:v>118</x:v>
      </x:c>
      <x:c r="B126" s="109" t="n">
        <x:f>INT(A126/12)+1</x:f>
        <x:v>10</x:v>
      </x:c>
      <x:c r="C126" s="110" t="n">
        <x:f>INDEX('Assumptions'!$B$12:$B$21,MIN(B126,ROWS('Assumptions'!$B$12:$B$21)))</x:f>
        <x:v>0.03</x:v>
      </x:c>
      <x:c r="D126" s="111" t="n">
        <x:f>IF(A126=0,'Assumptions'!$B$5,0)</x:f>
        <x:v>0</x:v>
      </x:c>
      <x:c r="E126" s="111" t="n">
        <x:f>J125</x:f>
        <x:v>0</x:v>
      </x:c>
      <x:c r="F126" s="111" t="n">
        <x:f>I120*C120/2+I114*C114/2+I108*C108/2+I102*C102/2+I96*C96/2+I90*C90/2+I84*C84/2+I78*C78/2+I72*C72/2+I66*C66/2</x:f>
        <x:v>0</x:v>
      </x:c>
      <x:c r="G126" s="111" t="n">
        <x:f>I66</x:f>
        <x:v>0</x:v>
      </x:c>
      <x:c r="H126" s="111" t="n">
        <x:f>E126+D126+F126+G126</x:f>
        <x:v>0</x:v>
      </x:c>
      <x:c r="I126" s="111" t="n">
        <x:f>H126*(H126&gt;='Assumptions'!$B$9)</x:f>
        <x:v>0</x:v>
      </x:c>
      <x:c r="J126" s="111" t="n">
        <x:f>H126-I126</x:f>
        <x:v>0</x:v>
      </x:c>
      <x:c r="K126" s="111" t="n">
        <x:f>K125+I126-G126</x:f>
        <x:v>13942.304677960181</x:v>
      </x:c>
      <x:c r="L126" s="111" t="n">
        <x:f>J126+K126</x:f>
        <x:v>13942.304677960181</x:v>
      </x:c>
      <x:c r="M126" s="109" t="n">
        <x:f>M125+IF(I126&gt;=5,1,0)</x:f>
        <x:v>20</x:v>
      </x:c>
      <x:c r="N126" s="112" t="str">
        <x:f>IF(I126&gt;0,"Invest cash as new 5-year tranche",IF(J126&gt;0,"Carry cash until £5 threshold",""))</x:f>
      </x:c>
      <x:c r="O126" s="113"/>
    </x:row>
    <x:row r="127" ht="15" hidden="0" customHeight="1">
      <x:c r="A127" s="108" t="n">
        <x:v>119</x:v>
      </x:c>
      <x:c r="B127" s="109" t="n">
        <x:f>INT(A127/12)+1</x:f>
        <x:v>10</x:v>
      </x:c>
      <x:c r="C127" s="110" t="n">
        <x:f>INDEX('Assumptions'!$B$12:$B$21,MIN(B127,ROWS('Assumptions'!$B$12:$B$21)))</x:f>
        <x:v>0.03</x:v>
      </x:c>
      <x:c r="D127" s="111" t="n">
        <x:f>IF(A127=0,'Assumptions'!$B$5,0)</x:f>
        <x:v>0</x:v>
      </x:c>
      <x:c r="E127" s="111" t="n">
        <x:f>J126</x:f>
        <x:v>0</x:v>
      </x:c>
      <x:c r="F127" s="111" t="n">
        <x:f>I121*C121/2+I115*C115/2+I109*C109/2+I103*C103/2+I97*C97/2+I91*C91/2+I85*C85/2+I79*C79/2+I73*C73/2+I67*C67/2</x:f>
        <x:v>0</x:v>
      </x:c>
      <x:c r="G127" s="111" t="n">
        <x:f>I67</x:f>
        <x:v>0</x:v>
      </x:c>
      <x:c r="H127" s="111" t="n">
        <x:f>E127+D127+F127+G127</x:f>
        <x:v>0</x:v>
      </x:c>
      <x:c r="I127" s="111" t="n">
        <x:f>H127*(H127&gt;='Assumptions'!$B$9)</x:f>
        <x:v>0</x:v>
      </x:c>
      <x:c r="J127" s="111" t="n">
        <x:f>H127-I127</x:f>
        <x:v>0</x:v>
      </x:c>
      <x:c r="K127" s="111" t="n">
        <x:f>K126+I127-G127</x:f>
        <x:v>13942.304677960181</x:v>
      </x:c>
      <x:c r="L127" s="111" t="n">
        <x:f>J127+K127</x:f>
        <x:v>13942.304677960181</x:v>
      </x:c>
      <x:c r="M127" s="109" t="n">
        <x:f>M126+IF(I127&gt;=5,1,0)</x:f>
        <x:v>20</x:v>
      </x:c>
      <x:c r="N127" s="112" t="str">
        <x:f>IF(I127&gt;0,"Invest cash as new 5-year tranche",IF(J127&gt;0,"Carry cash until £5 threshold",""))</x:f>
      </x:c>
      <x:c r="O127" s="113"/>
    </x:row>
    <x:row r="128" ht="24" hidden="0" customHeight="1">
      <x:c r="A128" s="114" t="n">
        <x:v>120</x:v>
      </x:c>
      <x:c r="B128" s="115" t="n">
        <x:f>INT(A128/12)+1</x:f>
        <x:v>11</x:v>
      </x:c>
      <x:c r="C128" s="116" t="n">
        <x:f>INDEX('Assumptions'!$B$12:$B$21,MIN(B128,ROWS('Assumptions'!$B$12:$B$21)))</x:f>
        <x:v>0.03</x:v>
      </x:c>
      <x:c r="D128" s="117" t="n">
        <x:f>IF(A128=0,'Assumptions'!$B$5,0)</x:f>
        <x:v>0</x:v>
      </x:c>
      <x:c r="E128" s="117" t="n">
        <x:f>J127</x:f>
        <x:v>0</x:v>
      </x:c>
      <x:c r="F128" s="117" t="n">
        <x:f>I122*C122/2+I116*C116/2+I110*C110/2+I104*C104/2+I98*C98/2+I92*C92/2+I86*C86/2+I80*C80/2+I74*C74/2+I68*C68/2</x:f>
        <x:v>209.1345701694027</x:v>
      </x:c>
      <x:c r="G128" s="117" t="n">
        <x:f>I68</x:f>
        <x:v>10234.37075182822</x:v>
      </x:c>
      <x:c r="H128" s="117" t="n">
        <x:f>E128+D128+F128+G128</x:f>
        <x:v>10443.505321997623</x:v>
      </x:c>
      <x:c r="I128" s="117" t="n">
        <x:f>H128*(H128&gt;='Assumptions'!$B$9)</x:f>
        <x:v>10443.505321997623</x:v>
      </x:c>
      <x:c r="J128" s="117" t="n">
        <x:f>H128-I128</x:f>
        <x:v>0</x:v>
      </x:c>
      <x:c r="K128" s="117" t="n">
        <x:f>K127+I128-G128</x:f>
        <x:v>14151.439248129584</x:v>
      </x:c>
      <x:c r="L128" s="117" t="n">
        <x:f>J128+K128</x:f>
        <x:v>14151.439248129584</x:v>
      </x:c>
      <x:c r="M128" s="115" t="n">
        <x:f>M127+IF(I128&gt;=5,1,0)</x:f>
        <x:v>21</x:v>
      </x:c>
      <x:c r="N128" s="118" t="str">
        <x:f>IF(I128&gt;0,"Invest cash as new 5-year tranche",IF(J128&gt;0,"Carry cash until £5 threshold",""))</x:f>
        <x:v>Invest cash as new 5-year tranche</x:v>
      </x:c>
      <x:c r="O128" s="119"/>
    </x:row>
  </x:sheetData>
  <x:mergeCells>
    <x:mergeCell ref="A1:O1"/>
    <x:mergeCell ref="A2:O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4" hidden="0" customWidth="1"/>
    <x:col min="6" max="6" width="14" hidden="0" customWidth="1"/>
  </x:cols>
  <x:sheetData>
    <x:row r="1" ht="15" hidden="0" customHeight="1">
      <x:c r="A1" s="73" t="str">
        <x:v>Checks</x:v>
      </x:c>
      <x:c r="B1" s="73" t="str">
        <x:v>Checks</x:v>
      </x:c>
      <x:c r="C1" s="73" t="str">
        <x:v>Checks</x:v>
      </x:c>
      <x:c r="D1" s="73" t="str">
        <x:v>Checks</x:v>
      </x:c>
      <x:c r="E1" s="73" t="str">
        <x:v>Checks</x:v>
      </x:c>
      <x:c r="F1" s="73" t="str">
        <x:v>Checks</x:v>
      </x:c>
    </x:row>
    <x:row r="2" ht="15" hidden="0" customHeight="1">
      <x:c r="A2" s="74" t="str">
        <x:v>Checks reconcile the spreadsheet formulas to the current browser-model default outputs and key business rules.</x:v>
      </x:c>
      <x:c r="B2" s="74" t="str">
        <x:v>Checks reconcile the spreadsheet formulas to the current browser-model default outputs and key business rules.</x:v>
      </x:c>
      <x:c r="C2" s="74" t="str">
        <x:v>Checks reconcile the spreadsheet formulas to the current browser-model default outputs and key business rules.</x:v>
      </x:c>
      <x:c r="D2" s="74" t="str">
        <x:v>Checks reconcile the spreadsheet formulas to the current browser-model default outputs and key business rules.</x:v>
      </x:c>
      <x:c r="E2" s="74" t="str">
        <x:v>Checks reconcile the spreadsheet formulas to the current browser-model default outputs and key business rules.</x:v>
      </x:c>
      <x:c r="F2" s="74" t="str">
        <x:v>Checks reconcile the spreadsheet formulas to the current browser-model default outputs and key business rules.</x:v>
      </x:c>
    </x:row>
    <x:row r="3" ht="15" hidden="0" customHeight="1">
      <x:c r="A3" s="75"/>
      <x:c r="B3" s="75"/>
      <x:c r="C3" s="75"/>
      <x:c r="D3" s="75"/>
      <x:c r="E3" s="75"/>
      <x:c r="F3" s="75"/>
    </x:row>
    <x:row r="4" ht="15" hidden="0" customHeight="1">
      <x:c r="A4" s="76" t="str">
        <x:v>Check</x:v>
      </x:c>
      <x:c r="B4" s="101" t="str">
        <x:v>Actual</x:v>
      </x:c>
      <x:c r="C4" s="101" t="str">
        <x:v>Expected</x:v>
      </x:c>
      <x:c r="D4" s="101" t="str">
        <x:v>Difference</x:v>
      </x:c>
      <x:c r="E4" s="101" t="str">
        <x:v>Tolerance</x:v>
      </x:c>
      <x:c r="F4" s="77" t="str">
        <x:v>Status</x:v>
      </x:c>
    </x:row>
    <x:row r="5" ht="15" hidden="0" customHeight="1">
      <x:c r="A5" s="79" t="str">
        <x:v>Monthly final value</x:v>
      </x:c>
      <x:c r="B5" s="105" t="n">
        <x:f>'Summary'!B7</x:f>
        <x:v>14132.595448671771</x:v>
      </x:c>
      <x:c r="C5" s="105" t="n">
        <x:v>14132.595448671775</x:v>
      </x:c>
      <x:c r="D5" s="105" t="n">
        <x:f>B5-C5</x:f>
        <x:v>-3.637978807091713e-12</x:v>
      </x:c>
      <x:c r="E5" s="105" t="n">
        <x:v>0.01</x:v>
      </x:c>
      <x:c r="F5" s="120" t="str">
        <x:f>IF(ABS(D5)&lt;=E5,"OK","Review")</x:f>
        <x:v>OK</x:v>
      </x:c>
    </x:row>
    <x:row r="6" ht="15" hidden="0" customHeight="1">
      <x:c r="A6" s="84" t="str">
        <x:v>One-off final value</x:v>
      </x:c>
      <x:c r="B6" s="111" t="n">
        <x:f>'Summary'!B11</x:f>
        <x:v>14151.439248129584</x:v>
      </x:c>
      <x:c r="C6" s="111" t="n">
        <x:v>14151.439248129587</x:v>
      </x:c>
      <x:c r="D6" s="111" t="n">
        <x:f>B6-C6</x:f>
        <x:v>-3.637978807091713e-12</x:v>
      </x:c>
      <x:c r="E6" s="111" t="n">
        <x:v>0.01</x:v>
      </x:c>
      <x:c r="F6" s="121" t="str">
        <x:f>IF(ABS(D6)&lt;=E6,"OK","Review")</x:f>
        <x:v>OK</x:v>
      </x:c>
    </x:row>
    <x:row r="7" ht="15" hidden="0" customHeight="1">
      <x:c r="A7" s="84" t="str">
        <x:v>Monthly ending cash below £5</x:v>
      </x:c>
      <x:c r="B7" s="111" t="n">
        <x:f>INDEX('Monthly Model'!J8:J128,MATCH('Assumptions'!B6*12,'Monthly Model'!A8:A128,0))</x:f>
        <x:v>0</x:v>
      </x:c>
      <x:c r="C7" s="111" t="n">
        <x:v>5</x:v>
      </x:c>
      <x:c r="D7" s="111" t="n">
        <x:f>MAX(0,B7-C7)</x:f>
        <x:v>0</x:v>
      </x:c>
      <x:c r="E7" s="111" t="n">
        <x:v>0</x:v>
      </x:c>
      <x:c r="F7" s="121" t="str">
        <x:f>IF(D7&lt;=E7,"OK","Review")</x:f>
        <x:v>OK</x:v>
      </x:c>
    </x:row>
    <x:row r="8" ht="15" hidden="0" customHeight="1">
      <x:c r="A8" s="84" t="str">
        <x:v>One-off ending cash below £5</x:v>
      </x:c>
      <x:c r="B8" s="111" t="n">
        <x:f>INDEX('One-Off Model'!J8:J128,MATCH('Assumptions'!B6*12,'One-Off Model'!A8:A128,0))</x:f>
        <x:v>0</x:v>
      </x:c>
      <x:c r="C8" s="111" t="n">
        <x:v>5</x:v>
      </x:c>
      <x:c r="D8" s="111" t="n">
        <x:f>MAX(0,B8-C8)</x:f>
        <x:v>0</x:v>
      </x:c>
      <x:c r="E8" s="111" t="n">
        <x:v>0</x:v>
      </x:c>
      <x:c r="F8" s="121" t="str">
        <x:f>IF(D8&lt;=E8,"OK","Review")</x:f>
        <x:v>OK</x:v>
      </x:c>
    </x:row>
    <x:row r="9" ht="15" hidden="0" customHeight="1">
      <x:c r="A9" s="84" t="str">
        <x:v>Minimum investment assumption</x:v>
      </x:c>
      <x:c r="B9" s="111" t="n">
        <x:f>'Assumptions'!B9</x:f>
        <x:v>5</x:v>
      </x:c>
      <x:c r="C9" s="111" t="n">
        <x:v>5</x:v>
      </x:c>
      <x:c r="D9" s="111" t="n">
        <x:f>B9-C9</x:f>
        <x:v>0</x:v>
      </x:c>
      <x:c r="E9" s="111" t="n">
        <x:v>0</x:v>
      </x:c>
      <x:c r="F9" s="121" t="str">
        <x:f>IF(ABS(D9)&lt;=E9,"OK","Review")</x:f>
        <x:v>OK</x:v>
      </x:c>
    </x:row>
    <x:row r="10" ht="15" hidden="0" customHeight="1">
      <x:c r="A10" s="84" t="str">
        <x:v>Monthly display rounded to £</x:v>
      </x:c>
      <x:c r="B10" s="111" t="n">
        <x:f>ROUND('Summary'!B7,0)</x:f>
        <x:v>14133</x:v>
      </x:c>
      <x:c r="C10" s="111" t="n">
        <x:v>14133</x:v>
      </x:c>
      <x:c r="D10" s="111" t="n">
        <x:f>B10-C10</x:f>
        <x:v>0</x:v>
      </x:c>
      <x:c r="E10" s="111" t="n">
        <x:v>0</x:v>
      </x:c>
      <x:c r="F10" s="121" t="str">
        <x:f>IF(ABS(D10)&lt;=E10,"OK","Review")</x:f>
        <x:v>OK</x:v>
      </x:c>
    </x:row>
    <x:row r="11" ht="15" hidden="0" customHeight="1">
      <x:c r="A11" s="92" t="str">
        <x:v>One-off display rounded to £</x:v>
      </x:c>
      <x:c r="B11" s="117" t="n">
        <x:f>ROUND('Summary'!B11,0)</x:f>
        <x:v>14151</x:v>
      </x:c>
      <x:c r="C11" s="117" t="n">
        <x:v>14151</x:v>
      </x:c>
      <x:c r="D11" s="117" t="n">
        <x:f>B11-C11</x:f>
        <x:v>0</x:v>
      </x:c>
      <x:c r="E11" s="117" t="n">
        <x:v>0</x:v>
      </x:c>
      <x:c r="F11" s="122" t="str">
        <x:f>IF(ABS(D11)&lt;=E11,"OK","Review")</x:f>
        <x:v>OK</x:v>
      </x:c>
    </x:row>
  </x:sheetData>
  <x:mergeCells>
    <x:mergeCell ref="A1:F1"/>
    <x:mergeCell ref="A2:F2"/>
  </x:mergeCells>
  <x:pageMargins left="0.7" right="0.7" top="0.75" bottom="0.75" header="0.3" footer="0.3"/>
</x:worksheet>
</file>